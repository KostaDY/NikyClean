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2C9098B3-7DA0-A845-A981-B1BB42867FC4}" xr6:coauthVersionLast="47" xr6:coauthVersionMax="47" xr10:uidLastSave="{00000000-0000-0000-0000-000000000000}"/>
  <bookViews>
    <workbookView xWindow="400" yWindow="8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<sst xmlns="http://schemas.openxmlformats.org/spreadsheetml/2006/main" count="183" uniqueCount="75">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</sst>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235.52553</v>
          </cell>
          <cell r="F2">
            <v>45880</v>
          </cell>
          <cell r="G2" t="str">
            <v>Oct 30, 2025</v>
          </cell>
          <cell r="H2">
            <v>4.3E-3</v>
          </cell>
        </row>
        <row r="3">
          <cell r="B3" t="str">
            <v>ADEA</v>
          </cell>
          <cell r="E3">
            <v>20.66667</v>
          </cell>
          <cell r="F3">
            <v>45895</v>
          </cell>
          <cell r="G3">
            <v>0</v>
          </cell>
          <cell r="H3">
            <v>1.2999999E-2</v>
          </cell>
        </row>
        <row r="4">
          <cell r="B4" t="str">
            <v>AET</v>
          </cell>
          <cell r="E4">
            <v>95.060005000000004</v>
          </cell>
          <cell r="F4">
            <v>0</v>
          </cell>
          <cell r="G4">
            <v>0</v>
          </cell>
          <cell r="H4">
            <v>0</v>
          </cell>
        </row>
        <row r="5">
          <cell r="B5" t="str">
            <v>AMZN</v>
          </cell>
          <cell r="E5">
            <v>263.18033000000003</v>
          </cell>
          <cell r="F5">
            <v>0</v>
          </cell>
          <cell r="G5" t="str">
            <v>Oct 30, 2025</v>
          </cell>
          <cell r="H5">
            <v>0</v>
          </cell>
        </row>
        <row r="6">
          <cell r="B6" t="str">
            <v>ALDNE</v>
          </cell>
          <cell r="E6">
            <v>1.5333300000000001</v>
          </cell>
          <cell r="F6">
            <v>0</v>
          </cell>
          <cell r="G6">
            <v>0</v>
          </cell>
          <cell r="H6">
            <v>0</v>
          </cell>
        </row>
        <row r="7">
          <cell r="B7" t="str">
            <v>ASML</v>
          </cell>
          <cell r="E7">
            <v>758</v>
          </cell>
          <cell r="F7">
            <v>45866</v>
          </cell>
          <cell r="G7">
            <v>0</v>
          </cell>
          <cell r="H7">
            <v>9.7999999999999997E-3</v>
          </cell>
        </row>
        <row r="8">
          <cell r="B8" t="str">
            <v>AZN</v>
          </cell>
          <cell r="E8">
            <v>87.27</v>
          </cell>
          <cell r="F8">
            <v>45877</v>
          </cell>
          <cell r="G8" t="str">
            <v>Jul 29, 2025</v>
          </cell>
          <cell r="H8">
            <v>1.9199998999999999E-2</v>
          </cell>
        </row>
        <row r="9">
          <cell r="B9" t="str">
            <v>BLDP</v>
          </cell>
          <cell r="E9">
            <v>2.3158300000000001</v>
          </cell>
          <cell r="F9">
            <v>0</v>
          </cell>
          <cell r="G9" t="str">
            <v>Nov 4, 2025</v>
          </cell>
          <cell r="H9">
            <v>0</v>
          </cell>
        </row>
        <row r="10">
          <cell r="B10" t="str">
            <v>BMRA</v>
          </cell>
          <cell r="E10">
            <v>0</v>
          </cell>
          <cell r="F10">
            <v>0</v>
          </cell>
          <cell r="G10" t="str">
            <v>Aug 26, 2025 - Sep 1, 2025</v>
          </cell>
          <cell r="H10">
            <v>0</v>
          </cell>
        </row>
        <row r="11">
          <cell r="B11" t="str">
            <v>C</v>
          </cell>
          <cell r="E11">
            <v>101.54761999999999</v>
          </cell>
          <cell r="F11">
            <v>45873</v>
          </cell>
          <cell r="G11" t="str">
            <v>Oct 14, 2025</v>
          </cell>
          <cell r="H11">
            <v>2.52E-2</v>
          </cell>
        </row>
        <row r="12">
          <cell r="B12" t="str">
            <v>CSCO</v>
          </cell>
          <cell r="E12">
            <v>75.814760000000007</v>
          </cell>
          <cell r="F12">
            <v>45933</v>
          </cell>
          <cell r="G12" t="str">
            <v>Nov 12, 2025</v>
          </cell>
          <cell r="H12">
            <v>2.4500001E-2</v>
          </cell>
        </row>
        <row r="13">
          <cell r="B13" t="str">
            <v>CVS</v>
          </cell>
          <cell r="E13">
            <v>82.072500000000005</v>
          </cell>
          <cell r="F13">
            <v>45860</v>
          </cell>
          <cell r="G13" t="str">
            <v>Jul 31, 2025</v>
          </cell>
          <cell r="H13">
            <v>3.61E-2</v>
          </cell>
        </row>
        <row r="14">
          <cell r="B14" t="str">
            <v>DDD</v>
          </cell>
          <cell r="E14">
            <v>3.25</v>
          </cell>
          <cell r="F14">
            <v>0</v>
          </cell>
          <cell r="G14" t="str">
            <v>Nov 10, 2025</v>
          </cell>
          <cell r="H14">
            <v>0</v>
          </cell>
        </row>
        <row r="15">
          <cell r="B15" t="str">
            <v>DIS</v>
          </cell>
          <cell r="E15">
            <v>132.22594000000001</v>
          </cell>
          <cell r="F15">
            <v>45832</v>
          </cell>
          <cell r="G15" t="str">
            <v>Aug 6, 2025</v>
          </cell>
          <cell r="H15">
            <v>8.5000000000000006E-3</v>
          </cell>
        </row>
        <row r="16">
          <cell r="B16" t="str">
            <v>DSY</v>
          </cell>
          <cell r="E16">
            <v>35.563890000000001</v>
          </cell>
          <cell r="F16">
            <v>45803</v>
          </cell>
          <cell r="G16">
            <v>0</v>
          </cell>
          <cell r="H16">
            <v>9.7000000000000003E-3</v>
          </cell>
        </row>
        <row r="17">
          <cell r="B17" t="str">
            <v>DVA</v>
          </cell>
          <cell r="E17">
            <v>153.5</v>
          </cell>
          <cell r="F17">
            <v>0</v>
          </cell>
          <cell r="G17" t="str">
            <v>Oct 28, 2025</v>
          </cell>
          <cell r="H17">
            <v>0</v>
          </cell>
        </row>
        <row r="18">
          <cell r="B18" t="str">
            <v>DXC</v>
          </cell>
          <cell r="E18">
            <v>15.125</v>
          </cell>
          <cell r="F18">
            <v>43914</v>
          </cell>
          <cell r="G18" t="str">
            <v>Jul 31, 2025</v>
          </cell>
          <cell r="H18">
            <v>0</v>
          </cell>
        </row>
        <row r="19">
          <cell r="B19" t="str">
            <v>EOAN</v>
          </cell>
          <cell r="E19">
            <v>16.88824</v>
          </cell>
          <cell r="F19">
            <v>45793</v>
          </cell>
          <cell r="G19">
            <v>0</v>
          </cell>
          <cell r="H19">
            <v>3.6199997999999997E-2</v>
          </cell>
        </row>
        <row r="20">
          <cell r="B20" t="str">
            <v>EPIX</v>
          </cell>
          <cell r="E20">
            <v>0</v>
          </cell>
          <cell r="F20">
            <v>45894</v>
          </cell>
          <cell r="G20" t="str">
            <v>Aug 7, 2025</v>
          </cell>
          <cell r="H20">
            <v>0</v>
          </cell>
        </row>
        <row r="21">
          <cell r="B21" t="str">
            <v>GM</v>
          </cell>
          <cell r="E21">
            <v>57.2</v>
          </cell>
          <cell r="F21">
            <v>45905</v>
          </cell>
          <cell r="G21" t="str">
            <v>Oct 21, 2025</v>
          </cell>
          <cell r="H21">
            <v>1.0299999000000001E-2</v>
          </cell>
        </row>
        <row r="22">
          <cell r="B22" t="str">
            <v>HPE</v>
          </cell>
          <cell r="E22">
            <v>24.984120000000001</v>
          </cell>
          <cell r="F22">
            <v>45918</v>
          </cell>
          <cell r="G22" t="str">
            <v>Dec 4, 2025</v>
          </cell>
          <cell r="H22">
            <v>2.2100000000000002E-2</v>
          </cell>
        </row>
        <row r="23">
          <cell r="B23" t="str">
            <v>HPQ</v>
          </cell>
          <cell r="E23">
            <v>27.968</v>
          </cell>
          <cell r="F23">
            <v>45910</v>
          </cell>
          <cell r="G23" t="str">
            <v>Nov 25, 2025</v>
          </cell>
          <cell r="H23">
            <v>3.95E-2</v>
          </cell>
        </row>
        <row r="24">
          <cell r="B24" t="str">
            <v>IAG</v>
          </cell>
          <cell r="E24">
            <v>435.83789999999999</v>
          </cell>
          <cell r="F24">
            <v>45834</v>
          </cell>
          <cell r="G24">
            <v>0</v>
          </cell>
          <cell r="H24">
            <v>1.9599999999999999E-2</v>
          </cell>
        </row>
        <row r="25">
          <cell r="B25" t="str">
            <v>KR</v>
          </cell>
          <cell r="E25">
            <v>75.727270000000004</v>
          </cell>
          <cell r="F25">
            <v>45884</v>
          </cell>
          <cell r="G25" t="str">
            <v>Sep 10, 2025 - Sep 15, 2025</v>
          </cell>
          <cell r="H25">
            <v>2.07E-2</v>
          </cell>
        </row>
        <row r="26">
          <cell r="B26" t="str">
            <v>LNSR</v>
          </cell>
          <cell r="E26">
            <v>15</v>
          </cell>
          <cell r="F26">
            <v>0</v>
          </cell>
          <cell r="G26" t="str">
            <v>Nov 6, 2025</v>
          </cell>
          <cell r="H26">
            <v>0</v>
          </cell>
        </row>
        <row r="27">
          <cell r="B27" t="str">
            <v>LUMN</v>
          </cell>
          <cell r="E27">
            <v>5.06182</v>
          </cell>
          <cell r="F27">
            <v>44802</v>
          </cell>
          <cell r="G27" t="str">
            <v>Jul 31, 2025</v>
          </cell>
          <cell r="H27">
            <v>0</v>
          </cell>
        </row>
        <row r="28">
          <cell r="B28" t="str">
            <v>MRNA</v>
          </cell>
          <cell r="E28">
            <v>44.25</v>
          </cell>
          <cell r="F28">
            <v>0</v>
          </cell>
          <cell r="G28" t="str">
            <v>Aug 1, 2025</v>
          </cell>
          <cell r="H28">
            <v>0</v>
          </cell>
        </row>
        <row r="29">
          <cell r="B29" t="str">
            <v>MSFT</v>
          </cell>
          <cell r="E29">
            <v>613.89160000000004</v>
          </cell>
          <cell r="F29">
            <v>45890</v>
          </cell>
          <cell r="G29" t="str">
            <v>Oct 29, 2025</v>
          </cell>
          <cell r="H29">
            <v>6.7000002999999999E-3</v>
          </cell>
        </row>
        <row r="30">
          <cell r="B30" t="str">
            <v>NEE</v>
          </cell>
          <cell r="E30">
            <v>82.294120000000007</v>
          </cell>
          <cell r="F30">
            <v>45897</v>
          </cell>
          <cell r="G30" t="str">
            <v>Oct 23, 2025</v>
          </cell>
          <cell r="H30">
            <v>3.2000000000000001E-2</v>
          </cell>
        </row>
        <row r="31">
          <cell r="B31" t="str">
            <v>NEM</v>
          </cell>
          <cell r="E31">
            <v>73.224739999999997</v>
          </cell>
          <cell r="F31">
            <v>45904</v>
          </cell>
          <cell r="G31" t="str">
            <v>Oct 22, 2025</v>
          </cell>
          <cell r="H31">
            <v>1.3099998999999999E-2</v>
          </cell>
        </row>
        <row r="32">
          <cell r="B32" t="str">
            <v>NFLX</v>
          </cell>
          <cell r="E32">
            <v>1350.316</v>
          </cell>
          <cell r="F32">
            <v>0</v>
          </cell>
          <cell r="G32" t="str">
            <v>Oct 16, 2025</v>
          </cell>
          <cell r="H32">
            <v>0</v>
          </cell>
        </row>
        <row r="33">
          <cell r="B33" t="str">
            <v>NOTE</v>
          </cell>
          <cell r="E33">
            <v>31.501259999999998</v>
          </cell>
          <cell r="F33">
            <v>0</v>
          </cell>
          <cell r="G33">
            <v>0</v>
          </cell>
          <cell r="H33">
            <v>0</v>
          </cell>
        </row>
        <row r="34">
          <cell r="B34" t="str">
            <v>PAAS</v>
          </cell>
          <cell r="E34">
            <v>37.375</v>
          </cell>
          <cell r="F34">
            <v>45887</v>
          </cell>
          <cell r="G34" t="str">
            <v>Aug 6, 2025</v>
          </cell>
          <cell r="H34">
            <v>1.3899999999999999E-2</v>
          </cell>
        </row>
        <row r="35">
          <cell r="B35" t="str">
            <v>PROF</v>
          </cell>
          <cell r="E35">
            <v>12.1</v>
          </cell>
          <cell r="F35">
            <v>0</v>
          </cell>
          <cell r="G35">
            <v>0</v>
          </cell>
          <cell r="H35">
            <v>0</v>
          </cell>
        </row>
        <row r="36">
          <cell r="B36" t="str">
            <v>POET</v>
          </cell>
          <cell r="E36">
            <v>6.6333299999999999</v>
          </cell>
          <cell r="F36">
            <v>0</v>
          </cell>
          <cell r="G36" t="str">
            <v>Aug 14,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43.26</v>
          </cell>
          <cell r="F39">
            <v>45779</v>
          </cell>
          <cell r="G39">
            <v>0</v>
          </cell>
          <cell r="H39">
            <v>3.1400003000000003E-2</v>
          </cell>
        </row>
        <row r="40">
          <cell r="B40" t="str">
            <v>SAP</v>
          </cell>
          <cell r="E40">
            <v>291.91037</v>
          </cell>
          <cell r="F40">
            <v>45791</v>
          </cell>
          <cell r="G40">
            <v>0</v>
          </cell>
          <cell r="H40">
            <v>1.0299999000000001E-2</v>
          </cell>
        </row>
        <row r="41">
          <cell r="B41" t="str">
            <v>SHECY</v>
          </cell>
          <cell r="E41">
            <v>0</v>
          </cell>
          <cell r="F41">
            <v>45747</v>
          </cell>
          <cell r="G41">
            <v>0</v>
          </cell>
          <cell r="H41">
            <v>2.47E-2</v>
          </cell>
        </row>
        <row r="42">
          <cell r="B42" t="str">
            <v>SSYS</v>
          </cell>
          <cell r="E42">
            <v>13.33333</v>
          </cell>
          <cell r="F42">
            <v>0</v>
          </cell>
          <cell r="G42" t="str">
            <v>Nov 12, 2025</v>
          </cell>
          <cell r="H42">
            <v>0</v>
          </cell>
        </row>
        <row r="43">
          <cell r="B43" t="str">
            <v>TSLA</v>
          </cell>
          <cell r="E43">
            <v>310.53410000000002</v>
          </cell>
          <cell r="F43">
            <v>0</v>
          </cell>
          <cell r="G43" t="str">
            <v>Oct 22, 2025</v>
          </cell>
          <cell r="H43">
            <v>0</v>
          </cell>
        </row>
        <row r="44">
          <cell r="B44" t="str">
            <v>TSM</v>
          </cell>
          <cell r="E44">
            <v>274.15667999999999</v>
          </cell>
          <cell r="F44">
            <v>45916</v>
          </cell>
          <cell r="G44" t="str">
            <v>Oct 16, 2025</v>
          </cell>
          <cell r="H44">
            <v>1.37E-2</v>
          </cell>
        </row>
        <row r="45">
          <cell r="B45" t="str">
            <v>UN0</v>
          </cell>
          <cell r="E45">
            <v>0</v>
          </cell>
          <cell r="F45">
            <v>0</v>
          </cell>
          <cell r="G45">
            <v>0</v>
          </cell>
          <cell r="H45">
            <v>0</v>
          </cell>
        </row>
        <row r="46">
          <cell r="B46" t="str">
            <v>UNIT</v>
          </cell>
          <cell r="E46">
            <v>8.2502700000000004</v>
          </cell>
        </row>
        <row r="47">
          <cell r="B47" t="str">
            <v>AVGO</v>
          </cell>
          <cell r="E47">
            <v>355.06</v>
          </cell>
        </row>
        <row r="48">
          <cell r="B48" t="str">
            <v>VLVLY</v>
          </cell>
          <cell r="E48">
            <v>36</v>
          </cell>
          <cell r="F48">
            <v>45751</v>
          </cell>
          <cell r="G48">
            <v>0</v>
          </cell>
          <cell r="H48">
            <v>2.7099999999999999E-2</v>
          </cell>
        </row>
        <row r="49">
          <cell r="B49" t="str">
            <v>VONN</v>
          </cell>
          <cell r="E49">
            <v>63.325000000000003</v>
          </cell>
          <cell r="F49">
            <v>45751</v>
          </cell>
          <cell r="G49" t="str">
            <v>Jul 24, 2025</v>
          </cell>
          <cell r="H49">
            <v>4.8800003000000002E-2</v>
          </cell>
        </row>
        <row r="50">
          <cell r="B50" t="str">
            <v>VTRS</v>
          </cell>
          <cell r="E50">
            <v>11.428570000000001</v>
          </cell>
          <cell r="F50">
            <v>45891</v>
          </cell>
          <cell r="G50" t="str">
            <v>Nov 6, 2025</v>
          </cell>
          <cell r="H50">
            <v>4.5700002000000003E-2</v>
          </cell>
        </row>
        <row r="51">
          <cell r="B51" t="str">
            <v>WBA</v>
          </cell>
          <cell r="E51">
            <v>12.11429</v>
          </cell>
          <cell r="F51">
            <v>45614</v>
          </cell>
          <cell r="G51">
            <v>0</v>
          </cell>
          <cell r="H51">
            <v>8.3500005000000002E-2</v>
          </cell>
        </row>
        <row r="52">
          <cell r="B52" t="str">
            <v>XOM</v>
          </cell>
          <cell r="E52">
            <v>124.79167</v>
          </cell>
          <cell r="F52">
            <v>45884</v>
          </cell>
          <cell r="G52" t="str">
            <v>Oct 31, 2025</v>
          </cell>
          <cell r="H52">
            <v>3.6299999999999999E-2</v>
          </cell>
        </row>
        <row r="53">
          <cell r="B53" t="str">
            <v>XPER</v>
          </cell>
          <cell r="E53">
            <v>11</v>
          </cell>
          <cell r="F53">
            <v>0</v>
          </cell>
          <cell r="G53">
            <v>0</v>
          </cell>
          <cell r="H53">
            <v>0</v>
          </cell>
        </row>
        <row r="54">
          <cell r="B54" t="str">
            <v>MVEALDNE</v>
          </cell>
          <cell r="E54">
            <v>1.5333300000000001</v>
          </cell>
          <cell r="F54">
            <v>0</v>
          </cell>
          <cell r="G54">
            <v>0</v>
          </cell>
          <cell r="H54">
            <v>0</v>
          </cell>
        </row>
        <row r="55">
          <cell r="B55" t="str">
            <v>MVEDDD</v>
          </cell>
          <cell r="E55">
            <v>3.25</v>
          </cell>
          <cell r="F55">
            <v>0</v>
          </cell>
          <cell r="G55" t="str">
            <v>Nov 10, 2025</v>
          </cell>
          <cell r="H55">
            <v>0</v>
          </cell>
        </row>
        <row r="56">
          <cell r="B56" t="str">
            <v>MVEDSY</v>
          </cell>
          <cell r="E56">
            <v>35.563890000000001</v>
          </cell>
          <cell r="F56">
            <v>45803</v>
          </cell>
          <cell r="G56">
            <v>0</v>
          </cell>
        </row>
        <row r="57">
          <cell r="B57" t="str">
            <v>MVEEOAN</v>
          </cell>
          <cell r="E57">
            <v>16.88824</v>
          </cell>
          <cell r="F57">
            <v>45793</v>
          </cell>
          <cell r="G57">
            <v>0</v>
          </cell>
          <cell r="H57">
            <v>3.6199997999999997E-2</v>
          </cell>
        </row>
        <row r="58">
          <cell r="B58" t="str">
            <v>MVEENI</v>
          </cell>
          <cell r="E58">
            <v>15.5</v>
          </cell>
          <cell r="F58">
            <v>45985</v>
          </cell>
          <cell r="G58">
            <v>0</v>
          </cell>
        </row>
        <row r="59">
          <cell r="B59" t="str">
            <v>MVEEPIX</v>
          </cell>
          <cell r="E59">
            <v>0</v>
          </cell>
          <cell r="F59">
            <v>45894</v>
          </cell>
          <cell r="G59" t="str">
            <v>Aug 7, 2025</v>
          </cell>
          <cell r="H59">
            <v>0</v>
          </cell>
        </row>
        <row r="60">
          <cell r="B60" t="str">
            <v>MVEGLE</v>
          </cell>
          <cell r="E60">
            <v>61.800559999999997</v>
          </cell>
          <cell r="F60">
            <v>45937</v>
          </cell>
          <cell r="G60" t="str">
            <v>Oct 30, 2025</v>
          </cell>
        </row>
        <row r="61">
          <cell r="B61" t="str">
            <v>MVEORA</v>
          </cell>
          <cell r="E61">
            <v>14.994440000000001</v>
          </cell>
          <cell r="F61">
            <v>45993</v>
          </cell>
          <cell r="G61">
            <v>0</v>
          </cell>
        </row>
        <row r="62">
          <cell r="B62" t="str">
            <v>MVERWE</v>
          </cell>
          <cell r="E62">
            <v>43.26</v>
          </cell>
          <cell r="F62">
            <v>45779</v>
          </cell>
          <cell r="G62">
            <v>0</v>
          </cell>
          <cell r="H62">
            <v>3.1400003000000003E-2</v>
          </cell>
        </row>
        <row r="63">
          <cell r="B63" t="str">
            <v>MVESAP</v>
          </cell>
          <cell r="E63">
            <v>291.91037</v>
          </cell>
          <cell r="F63">
            <v>45791</v>
          </cell>
          <cell r="G63">
            <v>0</v>
          </cell>
          <cell r="H63">
            <v>1.0299999000000001E-2</v>
          </cell>
        </row>
        <row r="64">
          <cell r="B64" t="str">
            <v>MVEUN0</v>
          </cell>
          <cell r="E64">
            <v>0</v>
          </cell>
          <cell r="F64">
            <v>0</v>
          </cell>
          <cell r="G64">
            <v>0</v>
          </cell>
          <cell r="H64">
            <v>0</v>
          </cell>
        </row>
        <row r="65">
          <cell r="B65" t="str">
            <v>SAFAAPL</v>
          </cell>
          <cell r="E65">
            <v>235.52553</v>
          </cell>
          <cell r="F65">
            <v>45880</v>
          </cell>
          <cell r="G65" t="str">
            <v>Oct 30, 2025</v>
          </cell>
          <cell r="H65">
            <v>4.3E-3</v>
          </cell>
        </row>
        <row r="66">
          <cell r="B66" t="str">
            <v>SAFAMZN</v>
          </cell>
          <cell r="E66">
            <v>263.18033000000003</v>
          </cell>
          <cell r="F66">
            <v>0</v>
          </cell>
          <cell r="G66" t="str">
            <v>Oct 30, 2025</v>
          </cell>
          <cell r="H66">
            <v>0</v>
          </cell>
        </row>
        <row r="67">
          <cell r="B67" t="str">
            <v>SAFASML</v>
          </cell>
          <cell r="E67">
            <v>758</v>
          </cell>
          <cell r="F67">
            <v>45866</v>
          </cell>
          <cell r="G67">
            <v>0</v>
          </cell>
          <cell r="H67">
            <v>9.7999999999999997E-3</v>
          </cell>
        </row>
        <row r="68">
          <cell r="B68" t="str">
            <v>SAFDDD</v>
          </cell>
          <cell r="E68">
            <v>3.25</v>
          </cell>
          <cell r="F68">
            <v>0</v>
          </cell>
          <cell r="G68" t="str">
            <v>Nov 10, 2025</v>
          </cell>
          <cell r="H68">
            <v>0</v>
          </cell>
        </row>
        <row r="69">
          <cell r="B69" t="str">
            <v>SAFDIS</v>
          </cell>
          <cell r="E69">
            <v>132.22594000000001</v>
          </cell>
          <cell r="F69">
            <v>45832</v>
          </cell>
          <cell r="G69" t="str">
            <v>Aug 6, 2025</v>
          </cell>
          <cell r="H69">
            <v>8.5000000000000006E-3</v>
          </cell>
        </row>
        <row r="70">
          <cell r="B70" t="str">
            <v>SAFGM</v>
          </cell>
          <cell r="E70">
            <v>57.2</v>
          </cell>
          <cell r="F70">
            <v>45905</v>
          </cell>
          <cell r="G70" t="str">
            <v>Oct 21, 2025</v>
          </cell>
          <cell r="H70">
            <v>1.0299999000000001E-2</v>
          </cell>
        </row>
        <row r="71">
          <cell r="B71" t="str">
            <v>SAFIAG</v>
          </cell>
          <cell r="E71">
            <v>435.83789999999999</v>
          </cell>
          <cell r="F71">
            <v>45834</v>
          </cell>
          <cell r="G71">
            <v>0</v>
          </cell>
          <cell r="H71">
            <v>1.9599999999999999E-2</v>
          </cell>
        </row>
        <row r="72">
          <cell r="B72" t="str">
            <v>SAFMRNA</v>
          </cell>
          <cell r="E72">
            <v>44.25</v>
          </cell>
          <cell r="F72">
            <v>0</v>
          </cell>
          <cell r="G72" t="str">
            <v>Aug 1, 2025</v>
          </cell>
          <cell r="H72">
            <v>0</v>
          </cell>
        </row>
        <row r="73">
          <cell r="B73" t="str">
            <v>BLNK</v>
          </cell>
          <cell r="E73">
            <v>2.4</v>
          </cell>
          <cell r="F73">
            <v>0</v>
          </cell>
          <cell r="G73" t="str">
            <v>Nov 6, 2025</v>
          </cell>
          <cell r="H73">
            <v>0</v>
          </cell>
        </row>
        <row r="74">
          <cell r="B74" t="str">
            <v>ENI</v>
          </cell>
          <cell r="E74">
            <v>15.5</v>
          </cell>
          <cell r="F74">
            <v>45985</v>
          </cell>
          <cell r="G74">
            <v>0</v>
          </cell>
          <cell r="H74">
            <v>7.1100003999999994E-2</v>
          </cell>
        </row>
        <row r="75">
          <cell r="B75" t="str">
            <v>EZJ</v>
          </cell>
          <cell r="E75">
            <v>658.68399999999997</v>
          </cell>
          <cell r="F75">
            <v>45708</v>
          </cell>
          <cell r="G75">
            <v>0</v>
          </cell>
          <cell r="H75">
            <v>2.5799999000000001E-2</v>
          </cell>
        </row>
        <row r="76">
          <cell r="B76" t="str">
            <v>F</v>
          </cell>
          <cell r="E76">
            <v>10.8</v>
          </cell>
          <cell r="F76">
            <v>45880</v>
          </cell>
          <cell r="G76" t="str">
            <v>Oct 29, 2025</v>
          </cell>
          <cell r="H76">
            <v>5.11E-2</v>
          </cell>
        </row>
        <row r="77">
          <cell r="B77" t="str">
            <v>GLE</v>
          </cell>
          <cell r="E77">
            <v>61.800559999999997</v>
          </cell>
          <cell r="F77">
            <v>45937</v>
          </cell>
          <cell r="G77" t="str">
            <v>Oct 30, 2025</v>
          </cell>
          <cell r="H77">
            <v>3.2099999999999997E-2</v>
          </cell>
        </row>
        <row r="78">
          <cell r="B78" t="str">
            <v>GNRC</v>
          </cell>
          <cell r="E78">
            <v>204.5</v>
          </cell>
          <cell r="F78">
            <v>41435</v>
          </cell>
          <cell r="G78" t="str">
            <v>Oct 30, 2025</v>
          </cell>
          <cell r="H78">
            <v>0</v>
          </cell>
        </row>
        <row r="79">
          <cell r="B79" t="str">
            <v>GS</v>
          </cell>
          <cell r="E79">
            <v>710.57899999999995</v>
          </cell>
          <cell r="F79">
            <v>45898</v>
          </cell>
          <cell r="G79" t="str">
            <v>Oct 14, 2025</v>
          </cell>
          <cell r="H79">
            <v>2.1700000000000001E-2</v>
          </cell>
        </row>
        <row r="80">
          <cell r="B80" t="str">
            <v>LAZR</v>
          </cell>
          <cell r="E80">
            <v>2.6666699999999999</v>
          </cell>
          <cell r="F80">
            <v>0</v>
          </cell>
          <cell r="G80" t="str">
            <v>Aug 12, 2025</v>
          </cell>
          <cell r="H80">
            <v>0</v>
          </cell>
        </row>
        <row r="81">
          <cell r="B81" t="str">
            <v>LUV</v>
          </cell>
          <cell r="E81">
            <v>32.06</v>
          </cell>
          <cell r="F81">
            <v>45903</v>
          </cell>
          <cell r="G81" t="str">
            <v>Oct 22, 2025</v>
          </cell>
          <cell r="H81">
            <v>2.29E-2</v>
          </cell>
        </row>
        <row r="82">
          <cell r="B82" t="str">
            <v>MA</v>
          </cell>
          <cell r="E82">
            <v>644.55150000000003</v>
          </cell>
          <cell r="F82">
            <v>45847</v>
          </cell>
          <cell r="G82" t="str">
            <v>Oct 30, 2025</v>
          </cell>
          <cell r="H82">
            <v>5.1999999999999998E-3</v>
          </cell>
        </row>
        <row r="83">
          <cell r="B83" t="str">
            <v>NVAX</v>
          </cell>
          <cell r="E83">
            <v>12.5</v>
          </cell>
          <cell r="F83">
            <v>0</v>
          </cell>
          <cell r="G83" t="str">
            <v>Aug 6, 2025</v>
          </cell>
          <cell r="H83">
            <v>0</v>
          </cell>
        </row>
        <row r="84">
          <cell r="B84" t="str">
            <v>NVS</v>
          </cell>
          <cell r="E84">
            <v>118.545</v>
          </cell>
          <cell r="F84">
            <v>45728</v>
          </cell>
          <cell r="G84" t="str">
            <v>Jul 17, 2025</v>
          </cell>
          <cell r="H84">
            <v>3.0800000000000001E-2</v>
          </cell>
        </row>
        <row r="85">
          <cell r="B85" t="str">
            <v>ORA</v>
          </cell>
          <cell r="E85">
            <v>14.994440000000001</v>
          </cell>
          <cell r="F85">
            <v>45993</v>
          </cell>
          <cell r="G85">
            <v>0</v>
          </cell>
          <cell r="H85">
            <v>5.5E-2</v>
          </cell>
        </row>
        <row r="86">
          <cell r="B86" t="str">
            <v>OXY</v>
          </cell>
          <cell r="E86">
            <v>50.78</v>
          </cell>
          <cell r="F86">
            <v>45910</v>
          </cell>
          <cell r="G86" t="str">
            <v>Aug 6, 2025</v>
          </cell>
          <cell r="H86">
            <v>2.0899999999999998E-2</v>
          </cell>
        </row>
        <row r="87">
          <cell r="B87" t="str">
            <v>PFE</v>
          </cell>
          <cell r="E87">
            <v>28.857140000000001</v>
          </cell>
          <cell r="F87">
            <v>45863</v>
          </cell>
          <cell r="G87" t="str">
            <v>Nov 4, 2025</v>
          </cell>
          <cell r="H87">
            <v>6.9099999999999995E-2</v>
          </cell>
        </row>
        <row r="88">
          <cell r="B88" t="str">
            <v>RIG</v>
          </cell>
          <cell r="E88">
            <v>3.8769200000000001</v>
          </cell>
          <cell r="F88">
            <v>42237</v>
          </cell>
          <cell r="G88" t="str">
            <v>Nov 3, 2025</v>
          </cell>
          <cell r="H88">
            <v>0</v>
          </cell>
        </row>
        <row r="89">
          <cell r="B89" t="str">
            <v>RRC</v>
          </cell>
          <cell r="E89">
            <v>42.625</v>
          </cell>
          <cell r="F89">
            <v>45912</v>
          </cell>
          <cell r="G89" t="str">
            <v>Oct 21, 2025</v>
          </cell>
          <cell r="H89">
            <v>1.04E-2</v>
          </cell>
        </row>
        <row r="90">
          <cell r="B90" t="str">
            <v>XYZ</v>
          </cell>
          <cell r="E90">
            <v>85.644440000000003</v>
          </cell>
          <cell r="F90">
            <v>0</v>
          </cell>
          <cell r="G90" t="str">
            <v>Nov 6, 2025</v>
          </cell>
          <cell r="H90">
            <v>0</v>
          </cell>
        </row>
        <row r="91">
          <cell r="B91" t="str">
            <v>THC</v>
          </cell>
          <cell r="E91">
            <v>201.43</v>
          </cell>
          <cell r="F91">
            <v>36598</v>
          </cell>
          <cell r="G91" t="str">
            <v>Jul 22,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758</v>
          </cell>
          <cell r="F94">
            <v>45866</v>
          </cell>
          <cell r="G94">
            <v>0</v>
          </cell>
          <cell r="H94">
            <v>9.7999999999999997E-3</v>
          </cell>
        </row>
        <row r="95">
          <cell r="B95" t="str">
            <v>JBEOAN</v>
          </cell>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260.10000000000002</v>
    <v>169.21010000000001</v>
    <v>1.0864</v>
    <v>-2.54</v>
    <v>-1.0187E-2</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249.04</v>
    <v>Computers, Phones &amp; Household Electronics</v>
    <v>Stock</v>
    <v>45946.692287580467</v>
    <v>0</v>
    <v>246.18</v>
    <v>3662608252000</v>
    <v>APPLE INC.</v>
    <v>APPLE INC.</v>
    <v>248.17</v>
    <v>34.04</v>
    <v>249.34</v>
    <v>246.8</v>
    <v>14840390000</v>
    <v>AAPL</v>
    <v>APPLE INC. (XNAS:AAPL)</v>
    <v>18430983</v>
    <v>52612446</v>
    <v>1977</v>
  </rv>
  <rv s="2">
    <v>1</v>
  </rv>
  <rv s="0">
    <v>https://www.bing.com/financeapi/forcetrigger?t=a269vh&amp;q=XNAS%3aXPER&amp;form=skydnc</v>
    <v>Learn more on Bing</v>
  </rv>
  <rv s="1">
    <v>0</v>
    <v>ADEIA INC. (XNAS:ADEA)</v>
    <v>2</v>
    <v>3</v>
    <v>Finance</v>
    <v>4</v>
    <v>en-US</v>
    <v>a269vh</v>
    <v>268435456</v>
    <v>1</v>
    <v>Powered by Refinitiv</v>
    <v>18.25</v>
    <v>10.59</v>
    <v>2.5731999999999999</v>
    <v>-0.44</v>
    <v>-2.5478000000000001E-2</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17.364999999999998</v>
    <v>Software &amp; IT Services</v>
    <v>Stock</v>
    <v>45946.692256469534</v>
    <v>3</v>
    <v>16.78</v>
    <v>1840673537</v>
    <v>ADEIA INC.</v>
    <v>ADEIA INC.</v>
    <v>17.309999999999999</v>
    <v>22.697199999999999</v>
    <v>17.27</v>
    <v>16.829999999999998</v>
    <v>109368600</v>
    <v>ADEA</v>
    <v>ADEIA INC. (XNAS:ADEA)</v>
    <v>116950</v>
    <v>594255</v>
    <v>2019</v>
  </rv>
  <rv s="2">
    <v>4</v>
  </rv>
  <rv s="0">
    <v>https://www.bing.com/financeapi/forcetrigger?t=aodfgh&amp;q=XLON%3aAET&amp;form=skydnc</v>
    <v>Learn more on Bing</v>
  </rv>
  <rv s="1">
    <v>0</v>
    <v>AFENTRA PLC (XLON:AET)</v>
    <v>2</v>
    <v>5</v>
    <v>Finance</v>
    <v>6</v>
    <v>en-US</v>
    <v>aodfgh</v>
    <v>268435456</v>
    <v>1</v>
    <v>Powered by Refinitiv</v>
    <v>56.2</v>
    <v>33.064999999999998</v>
    <v>1.1556999999999999</v>
    <v>-1.1000000000000001</v>
    <v>-2.6127999999999998E-2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42.2</v>
    <v>Oil &amp; Gas</v>
    <v>Stock</v>
    <v>45946.670939733594</v>
    <v>6</v>
    <v>41</v>
    <v>94606920</v>
    <v>AFENTRA PLC</v>
    <v>AFENTRA PLC</v>
    <v>42.2</v>
    <v>3.5590000000000002</v>
    <v>42.1</v>
    <v>41</v>
    <v>226156000</v>
    <v>AET</v>
    <v>AFENTRA PLC (XLON:AET)</v>
    <v>910393</v>
    <v>798100</v>
    <v>1983</v>
  </rv>
  <rv s="2">
    <v>7</v>
  </rv>
  <rv s="0">
    <v>https://www.bing.com/financeapi/forcetrigger?t=a1nhlh&amp;q=XNAS%3aAMZN&amp;form=skydnc</v>
    <v>Learn more on Bing</v>
  </rv>
  <rv s="1">
    <v>0</v>
    <v>AMAZON.COM, INC. (XNAS:AMZN)</v>
    <v>2</v>
    <v>3</v>
    <v>Finance</v>
    <v>4</v>
    <v>en-US</v>
    <v>a1nhlh</v>
    <v>268435456</v>
    <v>1</v>
    <v>Powered by Refinitiv</v>
    <v>242.52</v>
    <v>161.38</v>
    <v>1.2847</v>
    <v>-0.61199999999999999</v>
    <v>-2.8389999999999999E-3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218.59</v>
    <v>Diversified Retail</v>
    <v>Stock</v>
    <v>45946.692285485937</v>
    <v>9</v>
    <v>214.38</v>
    <v>2292507723780</v>
    <v>AMAZON.COM, INC.</v>
    <v>AMAZON.COM, INC.</v>
    <v>215.59</v>
    <v>32.802</v>
    <v>215.57</v>
    <v>214.958</v>
    <v>10664910000</v>
    <v>AMZN</v>
    <v>AMAZON.COM, INC. (XNAS:AMZN)</v>
    <v>17530394</v>
    <v>47103929</v>
    <v>1996</v>
  </rv>
  <rv s="2">
    <v>10</v>
  </rv>
  <rv s="0">
    <v>https://www.bing.com/financeapi/forcetrigger?t=b125ww&amp;q=XPAR%3aALDNE&amp;form=skydnc</v>
    <v>Learn more on Bing</v>
  </rv>
  <rv s="1">
    <v>0</v>
    <v>Dont Nod Entertainment SA (XPAR:ALDNE)</v>
    <v>2</v>
    <v>7</v>
    <v>Finance</v>
    <v>8</v>
    <v>en-US</v>
    <v>b125ww</v>
    <v>268435456</v>
    <v>1</v>
    <v>Powered by Refinitiv</v>
    <v>1.53</v>
    <v>0.65</v>
    <v>1.0415000000000001</v>
    <v>-8.0000000000000002E-3</v>
    <v>-9.5469999999999999E-3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0.83399999999999996</v>
    <v>Software &amp; IT Services</v>
    <v>Stock</v>
    <v>45946.666666666664</v>
    <v>12</v>
    <v>0.81</v>
    <v>10962510</v>
    <v>Dont Nod Entertainment SA</v>
    <v>Dont Nod Entertainment SA</v>
    <v>0.82</v>
    <v>0</v>
    <v>0.83799999999999997</v>
    <v>0.83</v>
    <v>13081760</v>
    <v>ALDNE</v>
    <v>Dont Nod Entertainment SA (XPAR:ALDNE)</v>
    <v>1032</v>
    <v>2620</v>
    <v>2008</v>
  </rv>
  <rv s="2">
    <v>13</v>
  </rv>
  <rv s="0">
    <v>https://www.bing.com/financeapi/forcetrigger?t=alnz5r&amp;q=XAMS%3aASML&amp;form=skydnc</v>
    <v>Learn more on Bing</v>
  </rv>
  <rv s="1">
    <v>0</v>
    <v>ASML Holding NV (XAMS:ASML)</v>
    <v>2</v>
    <v>7</v>
    <v>Finance</v>
    <v>8</v>
    <v>en-US</v>
    <v>alnz5r</v>
    <v>268435456</v>
    <v>1</v>
    <v>Powered by Refinitiv</v>
    <v>905.1</v>
    <v>508.4</v>
    <v>1.9593</v>
    <v>4.4000000000000004</v>
    <v>5.0400000000000002E-3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900.5</v>
    <v>Semiconductors &amp; Semiconductor Equipment</v>
    <v>Stock</v>
    <v>45946.666666666664</v>
    <v>15</v>
    <v>874</v>
    <v>338852900000</v>
    <v>ASML Holding NV</v>
    <v>ASML Holding NV</v>
    <v>883.7</v>
    <v>33.689</v>
    <v>873</v>
    <v>877.4</v>
    <v>388147700</v>
    <v>ASML</v>
    <v>ASML Holding NV (XAMS:ASML)</v>
    <v>703225</v>
    <v>804760</v>
    <v>1994</v>
  </rv>
  <rv s="2">
    <v>16</v>
  </rv>
  <rv s="0">
    <v>https://www.bing.com/financeapi/forcetrigger?t=a1nz8m&amp;q=XNAS%3aAVGO&amp;form=skydnc</v>
    <v>Learn more on Bing</v>
  </rv>
  <rv s="1">
    <v>0</v>
    <v>BROADCOM INC. (XNAS:AVGO)</v>
    <v>2</v>
    <v>3</v>
    <v>Finance</v>
    <v>4</v>
    <v>en-US</v>
    <v>a1nz8m</v>
    <v>268435456</v>
    <v>1</v>
    <v>Powered by Refinitiv</v>
    <v>374.23</v>
    <v>138.1</v>
    <v>1.1911</v>
    <v>4.2000000000000003E-2</v>
    <v>1.195E-4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363.24</v>
    <v>Semiconductors &amp; Semiconductor Equipment</v>
    <v>Stock</v>
    <v>45946.692287812497</v>
    <v>18</v>
    <v>350.41</v>
    <v>1659306834780</v>
    <v>BROADCOM INC.</v>
    <v>BROADCOM INC.</v>
    <v>356.8</v>
    <v>90.072299999999998</v>
    <v>351.33</v>
    <v>351.37200000000001</v>
    <v>4722365000</v>
    <v>AVGO</v>
    <v>BROADCOM INC. (XNAS:AVGO)</v>
    <v>9728087</v>
    <v>24673440</v>
    <v>2018</v>
  </rv>
  <rv s="2">
    <v>19</v>
  </rv>
  <rv s="3">
    <v>12</v>
    <v>Expense ratio</v>
    <v>0</v>
  </rv>
  <rv s="0">
    <v>https://www.bing.com/financeapi/forcetrigger?t=a1o3qh&amp;q=XNAS%3aAZN&amp;form=skydnc</v>
    <v>Learn more on Bing</v>
  </rv>
  <rv s="1">
    <v>0</v>
    <v>ASTRAZENECA PLC (XNAS:AZN)</v>
    <v>2</v>
    <v>3</v>
    <v>Finance</v>
    <v>4</v>
    <v>en-US</v>
    <v>a1o3qh</v>
    <v>268435456</v>
    <v>1</v>
    <v>Powered by Refinitiv</v>
    <v>86.57</v>
    <v>61.24</v>
    <v>0.33</v>
    <v>-0.94</v>
    <v>-1.1081000000000001E-2</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84.415000000000006</v>
    <v>Pharmaceuticals</v>
    <v>Stock</v>
    <v>45946.692247974221</v>
    <v>22</v>
    <v>83.094999999999999</v>
    <v>261086500000</v>
    <v>ASTRAZENECA PLC</v>
    <v>ASTRAZENECA PLC</v>
    <v>83.49</v>
    <v>31.5839</v>
    <v>84.83</v>
    <v>83.89</v>
    <v>3101404000</v>
    <v>AZN</v>
    <v>ASTRAZENECA PLC (XNAS:AZN)</v>
    <v>2489630</v>
    <v>5870377</v>
    <v>1992</v>
  </rv>
  <rv s="2">
    <v>23</v>
  </rv>
  <rv s="0">
    <v>https://www.bing.com/financeapi/forcetrigger?t=a1oldm&amp;q=XNAS%3aBLDP&amp;form=skydnc</v>
    <v>Learn more on Bing</v>
  </rv>
  <rv s="1">
    <v>0</v>
    <v>BALLARD POWER SYSTEMS INC. (XNAS:BLDP)</v>
    <v>2</v>
    <v>9</v>
    <v>Finance</v>
    <v>4</v>
    <v>en-US</v>
    <v>a1oldm</v>
    <v>268435456</v>
    <v>1</v>
    <v>Powered by Refinitiv</v>
    <v>4.0999999999999996</v>
    <v>1</v>
    <v>1.9767999999999999</v>
    <v>0.08</v>
    <v>2.1277000000000001E-2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4.03</v>
    <v>Renewable Energy</v>
    <v>Stock</v>
    <v>45946.692226678126</v>
    <v>25</v>
    <v>3.79</v>
    <v>1587050000</v>
    <v>BALLARD POWER SYSTEMS INC.</v>
    <v>BALLARD POWER SYSTEMS INC.</v>
    <v>3.82</v>
    <v>0</v>
    <v>3.76</v>
    <v>3.84</v>
    <v>300577700</v>
    <v>BLDP</v>
    <v>BALLARD POWER SYSTEMS INC. (XNAS:BLDP)</v>
    <v>4391972</v>
    <v>9789584</v>
    <v>2016</v>
  </rv>
  <rv s="2">
    <v>26</v>
  </rv>
  <rv s="0">
    <v>https://www.bing.com/financeapi/forcetrigger?t=a1oo5r&amp;q=XNAS%3aBMRA&amp;form=skydnc</v>
    <v>Learn more on Bing</v>
  </rv>
  <rv s="1">
    <v>0</v>
    <v>BIOMERICA, INC. (XNAS:BMRA)</v>
    <v>2</v>
    <v>3</v>
    <v>Finance</v>
    <v>4</v>
    <v>en-US</v>
    <v>a1oo5r</v>
    <v>268435456</v>
    <v>1</v>
    <v>Powered by Refinitiv</v>
    <v>10.16</v>
    <v>2.08</v>
    <v>0.27229999999999999</v>
    <v>-0.08</v>
    <v>-2.7972E-2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2.9</v>
    <v>Healthcare Equipment &amp; Supplies</v>
    <v>Stock</v>
    <v>45946.691266885937</v>
    <v>28</v>
    <v>2.62</v>
    <v>8207910</v>
    <v>BIOMERICA, INC.</v>
    <v>BIOMERICA, INC.</v>
    <v>2.7</v>
    <v>0</v>
    <v>2.86</v>
    <v>2.78</v>
    <v>2869900</v>
    <v>BMRA</v>
    <v>BIOMERICA, INC. (XNAS:BMRA)</v>
    <v>3831117</v>
    <v>33029</v>
    <v>1971</v>
  </rv>
  <rv s="2">
    <v>29</v>
  </rv>
  <rv s="0">
    <v>https://www.bing.com/financeapi/forcetrigger?t=a1p3ww&amp;q=XNYS%3aC&amp;form=skydnc</v>
    <v>Learn more on Bing</v>
  </rv>
  <rv s="1">
    <v>0</v>
    <v>CITIGROUP INC. (XNYS:C)</v>
    <v>2</v>
    <v>3</v>
    <v>Finance</v>
    <v>4</v>
    <v>en-US</v>
    <v>a1p3ww</v>
    <v>268435456</v>
    <v>1</v>
    <v>Powered by Refinitiv</v>
    <v>105.59</v>
    <v>55.51</v>
    <v>1.3584000000000001</v>
    <v>-1.84</v>
    <v>-1.8440999999999999E-2</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100.69</v>
    <v>Investment Banking &amp; Investment Services</v>
    <v>Stock</v>
    <v>45946.692275867972</v>
    <v>31</v>
    <v>97.7286</v>
    <v>175244042000</v>
    <v>CITIGROUP INC.</v>
    <v>CITIGROUP INC.</v>
    <v>100.04</v>
    <v>13.768000000000001</v>
    <v>99.78</v>
    <v>97.94</v>
    <v>1789300000</v>
    <v>C</v>
    <v>CITIGROUP INC. (XNYS:C)</v>
    <v>7464281</v>
    <v>14164705</v>
    <v>1988</v>
  </rv>
  <rv s="2">
    <v>32</v>
  </rv>
  <rv s="0">
    <v>https://www.bing.com/financeapi/forcetrigger?t=a1qe5r&amp;q=XNAS%3aCSCO&amp;form=skydnc</v>
    <v>Learn more on Bing</v>
  </rv>
  <rv s="1">
    <v>0</v>
    <v>CISCO SYSTEMS, INC. (XNAS:CSCO)</v>
    <v>2</v>
    <v>3</v>
    <v>Finance</v>
    <v>4</v>
    <v>en-US</v>
    <v>a1qe5r</v>
    <v>268435456</v>
    <v>1</v>
    <v>Powered by Refinitiv</v>
    <v>72.55</v>
    <v>52.11</v>
    <v>0.94350000000000001</v>
    <v>-0.59</v>
    <v>-8.4869999999999998E-3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70.069999999999993</v>
    <v>Communications &amp; Networking</v>
    <v>Stock</v>
    <v>45946.692266260936</v>
    <v>34</v>
    <v>68.86</v>
    <v>272493869210</v>
    <v>CISCO SYSTEMS, INC.</v>
    <v>CISCO SYSTEMS, INC.</v>
    <v>69.81</v>
    <v>29.139700000000001</v>
    <v>69.52</v>
    <v>68.930000000000007</v>
    <v>3953197000</v>
    <v>CSCO</v>
    <v>CISCO SYSTEMS, INC. (XNAS:CSCO)</v>
    <v>4195480</v>
    <v>19697116</v>
    <v>2021</v>
  </rv>
  <rv s="2">
    <v>35</v>
  </rv>
  <rv s="0">
    <v>https://www.bing.com/financeapi/forcetrigger?t=a1qlnm&amp;q=XNYS%3aCVS&amp;form=skydnc</v>
    <v>Learn more on Bing</v>
  </rv>
  <rv s="1">
    <v>0</v>
    <v>CVS HEALTH CORPORATION (XNYS:CVS)</v>
    <v>2</v>
    <v>3</v>
    <v>Finance</v>
    <v>4</v>
    <v>en-US</v>
    <v>a1qlnm</v>
    <v>268435456</v>
    <v>1</v>
    <v>Powered by Refinitiv</v>
    <v>81.93</v>
    <v>43.56</v>
    <v>0.59289999999999998</v>
    <v>0.57999999999999996</v>
    <v>7.1899999999999993E-3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81.564999999999998</v>
    <v>Healthcare Providers &amp; Services</v>
    <v>Stock</v>
    <v>45946.692280971874</v>
    <v>37</v>
    <v>80.632400000000004</v>
    <v>102315900000</v>
    <v>CVS HEALTH CORPORATION</v>
    <v>CVS HEALTH CORPORATION</v>
    <v>80.715000000000003</v>
    <v>22.6753</v>
    <v>80.67</v>
    <v>81.25</v>
    <v>1268326000</v>
    <v>CVS</v>
    <v>CVS HEALTH CORPORATION (XNYS:CVS)</v>
    <v>2097264</v>
    <v>7405154</v>
    <v>1996</v>
  </rv>
  <rv s="2">
    <v>38</v>
  </rv>
  <rv s="0">
    <v>https://www.bing.com/financeapi/forcetrigger?t=a1qu2w&amp;q=XNYS%3aDDD&amp;form=skydnc</v>
    <v>Learn more on Bing</v>
  </rv>
  <rv s="1">
    <v>0</v>
    <v>3D SYSTEMS CORPORATION (XNYS:DDD)</v>
    <v>2</v>
    <v>3</v>
    <v>Finance</v>
    <v>4</v>
    <v>en-US</v>
    <v>a1qu2w</v>
    <v>268435456</v>
    <v>1</v>
    <v>Powered by Refinitiv</v>
    <v>4.9991000000000003</v>
    <v>1.32</v>
    <v>2.1697000000000002</v>
    <v>0.06</v>
    <v>1.8349000000000001E-2</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3.5497000000000001</v>
    <v>Electronic Equipment &amp; Parts</v>
    <v>Stock</v>
    <v>45946.6922442125</v>
    <v>40</v>
    <v>3.29</v>
    <v>427081158</v>
    <v>3D SYSTEMS CORPORATION</v>
    <v>3D SYSTEMS CORPORATION</v>
    <v>3.32</v>
    <v>0</v>
    <v>3.27</v>
    <v>3.33</v>
    <v>128252600</v>
    <v>DDD</v>
    <v>3D SYSTEMS CORPORATION (XNYS:DDD)</v>
    <v>3347244</v>
    <v>4484637</v>
    <v>1993</v>
  </rv>
  <rv s="2">
    <v>41</v>
  </rv>
  <rv s="0">
    <v>http://en.wikipedia.org/wiki/Public_domain</v>
    <v>Public domain</v>
  </rv>
  <rv s="0">
    <v>http://en.wikipedia.org/wiki/The_Walt_Disney_Company</v>
    <v>Wikipedia</v>
  </rv>
  <rv s="4">
    <v>43</v>
    <v>44</v>
  </rv>
  <rv s="5">
    <v>14</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6">
    <v>10</v>
    <v>THE WALT DISNEY COMPANY (XNYS:DIS)</v>
    <v>12</v>
    <v>13</v>
    <v>Finance</v>
    <v>4</v>
    <v>en-US</v>
    <v>a1r2z2</v>
    <v>268435456</v>
    <v>1</v>
    <v>Powered by Refinitiv</v>
    <v>124.69</v>
    <v>80.099999999999994</v>
    <v>1.5543</v>
    <v>-1.4</v>
    <v>-1.2532000000000001E-2</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112.08499999999999</v>
    <v>46</v>
    <v>Media &amp; Publishing</v>
    <v>Stock</v>
    <v>45946.692288263279</v>
    <v>47</v>
    <v>110.1</v>
    <v>198330099540</v>
    <v>THE WALT DISNEY COMPANY</v>
    <v>THE WALT DISNEY COMPANY</v>
    <v>111.86499999999999</v>
    <v>17.2943</v>
    <v>111.71</v>
    <v>110.31</v>
    <v>1797934000</v>
    <v>DIS</v>
    <v>THE WALT DISNEY COMPANY (XNYS:DIS)</v>
    <v>2331256</v>
    <v>8856647</v>
    <v>2018</v>
  </rv>
  <rv s="2">
    <v>48</v>
  </rv>
  <rv s="0">
    <v>https://www.bing.com/financeapi/forcetrigger?t=ae8e9c&amp;q=XPAR%3aDSY&amp;form=skydnc</v>
    <v>Learn more on Bing</v>
  </rv>
  <rv s="1">
    <v>0</v>
    <v>Dassault Systemes SE (XPAR:DSY)</v>
    <v>2</v>
    <v>7</v>
    <v>Finance</v>
    <v>8</v>
    <v>en-US</v>
    <v>ae8e9c</v>
    <v>268435456</v>
    <v>1</v>
    <v>Powered by Refinitiv</v>
    <v>41.17</v>
    <v>26.25</v>
    <v>0.67320000000000002</v>
    <v>0.5</v>
    <v>1.7313000000000002E-2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29.44</v>
    <v>Software &amp; IT Services</v>
    <v>Stock</v>
    <v>45946.666666666664</v>
    <v>50</v>
    <v>28.72</v>
    <v>38741250000</v>
    <v>Dassault Systemes SE</v>
    <v>Dassault Systemes SE</v>
    <v>28.83</v>
    <v>33.758499999999998</v>
    <v>28.88</v>
    <v>29.38</v>
    <v>1341456000</v>
    <v>DSY</v>
    <v>Dassault Systemes SE (XPAR:DSY)</v>
    <v>1427587</v>
    <v>1461880</v>
    <v>1981</v>
  </rv>
  <rv s="2">
    <v>51</v>
  </rv>
  <rv s="0">
    <v>https://www.bing.com/financeapi/forcetrigger?t=a1rec7&amp;q=XNYS%3aDVA&amp;form=skydnc</v>
    <v>Learn more on Bing</v>
  </rv>
  <rv s="1">
    <v>0</v>
    <v>DAVITA INC. (XNYS:DVA)</v>
    <v>2</v>
    <v>3</v>
    <v>Finance</v>
    <v>4</v>
    <v>en-US</v>
    <v>a1rec7</v>
    <v>268435456</v>
    <v>1</v>
    <v>Powered by Refinitiv</v>
    <v>179.6</v>
    <v>122.925</v>
    <v>1.1437999999999999</v>
    <v>0.04</v>
    <v>3.1750000000000002E-4</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126.9</v>
    <v>Healthcare Providers &amp; Services</v>
    <v>Stock</v>
    <v>45946.692164490625</v>
    <v>53</v>
    <v>124.82</v>
    <v>9011860000</v>
    <v>DAVITA INC.</v>
    <v>DAVITA INC.</v>
    <v>125.65</v>
    <v>12.3847</v>
    <v>126</v>
    <v>126.04</v>
    <v>71500000</v>
    <v>DVA</v>
    <v>DAVITA INC. (XNYS:DVA)</v>
    <v>183801</v>
    <v>782434</v>
    <v>1994</v>
  </rv>
  <rv s="2">
    <v>54</v>
  </rv>
  <rv s="0">
    <v>https://www.bing.com/financeapi/forcetrigger?t=a1rgur&amp;q=XNYS%3aDXC&amp;form=skydnc</v>
    <v>Learn more on Bing</v>
  </rv>
  <rv s="1">
    <v>0</v>
    <v>DXC TECHNOLOGY COMPANY (XNYS:DXC)</v>
    <v>2</v>
    <v>3</v>
    <v>Finance</v>
    <v>4</v>
    <v>en-US</v>
    <v>a1rgur</v>
    <v>268435456</v>
    <v>1</v>
    <v>Powered by Refinitiv</v>
    <v>24.83</v>
    <v>12.24</v>
    <v>1.1546000000000001</v>
    <v>-0.38</v>
    <v>-2.9007999999999999E-2</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13.12</v>
    <v>Software &amp; IT Services</v>
    <v>Stock</v>
    <v>45946.692256168753</v>
    <v>56</v>
    <v>12.63</v>
    <v>2276863464</v>
    <v>DXC TECHNOLOGY COMPANY</v>
    <v>DXC TECHNOLOGY COMPANY</v>
    <v>13.05</v>
    <v>6.2108999999999996</v>
    <v>13.1</v>
    <v>12.72</v>
    <v>178998700</v>
    <v>DXC</v>
    <v>DXC TECHNOLOGY COMPANY (XNYS:DXC)</v>
    <v>1002629</v>
    <v>1861245</v>
    <v>2017</v>
  </rv>
  <rv s="2">
    <v>57</v>
  </rv>
  <rv s="0">
    <v>https://www.bing.com/financeapi/forcetrigger?t=af9doc&amp;q=XFRA%3aEOAN&amp;form=skydnc</v>
    <v>Learn more on Bing</v>
  </rv>
  <rv s="1">
    <v>0</v>
    <v>E.ON SE (XFRA:EOAN)</v>
    <v>2</v>
    <v>7</v>
    <v>Finance</v>
    <v>8</v>
    <v>en-US</v>
    <v>af9doc</v>
    <v>268435456</v>
    <v>1</v>
    <v>Powered by Refinitiv</v>
    <v>16.515000000000001</v>
    <v>7.3</v>
    <v>0.72060000000000002</v>
    <v>7.0000000000000007E-2</v>
    <v>4.3210000000000002E-3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16.305</v>
    <v>Multiline Utilities</v>
    <v>Stock</v>
    <v>45946.673611111109</v>
    <v>59</v>
    <v>16.13</v>
    <v>43000670000</v>
    <v>E.ON SE</v>
    <v>E.ON SE</v>
    <v>16.239999999999998</v>
    <v>13.446300000000001</v>
    <v>16.2</v>
    <v>16.27</v>
    <v>2641319000</v>
    <v>EOAN</v>
    <v>E.ON SE (XFRA:EOAN)</v>
    <v>5764</v>
    <v>3019760</v>
    <v>2017</v>
  </rv>
  <rv s="2">
    <v>60</v>
  </rv>
  <rv s="0">
    <v>https://www.bing.com/financeapi/forcetrigger?t=a1s2zr&amp;q=XNAS%3aEPIX&amp;form=skydnc</v>
    <v>Learn more on Bing</v>
  </rv>
  <rv s="1">
    <v>0</v>
    <v>ESSA Pharma Inc. (XNAS:EPIX)</v>
    <v>2</v>
    <v>3</v>
    <v>Finance</v>
    <v>15</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62.14</v>
    <v>41.6</v>
    <v>1.4107000000000001</v>
    <v>-0.54720000000000002</v>
    <v>-9.4669999999999997E-3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58.4</v>
    <v>Automobiles &amp; Auto Parts</v>
    <v>Stock</v>
    <v>45946.692254640628</v>
    <v>65</v>
    <v>57.17</v>
    <v>54509119867</v>
    <v>GENERAL MOTORS COMPANY</v>
    <v>GENERAL MOTORS COMPANY</v>
    <v>58</v>
    <v>8.2524999999999995</v>
    <v>57.8</v>
    <v>57.252800000000001</v>
    <v>952077800</v>
    <v>GM</v>
    <v>GENERAL MOTORS COMPANY (XNYS:GM)</v>
    <v>2144598</v>
    <v>7992644</v>
    <v>2009</v>
  </rv>
  <rv s="2">
    <v>66</v>
  </rv>
  <rv s="0">
    <v>https://www.bing.com/financeapi/forcetrigger?t=a1utqh&amp;q=XNYS%3aHPE&amp;form=skydnc</v>
    <v>Learn more on Bing</v>
  </rv>
  <rv s="1">
    <v>0</v>
    <v>HEWLETT PACKARD ENTERPRISE COMPANY (XNYS:HPE)</v>
    <v>2</v>
    <v>3</v>
    <v>Finance</v>
    <v>4</v>
    <v>en-US</v>
    <v>a1utqh</v>
    <v>268435456</v>
    <v>1</v>
    <v>Powered by Refinitiv</v>
    <v>26.44</v>
    <v>11.965</v>
    <v>1.4415</v>
    <v>-2.7749999999999999</v>
    <v>-0.110823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23.49</v>
    <v>Computers, Phones &amp; Household Electronics</v>
    <v>Stock</v>
    <v>45946.692271122658</v>
    <v>68</v>
    <v>22.11</v>
    <v>29377554250</v>
    <v>HEWLETT PACKARD ENTERPRISE COMPANY</v>
    <v>HEWLETT PACKARD ENTERPRISE COMPANY</v>
    <v>23.12</v>
    <v>26.706199999999999</v>
    <v>25.04</v>
    <v>22.265000000000001</v>
    <v>1319450000</v>
    <v>HPE</v>
    <v>HEWLETT PACKARD ENTERPRISE COMPANY (XNYS:HPE)</v>
    <v>42265987</v>
    <v>25805295</v>
    <v>2015</v>
  </rv>
  <rv s="2">
    <v>69</v>
  </rv>
  <rv s="0">
    <v>http://en.wikipedia.org/wiki/Hewlett-Packard</v>
    <v>Wikipedia</v>
  </rv>
  <rv s="4">
    <v>43</v>
    <v>71</v>
  </rv>
  <rv s="5">
    <v>14</v>
    <v>https://www.bing.com/th?id=AMMS_98757b1e7b158827481b7c629463c21b&amp;qlt=95</v>
    <v>72</v>
    <v>0</v>
    <v>https://www.bing.com/images/search?form=xlimg&amp;q=hp+company</v>
    <v>Image of HP INC.</v>
  </rv>
  <rv s="0">
    <v>https://www.bing.com/financeapi/forcetrigger?t=a1uu5r&amp;q=XNYS%3aHPQ&amp;form=skydnc</v>
    <v>Learn more on Bing</v>
  </rv>
  <rv s="6">
    <v>10</v>
    <v>HP INC. (XNYS:HPQ)</v>
    <v>12</v>
    <v>13</v>
    <v>Finance</v>
    <v>4</v>
    <v>en-US</v>
    <v>a1uu5r</v>
    <v>268435456</v>
    <v>1</v>
    <v>Powered by Refinitiv</v>
    <v>39.795000000000002</v>
    <v>21.21</v>
    <v>1.2882</v>
    <v>-1.1000000000000001</v>
    <v>-3.8448000000000003E-2</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28.73</v>
    <v>73</v>
    <v>Computers, Phones &amp; Household Electronics</v>
    <v>Stock</v>
    <v>45946.692285022655</v>
    <v>74</v>
    <v>27.49</v>
    <v>25713646518</v>
    <v>HP INC.</v>
    <v>HP INC.</v>
    <v>28.7</v>
    <v>10.0215</v>
    <v>28.61</v>
    <v>27.51</v>
    <v>934701800</v>
    <v>HPQ</v>
    <v>HP INC. (XNYS:HPQ)</v>
    <v>10490316</v>
    <v>11318802</v>
    <v>1998</v>
  </rv>
  <rv s="2">
    <v>75</v>
  </rv>
  <rv s="0">
    <v>https://www.bing.com/financeapi/forcetrigger?t=ao9wcw&amp;q=XLON%3aIAG&amp;form=skydnc</v>
    <v>Learn more on Bing</v>
  </rv>
  <rv s="1">
    <v>0</v>
    <v>International Consolidated Airlines Group SA (XLON:IAG)</v>
    <v>2</v>
    <v>5</v>
    <v>Finance</v>
    <v>6</v>
    <v>en-US</v>
    <v>ao9wcw</v>
    <v>268435456</v>
    <v>1</v>
    <v>Powered by Refinitiv</v>
    <v>416</v>
    <v>195.738</v>
    <v>2.8873000000000002</v>
    <v>-1.2</v>
    <v>-2.9449999999999997E-3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411.9</v>
    <v>Passenger Transportation Services</v>
    <v>Stock</v>
    <v>45946.630590277775</v>
    <v>77</v>
    <v>398.9</v>
    <v>18689170000</v>
    <v>International Consolidated Airlines Group SA</v>
    <v>International Consolidated Airlines Group SA</v>
    <v>409.9</v>
    <v>7.3193999999999999</v>
    <v>407.5</v>
    <v>406.3</v>
    <v>4599333000</v>
    <v>IAG</v>
    <v>International Consolidated Airlines Group SA (XLON:IAG)</v>
    <v>9228028</v>
    <v>13923050</v>
    <v>2009</v>
  </rv>
  <rv s="2">
    <v>78</v>
  </rv>
  <rv s="0">
    <v>https://www.bing.com/financeapi/forcetrigger?t=a1wmu2&amp;q=XNYS%3aKR&amp;form=skydnc</v>
    <v>Learn more on Bing</v>
  </rv>
  <rv s="1">
    <v>0</v>
    <v>THE KROGER CO. (XNYS:KR)</v>
    <v>2</v>
    <v>3</v>
    <v>Finance</v>
    <v>4</v>
    <v>en-US</v>
    <v>a1wmu2</v>
    <v>268435456</v>
    <v>1</v>
    <v>Powered by Refinitiv</v>
    <v>74.900000000000006</v>
    <v>55.6</v>
    <v>0.55020000000000002</v>
    <v>-0.17</v>
    <v>-2.4599999999999999E-3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69.81</v>
    <v>Food &amp; Drug Retailing</v>
    <v>Stock</v>
    <v>45946.69226740703</v>
    <v>80</v>
    <v>68.885000000000005</v>
    <v>45678408326</v>
    <v>THE KROGER CO.</v>
    <v>THE KROGER CO.</v>
    <v>68.995000000000005</v>
    <v>17.463000000000001</v>
    <v>69.099999999999994</v>
    <v>68.930000000000007</v>
    <v>662678200</v>
    <v>KR</v>
    <v>THE KROGER CO. (XNYS:KR)</v>
    <v>1717635</v>
    <v>7836690</v>
    <v>1902</v>
  </rv>
  <rv s="2">
    <v>81</v>
  </rv>
  <rv s="0">
    <v>https://www.bing.com/financeapi/forcetrigger?t=bvuap2&amp;q=XNAS%3aLNSR&amp;form=skydnc</v>
    <v>Learn more on Bing</v>
  </rv>
  <rv s="1">
    <v>0</v>
    <v>LENSAR, INC. (XNAS:LNSR)</v>
    <v>2</v>
    <v>3</v>
    <v>Finance</v>
    <v>4</v>
    <v>en-US</v>
    <v>bvuap2</v>
    <v>268435456</v>
    <v>1</v>
    <v>Powered by Refinitiv</v>
    <v>17.309999999999999</v>
    <v>5.25</v>
    <v>0.501</v>
    <v>7.0000000000000007E-2</v>
    <v>6.0289999999999996E-3</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11.85</v>
    <v>Healthcare Equipment &amp; Supplies</v>
    <v>Stock</v>
    <v>45946.692012187501</v>
    <v>83</v>
    <v>11.61</v>
    <v>139398230</v>
    <v>LENSAR, INC.</v>
    <v>LENSAR, INC.</v>
    <v>11.61</v>
    <v>0</v>
    <v>11.61</v>
    <v>11.68</v>
    <v>11934780</v>
    <v>LNSR</v>
    <v>LENSAR, INC. (XNAS:LNSR)</v>
    <v>8372</v>
    <v>51005</v>
    <v>2004</v>
  </rv>
  <rv s="2">
    <v>84</v>
  </rv>
  <rv s="0">
    <v>https://www.bing.com/financeapi/forcetrigger?t=a1qgzr&amp;q=XNYS%3aLUMN&amp;form=skydnc</v>
    <v>Learn more on Bing</v>
  </rv>
  <rv s="1">
    <v>0</v>
    <v>LUMEN TECHNOLOGIES, INC. (XNYS:LUMN)</v>
    <v>2</v>
    <v>3</v>
    <v>Finance</v>
    <v>4</v>
    <v>en-US</v>
    <v>a1qgzr</v>
    <v>268435456</v>
    <v>1</v>
    <v>Powered by Refinitiv</v>
    <v>10.33</v>
    <v>3.01</v>
    <v>1.3767</v>
    <v>-0.17499999999999999</v>
    <v>-2.4072E-2</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7.4550000000000001</v>
    <v>Telecommunications Services</v>
    <v>Stock</v>
    <v>45946.692229617969</v>
    <v>86</v>
    <v>7.0742000000000003</v>
    <v>7280470395</v>
    <v>LUMEN TECHNOLOGIES, INC.</v>
    <v>LUMEN TECHNOLOGIES, INC.</v>
    <v>7.31</v>
    <v>0</v>
    <v>7.27</v>
    <v>7.0949999999999998</v>
    <v>1026141000</v>
    <v>LUMN</v>
    <v>LUMEN TECHNOLOGIES, INC. (XNYS:LUMN)</v>
    <v>4080614</v>
    <v>17045008</v>
    <v>1968</v>
  </rv>
  <rv s="2">
    <v>87</v>
  </rv>
  <rv s="0">
    <v>https://www.bing.com/financeapi/forcetrigger?t=bo5fpr&amp;q=XNAS%3aMRNA&amp;form=skydnc</v>
    <v>Learn more on Bing</v>
  </rv>
  <rv s="1">
    <v>0</v>
    <v>MODERNA, INC. (XNAS:MRNA)</v>
    <v>2</v>
    <v>3</v>
    <v>Finance</v>
    <v>4</v>
    <v>en-US</v>
    <v>bo5fpr</v>
    <v>268435456</v>
    <v>1</v>
    <v>Powered by Refinitiv</v>
    <v>58.45</v>
    <v>23.15</v>
    <v>2.0034000000000001</v>
    <v>0.13500000000000001</v>
    <v>4.8700000000000002E-3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28.48</v>
    <v>Pharmaceuticals</v>
    <v>Stock</v>
    <v>45946.692222325779</v>
    <v>89</v>
    <v>27.4</v>
    <v>10837817829</v>
    <v>MODERNA, INC.</v>
    <v>MODERNA, INC.</v>
    <v>27.94</v>
    <v>0</v>
    <v>27.72</v>
    <v>27.855</v>
    <v>389079800</v>
    <v>MRNA</v>
    <v>MODERNA, INC. (XNAS:MRNA)</v>
    <v>3765208</v>
    <v>11519986</v>
    <v>2016</v>
  </rv>
  <rv s="2">
    <v>90</v>
  </rv>
  <rv s="0">
    <v>https://en.wikipedia.org/wiki/Microsoft</v>
    <v>Wikipedia</v>
  </rv>
  <rv s="4">
    <v>43</v>
    <v>92</v>
  </rv>
  <rv s="5">
    <v>14</v>
    <v>https://www.bing.com/th?id=AMMS_e6e837c7bf3a77408619758b7447855a&amp;qlt=95</v>
    <v>93</v>
    <v>0</v>
    <v>https://www.bing.com/images/search?form=xlimg&amp;q=microsoft</v>
    <v>Image of MICROSOFT CORPORATION</v>
  </rv>
  <rv s="0">
    <v>https://www.bing.com/financeapi/forcetrigger?t=a1xzim&amp;q=XNAS%3aMSFT&amp;form=skydnc</v>
    <v>Learn more on Bing</v>
  </rv>
  <rv s="6">
    <v>10</v>
    <v>MICROSOFT CORPORATION (XNAS:MSFT)</v>
    <v>12</v>
    <v>13</v>
    <v>Finance</v>
    <v>4</v>
    <v>en-US</v>
    <v>a1xzim</v>
    <v>268435456</v>
    <v>1</v>
    <v>Powered by Refinitiv</v>
    <v>555.45000000000005</v>
    <v>344.79</v>
    <v>1.0206</v>
    <v>-2.3515999999999999</v>
    <v>-4.5799999999999999E-3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516.85</v>
    <v>94</v>
    <v>Software &amp; IT Services</v>
    <v>Stock</v>
    <v>45946.692293321095</v>
    <v>95</v>
    <v>510.3897</v>
    <v>3798931097292</v>
    <v>MICROSOFT CORPORATION</v>
    <v>MICROSOFT CORPORATION</v>
    <v>512.72</v>
    <v>37.466099999999997</v>
    <v>513.42999999999995</v>
    <v>511.07839999999999</v>
    <v>7433167000</v>
    <v>MSFT</v>
    <v>MICROSOFT CORPORATION (XNAS:MSFT)</v>
    <v>5106406</v>
    <v>19349208</v>
    <v>1993</v>
  </rv>
  <rv s="2">
    <v>96</v>
  </rv>
  <rv s="0">
    <v>https://www.bing.com/financeapi/forcetrigger?t=a1ye2w&amp;q=XNYS%3aNEE&amp;form=skydnc</v>
    <v>Learn more on Bing</v>
  </rv>
  <rv s="1">
    <v>0</v>
    <v>NEXTERA ENERGY, INC. (XNYS:NEE)</v>
    <v>2</v>
    <v>3</v>
    <v>Finance</v>
    <v>4</v>
    <v>en-US</v>
    <v>a1ye2w</v>
    <v>268435456</v>
    <v>1</v>
    <v>Powered by Refinitiv</v>
    <v>86.74</v>
    <v>61.72</v>
    <v>0.66010000000000002</v>
    <v>-0.35320000000000001</v>
    <v>-4.117E-3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86.74</v>
    <v>Electrical Utilities &amp; IPPs</v>
    <v>Stock</v>
    <v>45946.692257314062</v>
    <v>98</v>
    <v>85.42</v>
    <v>175939318745</v>
    <v>NEXTERA ENERGY, INC.</v>
    <v>NEXTERA ENERGY, INC.</v>
    <v>86.21</v>
    <v>31.953299999999999</v>
    <v>85.79</v>
    <v>85.436800000000005</v>
    <v>2059292000</v>
    <v>NEE</v>
    <v>NEXTERA ENERGY, INC. (XNYS:NEE)</v>
    <v>3472398</v>
    <v>10621592</v>
    <v>1984</v>
  </rv>
  <rv s="2">
    <v>99</v>
  </rv>
  <rv s="0">
    <v>https://www.bing.com/financeapi/forcetrigger?t=a1yeec&amp;q=XNYS%3aNEM&amp;form=skydnc</v>
    <v>Learn more on Bing</v>
  </rv>
  <rv s="1">
    <v>0</v>
    <v>NEWMONT CORPORATION (XNYS:NEM)</v>
    <v>2</v>
    <v>3</v>
    <v>Finance</v>
    <v>4</v>
    <v>en-US</v>
    <v>a1yeec</v>
    <v>268435456</v>
    <v>1</v>
    <v>Powered by Refinitiv</v>
    <v>98.215000000000003</v>
    <v>36.86</v>
    <v>0.34089999999999998</v>
    <v>3.7</v>
    <v>3.9538000000000004E-2</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98.215000000000003</v>
    <v>Metals &amp; Mining</v>
    <v>Stock</v>
    <v>45946.692296596877</v>
    <v>101</v>
    <v>94.17</v>
    <v>102792900000</v>
    <v>NEWMONT CORPORATION</v>
    <v>NEWMONT CORPORATION</v>
    <v>95.04</v>
    <v>17.607900000000001</v>
    <v>93.58</v>
    <v>97.28</v>
    <v>1098450000</v>
    <v>NEM</v>
    <v>NEWMONT CORPORATION (XNYS:NEM)</v>
    <v>6456099</v>
    <v>11881721</v>
    <v>2001</v>
  </rv>
  <rv s="2">
    <v>102</v>
  </rv>
  <rv s="0">
    <v>https://www.bing.com/financeapi/forcetrigger?t=a1ygoc&amp;q=XNAS%3aNFLX&amp;form=skydnc</v>
    <v>Learn more on Bing</v>
  </rv>
  <rv s="1">
    <v>0</v>
    <v>NETFLIX, INC. (XNAS:NFLX)</v>
    <v>2</v>
    <v>3</v>
    <v>Finance</v>
    <v>4</v>
    <v>en-US</v>
    <v>a1ygoc</v>
    <v>268435456</v>
    <v>1</v>
    <v>Powered by Refinitiv</v>
    <v>1341.15</v>
    <v>677.88</v>
    <v>1.59</v>
    <v>-19.0579</v>
    <v>-1.5838000000000001E-2</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1216.71</v>
    <v>Software &amp; IT Services</v>
    <v>Stock</v>
    <v>45946.692304907032</v>
    <v>104</v>
    <v>1182.01</v>
    <v>503211483017</v>
    <v>NETFLIX, INC.</v>
    <v>NETFLIX, INC.</v>
    <v>1212.1500000000001</v>
    <v>50.463099999999997</v>
    <v>1203.29</v>
    <v>1184.2320999999999</v>
    <v>424926400</v>
    <v>NFLX</v>
    <v>NETFLIX, INC. (XNAS:NFLX)</v>
    <v>1371252</v>
    <v>3199894</v>
    <v>1997</v>
  </rv>
  <rv s="2">
    <v>105</v>
  </rv>
  <rv s="0">
    <v>https://www.bing.com/financeapi/forcetrigger?t=bwxx4c&amp;q=XNAS%3aDSAC&amp;form=skydnc</v>
    <v>Learn more on Bing</v>
  </rv>
  <rv s="1">
    <v>0</v>
    <v>FISCALNOTE HOLDINGS, INC. (XNYS:NOTE)</v>
    <v>2</v>
    <v>3</v>
    <v>Finance</v>
    <v>4</v>
    <v>en-US</v>
    <v>bwxx4c</v>
    <v>268435456</v>
    <v>1</v>
    <v>Powered by Refinitiv</v>
    <v>24.36</v>
    <v>3.8</v>
    <v>0.54510000000000003</v>
    <v>-0.25</v>
    <v>-5.3532999999999997E-2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4.7705000000000002</v>
    <v>Software &amp; IT Services</v>
    <v>Stock</v>
    <v>45946.692295914065</v>
    <v>107</v>
    <v>4.42</v>
    <v>63500858</v>
    <v>FISCALNOTE HOLDINGS, INC.</v>
    <v>FISCALNOTE HOLDINGS, INC.</v>
    <v>4.7050000000000001</v>
    <v>0</v>
    <v>4.67</v>
    <v>4.42</v>
    <v>14366710</v>
    <v>NOTE</v>
    <v>FISCALNOTE HOLDINGS, INC. (XNYS:NOTE)</v>
    <v>203243</v>
    <v>278476</v>
    <v>2022</v>
  </rv>
  <rv s="2">
    <v>108</v>
  </rv>
  <rv s="0">
    <v>https://www.bing.com/financeapi/forcetrigger?t=a1zfec&amp;q=XNAS%3aPAAS&amp;form=skydnc</v>
    <v>Learn more on Bing</v>
  </rv>
  <rv s="1">
    <v>0</v>
    <v>Pan American Silver Corp. (XNYS:PAAS)</v>
    <v>2</v>
    <v>9</v>
    <v>Finance</v>
    <v>4</v>
    <v>en-US</v>
    <v>a1zfec</v>
    <v>268435456</v>
    <v>1</v>
    <v>Powered by Refinitiv</v>
    <v>42.57</v>
    <v>19.8017</v>
    <v>0.90049999999999997</v>
    <v>1.03</v>
    <v>2.5115999999999999E-2</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42.57</v>
    <v>Metals &amp; Mining</v>
    <v>Stock</v>
    <v>45946.692273738285</v>
    <v>110</v>
    <v>40.930100000000003</v>
    <v>24331140000</v>
    <v>Pan American Silver Corp.</v>
    <v>Pan American Silver Corp.</v>
    <v>41.6</v>
    <v>29.188400000000001</v>
    <v>41.01</v>
    <v>42.04</v>
    <v>421976000</v>
    <v>PAAS</v>
    <v>Pan American Silver Corp. (XNYS:PAAS)</v>
    <v>3778851</v>
    <v>7235041</v>
    <v>1979</v>
  </rv>
  <rv s="2">
    <v>111</v>
  </rv>
  <rv s="0">
    <v>https://www.bing.com/financeapi/forcetrigger?t=a2sqhw&amp;q=XNAS%3aPROF&amp;form=skydnc</v>
    <v>Learn more on Bing</v>
  </rv>
  <rv s="1">
    <v>0</v>
    <v>Profound Medical Corp. (XNAS:PROF)</v>
    <v>2</v>
    <v>9</v>
    <v>Finance</v>
    <v>4</v>
    <v>en-US</v>
    <v>a2sqhw</v>
    <v>268435456</v>
    <v>1</v>
    <v>Powered by Refinitiv</v>
    <v>9.17</v>
    <v>3.76</v>
    <v>0.34949999999999998</v>
    <v>-0.1</v>
    <v>-1.7361000000000001E-2</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5.9</v>
    <v>Healthcare Equipment &amp; Supplies</v>
    <v>Stock</v>
    <v>45946.69160391172</v>
    <v>113</v>
    <v>5.6</v>
    <v>240970100</v>
    <v>Profound Medical Corp.</v>
    <v>Profound Medical Corp.</v>
    <v>5.77</v>
    <v>0</v>
    <v>5.76</v>
    <v>5.66</v>
    <v>30121260</v>
    <v>PROF</v>
    <v>Profound Medical Corp. (XNAS:PROF)</v>
    <v>21891</v>
    <v>153206</v>
    <v>2014</v>
  </rv>
  <rv s="2">
    <v>114</v>
  </rv>
  <rv s="0">
    <v>https://www.bing.com/financeapi/forcetrigger?t=a2si9c&amp;q=XNAS%3aPOET&amp;form=skydnc</v>
    <v>Learn more on Bing</v>
  </rv>
  <rv s="1">
    <v>0</v>
    <v>POET Technologies Inc. (XNAS:POET)</v>
    <v>2</v>
    <v>3</v>
    <v>Finance</v>
    <v>4</v>
    <v>en-US</v>
    <v>a2si9c</v>
    <v>268435456</v>
    <v>1</v>
    <v>Powered by Refinitiv</v>
    <v>9.41</v>
    <v>3.09</v>
    <v>0.31669999999999998</v>
    <v>-0.64</v>
    <v>-7.6923000000000005E-2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8.84</v>
    <v>Semiconductors &amp; Semiconductor Equipment</v>
    <v>Stock</v>
    <v>45946.6922423375</v>
    <v>116</v>
    <v>7.63</v>
    <v>801590784</v>
    <v>POET Technologies Inc.</v>
    <v>POET Technologies Inc.</v>
    <v>8.56</v>
    <v>0</v>
    <v>8.32</v>
    <v>7.68</v>
    <v>104373800</v>
    <v>POET</v>
    <v>POET Technologies Inc. (XNAS:POET)</v>
    <v>8281610</v>
    <v>11535939</v>
    <v>2010</v>
  </rv>
  <rv s="2">
    <v>117</v>
  </rv>
  <rv s="0">
    <v>https://www.bing.com/financeapi/forcetrigger?t=a21g2w&amp;q=XNYS%3aPW&amp;form=skydnc</v>
    <v>Learn more on Bing</v>
  </rv>
  <rv s="7">
    <v>16</v>
    <v>POWER REIT (XNYS:PW)</v>
    <v>2</v>
    <v>17</v>
    <v>Finance</v>
    <v>4</v>
    <v>en-US</v>
    <v>a21g2w</v>
    <v>268435456</v>
    <v>1</v>
    <v>Powered by Refinitiv</v>
    <v>2.59</v>
    <v>0.82420000000000004</v>
    <v>1.5988</v>
    <v>-2.07E-2</v>
    <v>-2.2676999999999999E-2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0.92279999999999995</v>
    <v>Residential &amp; Commercial REIT</v>
    <v>Stock</v>
    <v>45946.686810103907</v>
    <v>119</v>
    <v>0.88</v>
    <v>3094080</v>
    <v>POWER REIT</v>
    <v>POWER REIT</v>
    <v>0.91</v>
    <v>0.91279999999999994</v>
    <v>0.8921</v>
    <v>3389660</v>
    <v>PW</v>
    <v>POWER REIT (XNYS:PW)</v>
    <v>38990</v>
    <v>200020</v>
    <v>2011</v>
  </rv>
  <rv s="2">
    <v>120</v>
  </rv>
  <rv s="0">
    <v>https://www.bing.com/financeapi/forcetrigger?t=a2218m&amp;q=XNAS%3aRIGL&amp;form=skydnc</v>
    <v>Learn more on Bing</v>
  </rv>
  <rv s="1">
    <v>0</v>
    <v>RIGEL PHARMACEUTICALS, INC. (XNAS:RIGL)</v>
    <v>2</v>
    <v>3</v>
    <v>Finance</v>
    <v>4</v>
    <v>en-US</v>
    <v>a2218m</v>
    <v>268435456</v>
    <v>1</v>
    <v>Powered by Refinitiv</v>
    <v>43.7181</v>
    <v>13.570499999999999</v>
    <v>1.2163999999999999</v>
    <v>-0.28499999999999998</v>
    <v>-1.0139E-2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28.45</v>
    <v>Pharmaceuticals</v>
    <v>Stock</v>
    <v>45946.691877696096</v>
    <v>122</v>
    <v>27.7</v>
    <v>499106485</v>
    <v>RIGEL PHARMACEUTICALS, INC.</v>
    <v>RIGEL PHARMACEUTICALS, INC.</v>
    <v>28.45</v>
    <v>5.1384999999999996</v>
    <v>28.11</v>
    <v>27.824999999999999</v>
    <v>17937340</v>
    <v>RIGL</v>
    <v>RIGEL PHARMACEUTICALS, INC. (XNAS:RIGL)</v>
    <v>161321</v>
    <v>644319</v>
    <v>1996</v>
  </rv>
  <rv s="2">
    <v>123</v>
  </rv>
  <rv s="0">
    <v>https://www.bing.com/financeapi/forcetrigger?t=afjzfr&amp;q=XFRA%3aRWE&amp;form=skydnc</v>
    <v>Learn more on Bing</v>
  </rv>
  <rv s="1">
    <v>0</v>
    <v>RWE AG (XFRA:RWE)</v>
    <v>2</v>
    <v>7</v>
    <v>Finance</v>
    <v>8</v>
    <v>en-US</v>
    <v>afjzfr</v>
    <v>268435456</v>
    <v>1</v>
    <v>Powered by Refinitiv</v>
    <v>44.03</v>
    <v>14.231</v>
    <v>0.51549999999999996</v>
    <v>0.7</v>
    <v>1.7169E-2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41.5</v>
    <v>Multiline Utilities</v>
    <v>Stock</v>
    <v>45946.681250000001</v>
    <v>125</v>
    <v>40.85</v>
    <v>30490050000</v>
    <v>RWE AG</v>
    <v>RWE AG</v>
    <v>40.85</v>
    <v>11.8825</v>
    <v>40.770000000000003</v>
    <v>41.47</v>
    <v>743841200</v>
    <v>RWE</v>
    <v>RWE AG (XFRA:RWE)</v>
    <v>5885</v>
    <v>1950430</v>
    <v>2000</v>
  </rv>
  <rv s="2">
    <v>126</v>
  </rv>
  <rv s="0">
    <v>https://www.bing.com/financeapi/forcetrigger?t=aftlr7&amp;q=XETR%3aSAP&amp;form=skydnc</v>
    <v>Learn more on Bing</v>
  </rv>
  <rv s="1">
    <v>0</v>
    <v>Sap Se (XETR:SAP)</v>
    <v>2</v>
    <v>7</v>
    <v>Finance</v>
    <v>8</v>
    <v>en-US</v>
    <v>aftlr7</v>
    <v>268435456</v>
    <v>1</v>
    <v>Powered by Refinitiv</v>
    <v>283.5</v>
    <v>208.7</v>
    <v>0.99129999999999996</v>
    <v>-1</v>
    <v>-4.2699999999999995E-3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237.1</v>
    <v>Software &amp; IT Services</v>
    <v>Stock</v>
    <v>45946.65625</v>
    <v>128</v>
    <v>230.35</v>
    <v>287715700000</v>
    <v>Sap Se</v>
    <v>Sap Se</v>
    <v>231.2</v>
    <v>41.636899999999997</v>
    <v>234.2</v>
    <v>233.2</v>
    <v>1228504000</v>
    <v>SAP</v>
    <v>Sap Se (XETR:SAP)</v>
    <v>1149922</v>
    <v>1126030</v>
    <v>2014</v>
  </rv>
  <rv s="2">
    <v>129</v>
  </rv>
  <rv s="0">
    <v>https://www.bing.com/financeapi/forcetrigger?t=a2vkww&amp;q=OTCM%3aSHECY&amp;form=skydnc</v>
    <v>Learn more on Bing</v>
  </rv>
  <rv s="1">
    <v>0</v>
    <v>Shin-Etsu Chemical Co., Ltd. (OTCM:SHECY)</v>
    <v>2</v>
    <v>18</v>
    <v>Finance</v>
    <v>8</v>
    <v>en-US</v>
    <v>a2vkww</v>
    <v>268435456</v>
    <v>1</v>
    <v>Powered by Refinitiv</v>
    <v>20.61</v>
    <v>11.88</v>
    <v>1.5262</v>
    <v>-0.04</v>
    <v>-2.418E-3</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16.54</v>
    <v>Chemicals</v>
    <v>Stock</v>
    <v>45946.681621075782</v>
    <v>131</v>
    <v>16.41</v>
    <v>9913069000000</v>
    <v>Shin-Etsu Chemical Co., Ltd.</v>
    <v>Shin-Etsu Chemical Co., Ltd.</v>
    <v>16.46</v>
    <v>0</v>
    <v>16.54</v>
    <v>16.5</v>
    <v>1984996000</v>
    <v>SHECY</v>
    <v>Shin-Etsu Chemical Co., Ltd. (OTCM:SHECY)</v>
    <v>357753</v>
    <v>8342700</v>
    <v>1926</v>
  </rv>
  <rv s="2">
    <v>132</v>
  </rv>
  <rv s="0">
    <v>https://www.bing.com/financeapi/forcetrigger?t=a23myc&amp;q=XNAS%3aSSYS&amp;form=skydnc</v>
    <v>Learn more on Bing</v>
  </rv>
  <rv s="1">
    <v>0</v>
    <v>STRATASYS LTD (XNAS:SSYS)</v>
    <v>2</v>
    <v>3</v>
    <v>Finance</v>
    <v>4</v>
    <v>en-US</v>
    <v>a23myc</v>
    <v>268435456</v>
    <v>1</v>
    <v>Powered by Refinitiv</v>
    <v>12.88</v>
    <v>6.92</v>
    <v>1.6106</v>
    <v>6.9900000000000004E-2</v>
    <v>6.0569999999999999E-3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12.2674</v>
    <v>Electronic Equipment &amp; Parts</v>
    <v>Stock</v>
    <v>45946.692217974218</v>
    <v>134</v>
    <v>11.55</v>
    <v>987924471</v>
    <v>STRATASYS LTD</v>
    <v>STRATASYS LTD</v>
    <v>11.86</v>
    <v>0</v>
    <v>11.54</v>
    <v>11.6099</v>
    <v>85093280</v>
    <v>SSYS</v>
    <v>STRATASYS LTD (XNAS:SSYS)</v>
    <v>753184</v>
    <v>980928</v>
    <v>1998</v>
  </rv>
  <rv s="2">
    <v>135</v>
  </rv>
  <rv s="0">
    <v>https://www.bing.com/financeapi/forcetrigger?t=a24kar&amp;q=XNAS%3aTSLA&amp;form=skydnc</v>
    <v>Learn more on Bing</v>
  </rv>
  <rv s="1">
    <v>0</v>
    <v>TESLA, INC. (XNAS:TSLA)</v>
    <v>2</v>
    <v>3</v>
    <v>Finance</v>
    <v>4</v>
    <v>en-US</v>
    <v>a24kar</v>
    <v>268435456</v>
    <v>1</v>
    <v>Powered by Refinitiv</v>
    <v>488.53989999999999</v>
    <v>212.11</v>
    <v>2.0739000000000001</v>
    <v>-7.56</v>
    <v>-1.7373E-2</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439.35</v>
    <v>Automobiles &amp; Auto Parts</v>
    <v>Stock</v>
    <v>45946.692281145311</v>
    <v>137</v>
    <v>425.81</v>
    <v>1421801316090</v>
    <v>TESLA, INC.</v>
    <v>TESLA, INC.</v>
    <v>434.75</v>
    <v>238.27809999999999</v>
    <v>435.15</v>
    <v>427.59</v>
    <v>3325151000</v>
    <v>TSLA</v>
    <v>TESLA, INC. (XNAS:TSLA)</v>
    <v>39622725</v>
    <v>99519627</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1.2997000000000001</v>
    <v>-6.15</v>
    <v>-2.0183E-2</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311.36849999999998</v>
    <v>Semiconductors &amp; Semiconductor Equipment</v>
    <v>Stock</v>
    <v>45946.692298367969</v>
    <v>140</v>
    <v>297.49</v>
    <v>1238146000000</v>
    <v>Taiwan Semiconductor Manufacturing Co., Ltd.</v>
    <v>Taiwan Semiconductor Manufacturing Co., Ltd.</v>
    <v>311</v>
    <v>30.9498</v>
    <v>304.70999999999998</v>
    <v>298.56</v>
    <v>5186523000</v>
    <v>TSM</v>
    <v>Taiwan Semiconductor Manufacturing Co., Ltd. (XNYS:TSM)</v>
    <v>18073289</v>
    <v>13312896</v>
    <v>1987</v>
  </rv>
  <rv s="2">
    <v>141</v>
  </rv>
  <rv s="0">
    <v>https://www.bing.com/financeapi/forcetrigger?t=afn5ec&amp;q=XFRA%3aUN01&amp;form=skydnc</v>
    <v>Learn more on Bing</v>
  </rv>
  <rv s="7">
    <v>16</v>
    <v>Uniper SE (XFRA:UN0)</v>
    <v>2</v>
    <v>19</v>
    <v>Finance</v>
    <v>8</v>
    <v>en-US</v>
    <v>afn5ec</v>
    <v>268435456</v>
    <v>1</v>
    <v>Powered by Refinitiv</v>
    <v>73.5</v>
    <v>2.1</v>
    <v>1.0704</v>
    <v>0.15</v>
    <v>4.7470000000000004E-3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31.75</v>
    <v>Multiline Utilities</v>
    <v>Stock</v>
    <v>45946.679861111108</v>
    <v>143</v>
    <v>31.2</v>
    <v>13223090000</v>
    <v>Uniper SE</v>
    <v>Uniper SE</v>
    <v>31.7</v>
    <v>31.6</v>
    <v>31.75</v>
    <v>416475300</v>
    <v>UN0</v>
    <v>Uniper SE (XFRA:UN0)</v>
    <v>70</v>
    <v>5500</v>
    <v>2016</v>
  </rv>
  <rv s="2">
    <v>144</v>
  </rv>
  <rv s="0">
    <v>https://www.bing.com/financeapi/forcetrigger?t=a24xoc&amp;q=XNAS%3aUNIT&amp;form=skydnc</v>
    <v>Learn more on Bing</v>
  </rv>
  <rv s="1">
    <v>0</v>
    <v>UNITI GROUP INC. (XNAS:UNIT)</v>
    <v>2</v>
    <v>3</v>
    <v>Finance</v>
    <v>4</v>
    <v>en-US</v>
    <v>a24xoc</v>
    <v>268435456</v>
    <v>1</v>
    <v>Powered by Refinitiv</v>
    <v>10.466100000000001</v>
    <v>5.3</v>
    <v>1.5410999999999999</v>
    <v>-9.2499999999999999E-2</v>
    <v>-1.6171000000000001E-2</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5.91</v>
    <v>Telecommunications Services</v>
    <v>Stock</v>
    <v>45946.692235647657</v>
    <v>146</v>
    <v>5.6050000000000004</v>
    <v>832779397</v>
    <v>UNITI GROUP INC.</v>
    <v>UNITI GROUP INC.</v>
    <v>5.76</v>
    <v>23.654900000000001</v>
    <v>5.72</v>
    <v>5.6275000000000004</v>
    <v>147983900</v>
    <v>UNIT</v>
    <v>UNITI GROUP INC. (XNAS:UNIT)</v>
    <v>778604</v>
    <v>2892229</v>
    <v>2024</v>
  </rv>
  <rv s="2">
    <v>147</v>
  </rv>
  <rv s="0">
    <v>http://tr.wikipedia.org/wiki/Volvo</v>
    <v>Wikipedia</v>
  </rv>
  <rv s="4">
    <v>43</v>
    <v>149</v>
  </rv>
  <rv s="5">
    <v>14</v>
    <v>https://www.bing.com/th?id=AMMS_a85eaa33bec7c64e52ade4c230f05d74&amp;qlt=95</v>
    <v>150</v>
    <v>0</v>
    <v>https://www.bing.com/images/search?form=xlimg&amp;q=ab+volvo</v>
    <v>Image of Volvo AB</v>
  </rv>
  <rv s="0">
    <v>https://www.bing.com/financeapi/forcetrigger?t=a31af2&amp;q=OTCM%3aVLVLY&amp;form=skydnc</v>
    <v>Learn more on Bing</v>
  </rv>
  <rv s="6">
    <v>10</v>
    <v>Volvo AB (OTCM:VLVLY)</v>
    <v>12</v>
    <v>20</v>
    <v>Finance</v>
    <v>8</v>
    <v>en-US</v>
    <v>a31af2</v>
    <v>268435456</v>
    <v>1</v>
    <v>Powered by Refinitiv</v>
    <v>33.33</v>
    <v>22.55</v>
    <v>0.9264</v>
    <v>0.6</v>
    <v>2.1575E-2</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28.44</v>
    <v>151</v>
    <v>Machinery, Equipment &amp; Components</v>
    <v>Stock</v>
    <v>45946.681150346878</v>
    <v>152</v>
    <v>28.02</v>
    <v>539449400000</v>
    <v>Volvo AB</v>
    <v>Volvo AB</v>
    <v>28.114999999999998</v>
    <v>0</v>
    <v>27.81</v>
    <v>28.41</v>
    <v>2033452000</v>
    <v>VLVLY</v>
    <v>Volvo AB (OTCM:VLVLY)</v>
    <v>23495</v>
    <v>3223610</v>
    <v>1915</v>
  </rv>
  <rv s="2">
    <v>153</v>
  </rv>
  <rv s="0">
    <v>https://www.bing.com/financeapi/forcetrigger?t=an41hw&amp;q=XSWX%3aVONN&amp;form=skydnc</v>
    <v>Learn more on Bing</v>
  </rv>
  <rv s="1">
    <v>0</v>
    <v>Vontobel Holding Ltd (XSWX:VONN)</v>
    <v>2</v>
    <v>21</v>
    <v>Finance</v>
    <v>8</v>
    <v>en-US</v>
    <v>an41hw</v>
    <v>268435456</v>
    <v>1</v>
    <v>Powered by Refinitiv</v>
    <v>69.5</v>
    <v>51.1</v>
    <v>1.0192000000000001</v>
    <v>-0.4</v>
    <v>-6.6449999999999999E-3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60.5</v>
    <v>Investment Banking &amp; Investment Services</v>
    <v>Stock</v>
    <v>45946.652777777781</v>
    <v>155</v>
    <v>59.6</v>
    <v>3423875000</v>
    <v>Vontobel Holding Ltd</v>
    <v>Vontobel Holding Ltd</v>
    <v>60.5</v>
    <v>13.498900000000001</v>
    <v>60.2</v>
    <v>59.8</v>
    <v>56875000</v>
    <v>VONN</v>
    <v>Vontobel Holding Ltd (XSWX:VONN)</v>
    <v>21698</v>
    <v>36860</v>
    <v>1936</v>
  </rv>
  <rv s="2">
    <v>156</v>
  </rv>
  <rv s="0">
    <v>https://www.bing.com/financeapi/forcetrigger?t=a1y7rw&amp;q=XNAS%3aVTRS&amp;form=skydnc</v>
    <v>Learn more on Bing</v>
  </rv>
  <rv s="1">
    <v>0</v>
    <v>VIATRIS INC. (XNAS:VTRS)</v>
    <v>2</v>
    <v>3</v>
    <v>Finance</v>
    <v>4</v>
    <v>en-US</v>
    <v>a1y7rw</v>
    <v>268435456</v>
    <v>1</v>
    <v>Powered by Refinitiv</v>
    <v>13.55</v>
    <v>6.85</v>
    <v>0.89259999999999995</v>
    <v>0.115</v>
    <v>1.1523E-2</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10.199299999999999</v>
    <v>Pharmaceuticals</v>
    <v>Stock</v>
    <v>45946.692235555471</v>
    <v>158</v>
    <v>10.0419</v>
    <v>11769477840</v>
    <v>VIATRIS INC.</v>
    <v>VIATRIS INC.</v>
    <v>10.08</v>
    <v>0</v>
    <v>9.98</v>
    <v>10.095000000000001</v>
    <v>1165872000</v>
    <v>VTRS</v>
    <v>VIATRIS INC. (XNAS:VTRS)</v>
    <v>2240110</v>
    <v>10787470</v>
    <v>2019</v>
  </rv>
  <rv s="2">
    <v>159</v>
  </rv>
  <rv s="0">
    <v>https://www.bing.com/financeapi/forcetrigger?t=a25pm7&amp;q=XNAS%3aWBA&amp;form=skydnc</v>
    <v>Learn more on Bing</v>
  </rv>
  <rv s="1">
    <v>0</v>
    <v>WALGREENS BOOTS ALLIANCE, INC. (XNAS:WBA)</v>
    <v>2</v>
    <v>3</v>
    <v>Finance</v>
    <v>15</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0.46949999999999997</v>
    <v>-0.38990000000000002</v>
    <v>-3.493E-3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112.19</v>
    <v>Oil &amp; Gas</v>
    <v>Stock</v>
    <v>45946.692253900001</v>
    <v>164</v>
    <v>111.12</v>
    <v>474158757664</v>
    <v>EXXON MOBIL CORPORATION</v>
    <v>EXXON MOBIL CORPORATION</v>
    <v>111.85</v>
    <v>15.781499999999999</v>
    <v>111.61</v>
    <v>111.2201</v>
    <v>4263247000</v>
    <v>XOM</v>
    <v>EXXON MOBIL CORPORATION (XNYS:XOM)</v>
    <v>3261516</v>
    <v>15333339</v>
    <v>1882</v>
  </rv>
  <rv s="2">
    <v>165</v>
  </rv>
  <rv s="8">
    <v>22</v>
    <v>XPERI INC. (XNYS:XPER)</v>
    <v>23</v>
    <v>3</v>
    <v>Finance</v>
    <v>4</v>
    <v>en-US</v>
    <v>c7dbfr</v>
    <v>268435456</v>
    <v>1</v>
    <v>Powered by Refinitiv</v>
    <v>11.074999999999999</v>
    <v>5.6849999999999996</v>
    <v>1.1379999999999999</v>
    <v>-5.5E-2</v>
    <v>-8.1359999999999991E-3</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6.9</v>
    <v>Software &amp; IT Services</v>
    <v>Stock</v>
    <v>45946.691555508594</v>
    <v>6.68</v>
    <v>310174372</v>
    <v>XPERI INC.</v>
    <v>XPERI INC.</v>
    <v>6.87</v>
    <v>0</v>
    <v>6.76</v>
    <v>6.7050000000000001</v>
    <v>46260160</v>
    <v>XPER</v>
    <v>XPERI INC. (XNYS:XPER)</v>
    <v>197487</v>
    <v>502694</v>
    <v>2019</v>
  </rv>
  <rv s="2">
    <v>167</v>
  </rv>
  <rv s="0">
    <v>https://www.bing.com/financeapi/forcetrigger?t=ajezf2&amp;q=XMIL%3aENI&amp;form=skydnc</v>
    <v>Learn more on Bing</v>
  </rv>
  <rv s="9">
    <v>24</v>
    <v>Eni SpA (XMIL:ENI)</v>
    <v>2</v>
    <v>25</v>
    <v>Finance</v>
    <v>26</v>
    <v>en-US</v>
    <v>ajezf2</v>
    <v>268435456</v>
    <v>1</v>
    <v>Powered by Refinitiv</v>
    <v>15.53</v>
    <v>11.01</v>
    <v>1.0819000000000001</v>
    <v>4.3999999999999997E-2</v>
    <v>2.9889999999999999E-3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14.846</v>
    <v>Oil &amp; Gas</v>
    <v>Stock</v>
    <v>45946.666666666664</v>
    <v>169</v>
    <v>14.747999999999999</v>
    <v>46326680000</v>
    <v>Eni SpA</v>
    <v>Eni SpA</v>
    <v>14.78</v>
    <v>18.4483</v>
    <v>14.722</v>
    <v>14.766</v>
    <v>3146765000</v>
    <v>ENI</v>
    <v>Eni SpA (XMIL:ENI)</v>
    <v>6870097</v>
    <v>11073440</v>
  </rv>
  <rv s="2">
    <v>170</v>
  </rv>
  <rv s="0">
    <v>https://www.bing.com/financeapi/forcetrigger?t=ae8t4c&amp;q=XPAR%3aGLE&amp;form=skydnc</v>
    <v>Learn more on Bing</v>
  </rv>
  <rv s="9">
    <v>24</v>
    <v>Societe Generale SA (XPAR:GLE)</v>
    <v>2</v>
    <v>25</v>
    <v>Finance</v>
    <v>8</v>
    <v>en-US</v>
    <v>ae8t4c</v>
    <v>268435456</v>
    <v>1</v>
    <v>Powered by Refinitiv</v>
    <v>59.42</v>
    <v>22.87</v>
    <v>1.5998000000000001</v>
    <v>0.96</v>
    <v>1.7278999999999999E-2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56.74</v>
    <v>Banking Services</v>
    <v>Stock</v>
    <v>45946.666666666664</v>
    <v>172</v>
    <v>54.88</v>
    <v>43624620000</v>
    <v>Societe Generale SA</v>
    <v>Societe Generale SA</v>
    <v>55.42</v>
    <v>9.4662000000000006</v>
    <v>55.56</v>
    <v>56.52</v>
    <v>785180400</v>
    <v>GLE</v>
    <v>Societe Generale SA (XPAR:GLE)</v>
    <v>2290116</v>
    <v>2105370</v>
  </rv>
  <rv s="2">
    <v>173</v>
  </rv>
  <rv s="0">
    <v>https://www.bing.com/financeapi/forcetrigger?t=ae9qlh&amp;q=XPAR%3aORA&amp;form=skydnc</v>
    <v>Learn more on Bing</v>
  </rv>
  <rv s="1">
    <v>0</v>
    <v>Orange SA (XPAR:ORA)</v>
    <v>2</v>
    <v>7</v>
    <v>Finance</v>
    <v>8</v>
    <v>en-US</v>
    <v>ae9qlh</v>
    <v>268435456</v>
    <v>1</v>
    <v>Powered by Refinitiv</v>
    <v>14.56</v>
    <v>9.3699999999999992</v>
    <v>0.30769999999999997</v>
    <v>7.0000000000000007E-2</v>
    <v>4.9950000000000003E-3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14.135</v>
    <v>Telecommunications Services</v>
    <v>Stock</v>
    <v>45946.666666666664</v>
    <v>175</v>
    <v>13.815</v>
    <v>37280690000</v>
    <v>Orange SA</v>
    <v>Orange SA</v>
    <v>13.98</v>
    <v>44.488300000000002</v>
    <v>14.015000000000001</v>
    <v>14.085000000000001</v>
    <v>2660057000</v>
    <v>ORA</v>
    <v>Orange SA (XPAR:ORA)</v>
    <v>3147289</v>
    <v>3786590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3.4558</v>
    <v>-0.24010000000000001</v>
    <v>-0.11115700000000001</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2.15</v>
    <v>Electrical Utilities &amp; IPPs</v>
    <v>Stock</v>
    <v>45946.692179953126</v>
    <v>178</v>
    <v>1.89</v>
    <v>201040984</v>
    <v>BLINK CHARGING CO.</v>
    <v>BLINK CHARGING CO.</v>
    <v>2.13</v>
    <v>0</v>
    <v>2.16</v>
    <v>1.9198999999999999</v>
    <v>104714300</v>
    <v>BLNK</v>
    <v>BLINK CHARGING CO. (XNAS:BLNK)</v>
    <v>4781563</v>
    <v>6746214</v>
    <v>2006</v>
  </rv>
  <rv s="2">
    <v>179</v>
  </rv>
  <rv s="0">
    <v>https://www.bing.com/financeapi/forcetrigger?t=ao8g3m&amp;q=XLON%3aEZJ&amp;form=skydnc</v>
    <v>Learn more on Bing</v>
  </rv>
  <rv s="1">
    <v>0</v>
    <v>EASYJET PLC (XLON:EZJ)</v>
    <v>2</v>
    <v>5</v>
    <v>Finance</v>
    <v>6</v>
    <v>en-US</v>
    <v>ao8g3m</v>
    <v>268435456</v>
    <v>1</v>
    <v>Powered by Refinitiv</v>
    <v>594</v>
    <v>401.05</v>
    <v>2.8778999999999999</v>
    <v>9</v>
    <v>1.8723E-2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490.7</v>
    <v>Passenger Transportation Services</v>
    <v>Stock</v>
    <v>45946.633465242972</v>
    <v>181</v>
    <v>478.2</v>
    <v>3643754000</v>
    <v>EASYJET PLC</v>
    <v>EASYJET PLC</v>
    <v>481.3</v>
    <v>8.8225999999999996</v>
    <v>480.7</v>
    <v>489.7</v>
    <v>758010000</v>
    <v>EZJ</v>
    <v>EASYJET PLC (XLON:EZJ)</v>
    <v>4201698</v>
    <v>3717970</v>
    <v>2000</v>
  </rv>
  <rv s="2">
    <v>182</v>
  </rv>
  <rv s="0">
    <v>http://en.wikipedia.org/wiki/Ford_Motor_Company</v>
    <v>Wikipedia</v>
  </rv>
  <rv s="4">
    <v>43</v>
    <v>184</v>
  </rv>
  <rv s="5">
    <v>14</v>
    <v>https://www.bing.com/th?id=AMMS_cf0311a5f2d2dcb3110aca1404330618&amp;qlt=95</v>
    <v>185</v>
    <v>0</v>
    <v>https://www.bing.com/images/search?form=xlimg&amp;q=ford+motor+company</v>
    <v>Image of FORD MOTOR COMPANY</v>
  </rv>
  <rv s="0">
    <v>https://www.bing.com/financeapi/forcetrigger?t=a1sjw7&amp;q=XNYS%3aF&amp;form=skydnc</v>
    <v>Learn more on Bing</v>
  </rv>
  <rv s="6">
    <v>10</v>
    <v>FORD MOTOR COMPANY (XNYS:F)</v>
    <v>12</v>
    <v>13</v>
    <v>Finance</v>
    <v>4</v>
    <v>en-US</v>
    <v>a1sjw7</v>
    <v>268435456</v>
    <v>1</v>
    <v>Powered by Refinitiv</v>
    <v>12.8</v>
    <v>8.4405999999999999</v>
    <v>1.6032999999999999</v>
    <v>-9.11E-2</v>
    <v>-7.7470000000000004E-3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11.77</v>
    <v>186</v>
    <v>Automobiles &amp; Auto Parts</v>
    <v>Stock</v>
    <v>45946.692274814064</v>
    <v>187</v>
    <v>11.64</v>
    <v>46440588354</v>
    <v>FORD MOTOR COMPANY</v>
    <v>FORD MOTOR COMPANY</v>
    <v>11.74</v>
    <v>14.921900000000001</v>
    <v>11.76</v>
    <v>11.668900000000001</v>
    <v>3979860000</v>
    <v>F</v>
    <v>FORD MOTOR COMPANY (XNYS:F)</v>
    <v>51836837</v>
    <v>76342207</v>
    <v>1919</v>
  </rv>
  <rv s="2">
    <v>188</v>
  </rv>
  <rv s="0">
    <v>https://www.bing.com/financeapi/forcetrigger?t=a1u1z2&amp;q=XNYS%3aGNRC&amp;form=skydnc</v>
    <v>Learn more on Bing</v>
  </rv>
  <rv s="1">
    <v>0</v>
    <v>GENERAC HOLDINGS INC. (XNYS:GNRC)</v>
    <v>2</v>
    <v>3</v>
    <v>Finance</v>
    <v>4</v>
    <v>en-US</v>
    <v>a1u1z2</v>
    <v>268435456</v>
    <v>1</v>
    <v>Powered by Refinitiv</v>
    <v>203.2499</v>
    <v>99.5</v>
    <v>1.6700999999999999</v>
    <v>-2.6</v>
    <v>-1.3565000000000001E-2</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193.84</v>
    <v>Machinery, Equipment &amp; Components</v>
    <v>Stock</v>
    <v>45946.692223599217</v>
    <v>190</v>
    <v>188.77</v>
    <v>11093861866</v>
    <v>GENERAC HOLDINGS INC.</v>
    <v>GENERAC HOLDINGS INC.</v>
    <v>192.41</v>
    <v>31.395499999999998</v>
    <v>191.67</v>
    <v>189.07</v>
    <v>58675950</v>
    <v>GNRC</v>
    <v>GENERAC HOLDINGS INC. (XNYS:GNRC)</v>
    <v>329583</v>
    <v>1077409</v>
    <v>2006</v>
  </rv>
  <rv s="2">
    <v>191</v>
  </rv>
  <rv s="0">
    <v>https://www.bing.com/financeapi/forcetrigger?t=a1u7xm&amp;q=XNYS%3aGS&amp;form=skydnc</v>
    <v>Learn more on Bing</v>
  </rv>
  <rv s="1">
    <v>0</v>
    <v>THE GOLDMAN SACHS GROUP, INC. (XNYS:GS)</v>
    <v>2</v>
    <v>3</v>
    <v>Finance</v>
    <v>4</v>
    <v>en-US</v>
    <v>a1u7xm</v>
    <v>268435456</v>
    <v>1</v>
    <v>Powered by Refinitiv</v>
    <v>825.25</v>
    <v>439.38</v>
    <v>1.4108000000000001</v>
    <v>-0.57999999999999996</v>
    <v>-7.5529999999999998E-4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781.44</v>
    <v>Investment Banking &amp; Investment Services</v>
    <v>Stock</v>
    <v>45946.692248726562</v>
    <v>193</v>
    <v>765.74</v>
    <v>232293036085</v>
    <v>THE GOLDMAN SACHS GROUP, INC.</v>
    <v>THE GOLDMAN SACHS GROUP, INC.</v>
    <v>770.8</v>
    <v>15.587899999999999</v>
    <v>767.93</v>
    <v>767.35</v>
    <v>302721100</v>
    <v>GS</v>
    <v>THE GOLDMAN SACHS GROUP, INC. (XNYS:GS)</v>
    <v>1340638</v>
    <v>1940779</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2.0381</v>
    <v>-0.09</v>
    <v>-4.4554000000000003E-2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2.16</v>
    <v>Automobiles &amp; Auto Parts</v>
    <v>Stock</v>
    <v>45946.692221203128</v>
    <v>196</v>
    <v>1.92</v>
    <v>132715407</v>
    <v>LUMINAR TECHNOLOGIES, INC.</v>
    <v>LUMINAR TECHNOLOGIES, INC.</v>
    <v>2.06</v>
    <v>0</v>
    <v>2.02</v>
    <v>1.93</v>
    <v>68764460</v>
    <v>LAZR</v>
    <v>LUMINAR TECHNOLOGIES, INC. (XNAS:LAZR)</v>
    <v>4802003</v>
    <v>6459071</v>
    <v>2018</v>
  </rv>
  <rv s="2">
    <v>197</v>
  </rv>
  <rv s="0">
    <v>https://www.bing.com/financeapi/forcetrigger?t=a1x6rw&amp;q=XNYS%3aLUV&amp;form=skydnc</v>
    <v>Learn more on Bing</v>
  </rv>
  <rv s="1">
    <v>0</v>
    <v>SOUTHWEST AIRLINES CO. (XNYS:LUV)</v>
    <v>2</v>
    <v>3</v>
    <v>Finance</v>
    <v>4</v>
    <v>en-US</v>
    <v>a1x6rw</v>
    <v>268435456</v>
    <v>1</v>
    <v>Powered by Refinitiv</v>
    <v>37.96</v>
    <v>23.815000000000001</v>
    <v>1.2251000000000001</v>
    <v>-0.47</v>
    <v>-1.4005E-2</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34.049999999999997</v>
    <v>Passenger Transportation Services</v>
    <v>Stock</v>
    <v>45946.692257522656</v>
    <v>199</v>
    <v>32.840000000000003</v>
    <v>17378460993</v>
    <v>SOUTHWEST AIRLINES CO.</v>
    <v>SOUTHWEST AIRLINES CO.</v>
    <v>33.67</v>
    <v>39.7239</v>
    <v>33.56</v>
    <v>33.090000000000003</v>
    <v>525187700</v>
    <v>LUV</v>
    <v>SOUTHWEST AIRLINES CO. (XNYS:LUV)</v>
    <v>5298696</v>
    <v>9566732</v>
    <v>1967</v>
  </rv>
  <rv s="2">
    <v>200</v>
  </rv>
  <rv s="0">
    <v>https://www.bing.com/financeapi/forcetrigger?t=a1x8w7&amp;q=XNYS%3aMA&amp;form=skydnc</v>
    <v>Learn more on Bing</v>
  </rv>
  <rv s="1">
    <v>0</v>
    <v>MASTERCARD INCORPORATED. (XNYS:MA)</v>
    <v>2</v>
    <v>3</v>
    <v>Finance</v>
    <v>4</v>
    <v>en-US</v>
    <v>a1x8w7</v>
    <v>268435456</v>
    <v>1</v>
    <v>Powered by Refinitiv</v>
    <v>601.77</v>
    <v>465.59</v>
    <v>0.92869999999999997</v>
    <v>-12.324999999999999</v>
    <v>-2.1899000000000002E-2</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564.36</v>
    <v>Software &amp; IT Services</v>
    <v>Stock</v>
    <v>45946.692265856247</v>
    <v>202</v>
    <v>550.13</v>
    <v>497644935723</v>
    <v>MASTERCARD INCORPORATED.</v>
    <v>MASTERCARD INCORPORATED.</v>
    <v>563.21</v>
    <v>37.124200000000002</v>
    <v>562.80999999999995</v>
    <v>550.48500000000001</v>
    <v>904011800</v>
    <v>MA</v>
    <v>MASTERCARD INCORPORATED. (XNYS:MA)</v>
    <v>1256817</v>
    <v>2826703</v>
    <v>2001</v>
  </rv>
  <rv s="2">
    <v>203</v>
  </rv>
  <rv s="0">
    <v>https://www.bing.com/financeapi/forcetrigger?t=a1yuvh&amp;q=XNAS%3aNVAX&amp;form=skydnc</v>
    <v>Learn more on Bing</v>
  </rv>
  <rv s="1">
    <v>0</v>
    <v>NOVAVAX, INC. (XNAS:NVAX)</v>
    <v>2</v>
    <v>3</v>
    <v>Finance</v>
    <v>4</v>
    <v>en-US</v>
    <v>a1yuvh</v>
    <v>268435456</v>
    <v>1</v>
    <v>Powered by Refinitiv</v>
    <v>11.55</v>
    <v>5.01</v>
    <v>2.6861000000000002</v>
    <v>-0.28499999999999998</v>
    <v>-3.1987000000000002E-2</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9.1</v>
    <v>Biotechnology &amp; Medical Research</v>
    <v>Stock</v>
    <v>45946.692210103909</v>
    <v>205</v>
    <v>8.58</v>
    <v>1447177000</v>
    <v>NOVAVAX, INC.</v>
    <v>NOVAVAX, INC.</v>
    <v>8.93</v>
    <v>3.7709999999999999</v>
    <v>8.91</v>
    <v>8.625</v>
    <v>162421600</v>
    <v>NVAX</v>
    <v>NOVAVAX, INC. (XNAS:NVAX)</v>
    <v>2704673</v>
    <v>4657867</v>
    <v>1987</v>
  </rv>
  <rv s="2">
    <v>206</v>
  </rv>
  <rv s="0">
    <v>http://en.wikipedia.org/wiki/Novartis</v>
    <v>Wikipedia</v>
  </rv>
  <rv s="4">
    <v>43</v>
    <v>208</v>
  </rv>
  <rv s="5">
    <v>14</v>
    <v>https://www.bing.com/th?id=AMMS_3a4201ed5d487670c98d0ce5663b2ca7&amp;qlt=95</v>
    <v>209</v>
    <v>0</v>
    <v>https://www.bing.com/images/search?form=xlimg&amp;q=novartis</v>
    <v>Image of Novartis Inc.</v>
  </rv>
  <rv s="0">
    <v>https://www.bing.com/financeapi/forcetrigger?t=a1yw77&amp;q=XNYS%3aNVS&amp;form=skydnc</v>
    <v>Learn more on Bing</v>
  </rv>
  <rv s="6">
    <v>10</v>
    <v>Novartis Inc. (XNYS:NVS)</v>
    <v>12</v>
    <v>13</v>
    <v>Finance</v>
    <v>4</v>
    <v>en-US</v>
    <v>a1yw77</v>
    <v>268435456</v>
    <v>1</v>
    <v>Powered by Refinitiv</v>
    <v>133.55000000000001</v>
    <v>96.061999999999998</v>
    <v>0.60219999999999996</v>
    <v>0.63</v>
    <v>4.8470000000000006E-3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131.19</v>
    <v>210</v>
    <v>Pharmaceuticals</v>
    <v>Stock</v>
    <v>45946.692211365626</v>
    <v>211</v>
    <v>129.64500000000001</v>
    <v>274480300000</v>
    <v>Novartis Inc.</v>
    <v>Novartis Inc.</v>
    <v>129.93</v>
    <v>19.0365</v>
    <v>129.97</v>
    <v>130.6</v>
    <v>2112422000</v>
    <v>NVS</v>
    <v>Novartis Inc. (XNYS:NVS)</v>
    <v>401049</v>
    <v>1517238</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0.93979999999999997</v>
    <v>-0.56879999999999997</v>
    <v>-1.3582E-2</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42.089700000000001</v>
    <v>Oil &amp; Gas</v>
    <v>Stock</v>
    <v>45946.692259814059</v>
    <v>214</v>
    <v>41.26</v>
    <v>40668389465</v>
    <v>OCCIDENTAL PETROLEUM CORPORATION</v>
    <v>OCCIDENTAL PETROLEUM CORPORATION</v>
    <v>42.02</v>
    <v>24.333600000000001</v>
    <v>41.88</v>
    <v>41.311199999999999</v>
    <v>984439800</v>
    <v>OXY</v>
    <v>OCCIDENTAL PETROLEUM CORPORATION (XNYS:OXY)</v>
    <v>3790439</v>
    <v>11856549</v>
    <v>1986</v>
  </rv>
  <rv s="2">
    <v>215</v>
  </rv>
  <rv s="0">
    <v>https://www.bing.com/financeapi/forcetrigger?t=a1zqnm&amp;q=XNYS%3aPFE&amp;form=skydnc</v>
    <v>Learn more on Bing</v>
  </rv>
  <rv s="1">
    <v>0</v>
    <v>PFIZER INC. (XNYS:PFE)</v>
    <v>2</v>
    <v>3</v>
    <v>Finance</v>
    <v>4</v>
    <v>en-US</v>
    <v>a1zqnm</v>
    <v>268435456</v>
    <v>1</v>
    <v>Powered by Refinitiv</v>
    <v>29.82</v>
    <v>20.914999999999999</v>
    <v>0.51200000000000001</v>
    <v>-7.9899999999999999E-2</v>
    <v>-3.2759999999999998E-3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24.605</v>
    <v>Pharmaceuticals</v>
    <v>Stock</v>
    <v>45946.692285647659</v>
    <v>217</v>
    <v>24.29</v>
    <v>138216289055</v>
    <v>PFIZER INC.</v>
    <v>PFIZER INC.</v>
    <v>24.44</v>
    <v>17.628799999999998</v>
    <v>24.39</v>
    <v>24.310099999999998</v>
    <v>5685550000</v>
    <v>PFE</v>
    <v>PFIZER INC. (XNYS:PFE)</v>
    <v>19283607</v>
    <v>61280444</v>
    <v>1942</v>
  </rv>
  <rv s="2">
    <v>218</v>
  </rv>
  <rv s="0">
    <v>https://www.bing.com/financeapi/forcetrigger?t=a2215r&amp;q=XNYS%3aRIG&amp;form=skydnc</v>
    <v>Learn more on Bing</v>
  </rv>
  <rv s="1">
    <v>0</v>
    <v>Transocean Ltd (XNYS:RIG)</v>
    <v>2</v>
    <v>3</v>
    <v>Finance</v>
    <v>4</v>
    <v>en-US</v>
    <v>a2215r</v>
    <v>268435456</v>
    <v>1</v>
    <v>Powered by Refinitiv</v>
    <v>4.74</v>
    <v>1.97</v>
    <v>2.6307</v>
    <v>-0.05</v>
    <v>-1.5106E-2</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3.39</v>
    <v>Oil &amp; Gas Related Equipment and Services</v>
    <v>Stock</v>
    <v>45946.692258807816</v>
    <v>220</v>
    <v>3.25</v>
    <v>3589233920</v>
    <v>Transocean Ltd</v>
    <v>Transocean Ltd</v>
    <v>3.33</v>
    <v>0</v>
    <v>3.31</v>
    <v>3.26</v>
    <v>1100992000</v>
    <v>RIG</v>
    <v>Transocean Ltd (XNYS:RIG)</v>
    <v>28812078</v>
    <v>51413296</v>
    <v>2008</v>
  </rv>
  <rv s="2">
    <v>221</v>
  </rv>
  <rv s="0">
    <v>https://www.bing.com/financeapi/forcetrigger?t=a228w7&amp;q=XNYS%3aRRC&amp;form=skydnc</v>
    <v>Learn more on Bing</v>
  </rv>
  <rv s="1">
    <v>0</v>
    <v>RANGE RESOURCES CORPORATION (XNYS:RRC)</v>
    <v>2</v>
    <v>3</v>
    <v>Finance</v>
    <v>4</v>
    <v>en-US</v>
    <v>a228w7</v>
    <v>268435456</v>
    <v>1</v>
    <v>Powered by Refinitiv</v>
    <v>43.5</v>
    <v>28.99</v>
    <v>0.51139999999999997</v>
    <v>-0.92</v>
    <v>-2.4757999999999999E-2</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37.64</v>
    <v>Oil &amp; Gas</v>
    <v>Stock</v>
    <v>45946.692188193752</v>
    <v>223</v>
    <v>36.21</v>
    <v>8632045464</v>
    <v>RANGE RESOURCES CORPORATION</v>
    <v>RANGE RESOURCES CORPORATION</v>
    <v>37.29</v>
    <v>32.499299999999998</v>
    <v>37.159999999999997</v>
    <v>36.24</v>
    <v>238191100</v>
    <v>RRC</v>
    <v>RANGE RESOURCES CORPORATION (XNYS:RRC)</v>
    <v>655675</v>
    <v>3206013</v>
    <v>1980</v>
  </rv>
  <rv s="2">
    <v>224</v>
  </rv>
  <rv s="0">
    <v>https://www.bing.com/financeapi/forcetrigger?t=a23i8m&amp;q=XNYS%3aSQ&amp;form=skydnc</v>
    <v>Learn more on Bing</v>
  </rv>
  <rv s="1">
    <v>0</v>
    <v>BLOCK, INC. (XNYS:XYZ)</v>
    <v>2</v>
    <v>3</v>
    <v>Finance</v>
    <v>4</v>
    <v>en-US</v>
    <v>a23i8m</v>
    <v>268435456</v>
    <v>1</v>
    <v>Powered by Refinitiv</v>
    <v>99.26</v>
    <v>44.27</v>
    <v>2.7231000000000001</v>
    <v>-0.97499999999999998</v>
    <v>-1.2806999999999999E-2</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77.69</v>
    <v>Professional &amp; Commercial Services</v>
    <v>Stock</v>
    <v>45946.692249490625</v>
    <v>226</v>
    <v>75.093000000000004</v>
    <v>45813285520</v>
    <v>BLOCK, INC.</v>
    <v>BLOCK, INC.</v>
    <v>76.81</v>
    <v>44.381100000000004</v>
    <v>76.13</v>
    <v>75.155000000000001</v>
    <v>609584000</v>
    <v>XYZ</v>
    <v>BLOCK, INC. (XNYS:XYZ)</v>
    <v>2366093</v>
    <v>6154543</v>
    <v>2009</v>
  </rv>
  <rv s="2">
    <v>227</v>
  </rv>
  <rv s="0">
    <v>https://www.bing.com/financeapi/forcetrigger?t=a2475r&amp;q=XNYS%3aTHC&amp;form=skydnc</v>
    <v>Learn more on Bing</v>
  </rv>
  <rv s="1">
    <v>0</v>
    <v>TENET HEALTHCARE CORPORATION (XNYS:THC)</v>
    <v>2</v>
    <v>3</v>
    <v>Finance</v>
    <v>4</v>
    <v>en-US</v>
    <v>a2475r</v>
    <v>268435456</v>
    <v>1</v>
    <v>Powered by Refinitiv</v>
    <v>207.14</v>
    <v>109.82389999999999</v>
    <v>1.5347999999999999</v>
    <v>-0.96</v>
    <v>-4.8190000000000004E-3</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200.65</v>
    <v>Healthcare Providers &amp; Services</v>
    <v>Stock</v>
    <v>45946.692247685154</v>
    <v>229</v>
    <v>197.505</v>
    <v>17517352770</v>
    <v>TENET HEALTHCARE CORPORATION</v>
    <v>TENET HEALTHCARE CORPORATION</v>
    <v>199.32</v>
    <v>13.109299999999999</v>
    <v>199.23</v>
    <v>198.27</v>
    <v>88351000</v>
    <v>THC</v>
    <v>TENET HEALTHCARE CORPORATION (XNYS:THC)</v>
    <v>155083</v>
    <v>1091796</v>
    <v>1975</v>
  </rv>
  <rv s="2">
    <v>230</v>
  </rv>
  <rv s="0">
    <v>https://www.bing.com/financeapi/forcetrigger?t=a265bh&amp;q=XNYS%3aX&amp;form=skydnc</v>
    <v>Learn more on Bing</v>
  </rv>
  <rv s="1">
    <v>0</v>
    <v>UNITED STATES STEEL CORPORATION (XNYS:X)</v>
    <v>2</v>
    <v>3</v>
    <v>Finance</v>
    <v>15</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0">
    <v>27</v>
    <v>iShs Digtl Sec UCITS ETF USD A (XSWX:LOCK)</v>
    <v>28</v>
    <v>29</v>
    <v>Finance</v>
    <v>8</v>
    <v>en-US</v>
    <v>bnyaur</v>
    <v>268435456</v>
    <v>1</v>
    <v>Powered by Refinitiv</v>
    <v>10.56</v>
    <v>7.4260000000000002</v>
    <v>0.58640000000000003</v>
    <v>2E-3</v>
    <v>1.9320000000000001E-4</v>
    <v>USD</v>
    <v>SIX Swiss Exchange</v>
    <v>XSWX</v>
    <v>4.0000000000000001E-3</v>
    <v>10.382</v>
    <v>ETF</v>
    <v>45946.681562500002</v>
    <v>235</v>
    <v>10.356</v>
    <v>1707250070.21</v>
    <v>iShs Digtl Sec UCITS ETF USD A</v>
    <v>10.382</v>
    <v>10.353999999999999</v>
    <v>10.356</v>
    <v>LOCK</v>
    <v>iShs Digtl Sec UCITS ETF USD A (XSWX:LOCK)</v>
    <v>449</v>
  </rv>
  <rv s="2">
    <v>236</v>
  </rv>
  <rv s="3">
    <v>12</v>
    <v>Volume average</v>
    <v>0</v>
  </rv>
  <rv s="11">
    <v>12</v>
    <v>1</v>
  </rv>
  <rv s="12">
    <v>30</v>
    <v>EUR/USD</v>
    <v>31</v>
    <v>32</v>
    <v>Finance</v>
    <v>33</v>
    <v>en-US</v>
    <v>av932w</v>
    <v>268435456</v>
    <v>1</v>
    <v>Powered by Refinitiv</v>
    <v>1.1918</v>
    <v>1.0176000000000001</v>
    <v>2.5999999999999999E-3</v>
    <v>2.2330000000000002E-3</v>
    <v>USD</v>
    <v>EUR</v>
    <v>1.1677999999999999</v>
    <v>Currency Pair</v>
    <v>45946.692256944443</v>
    <v>1.1642999999999999</v>
    <v>Euro/US Dollar FX Spot Rate</v>
    <v>1.1647000000000001</v>
    <v>1.1646000000000001</v>
    <v>1.1672</v>
    <v>EURUSD</v>
    <v>EUR/USD</v>
  </rv>
  <rv s="2">
    <v>240</v>
  </rv>
  <rv s="12">
    <v>30</v>
    <v>EUR/CHF</v>
    <v>31</v>
    <v>34</v>
    <v>Finance</v>
    <v>33</v>
    <v>en-US</v>
    <v>av923m</v>
    <v>268435456</v>
    <v>1</v>
    <v>Powered by Refinitiv</v>
    <v>0.96609999999999996</v>
    <v>0.92</v>
    <v>1E-4</v>
    <v>1.0779999999999999E-4</v>
    <v>CHF</v>
    <v>EUR</v>
    <v>0.9304</v>
    <v>Currency Pair</v>
    <v>45946.692256944443</v>
    <v>0.92620000000000002</v>
    <v>Euro/Swiss Franc FX Cross Rate</v>
    <v>0.9274</v>
    <v>0.92749999999999999</v>
    <v>0.92759999999999998</v>
    <v>EURCHF</v>
    <v>EUR/CHF</v>
  </rv>
  <rv s="2">
    <v>242</v>
  </rv>
  <rv s="12">
    <v>30</v>
    <v>EUR/GBP</v>
    <v>31</v>
    <v>35</v>
    <v>Finance</v>
    <v>33</v>
    <v>en-US</v>
    <v>av92z2</v>
    <v>268435456</v>
    <v>1</v>
    <v>Powered by Refinitiv</v>
    <v>0.87629999999999997</v>
    <v>0.82189999999999996</v>
    <v>1E-3</v>
    <v>1.1509999999999999E-3</v>
    <v>GBP</v>
    <v>EUR</v>
    <v>0.87</v>
    <v>Currency Pair</v>
    <v>45946.69226851852</v>
    <v>0.86650000000000005</v>
    <v>Euro/UK Pound Sterling FX Cross Rate</v>
    <v>0.86880000000000002</v>
    <v>0.86890000000000001</v>
    <v>0.86990000000000001</v>
    <v>EURGBP</v>
    <v>EUR/GBP</v>
  </rv>
  <rv s="2">
    <v>244</v>
  </rv>
  <rv s="12">
    <v>30</v>
    <v>EUR/AUD</v>
    <v>31</v>
    <v>36</v>
    <v>Finance</v>
    <v>33</v>
    <v>en-US</v>
    <v>av8sfr</v>
    <v>268435456</v>
    <v>1</v>
    <v>Powered by Refinitiv</v>
    <v>1.8554999999999999</v>
    <v>1.5899000000000001</v>
    <v>1.38E-2</v>
    <v>7.718E-3</v>
    <v>AUD</v>
    <v>EUR</v>
    <v>1.8037000000000001</v>
    <v>Currency Pair</v>
    <v>45946.692233796297</v>
    <v>1.7881</v>
    <v>Euro/Australian Dollar FX Cross Rate</v>
    <v>1.7874000000000001</v>
    <v>1.788</v>
    <v>1.8018000000000001</v>
    <v>EURAUD</v>
    <v>EUR/AUD</v>
  </rv>
  <rv s="2">
    <v>246</v>
  </rv>
  <rv s="12">
    <v>30</v>
    <v>EUR/CAD</v>
    <v>31</v>
    <v>37</v>
    <v>Finance</v>
    <v>33</v>
    <v>en-US</v>
    <v>av8ttc</v>
    <v>268435456</v>
    <v>1</v>
    <v>Powered by Refinitiv</v>
    <v>1.6412</v>
    <v>1.4484999999999999</v>
    <v>5.8999999999999999E-3</v>
    <v>3.6080000000000001E-3</v>
    <v>CAD</v>
    <v>EUR</v>
    <v>1.6412</v>
    <v>Currency Pair</v>
    <v>45946.692245370374</v>
    <v>1.6346000000000001</v>
    <v>Euro/Canadian Dollar FX Cross Rate</v>
    <v>1.635</v>
    <v>1.6351</v>
    <v>1.641</v>
    <v>EURCAD</v>
    <v>EUR/CAD</v>
  </rv>
  <rv s="2">
    <v>248</v>
  </rv>
  <rv s="12">
    <v>30</v>
    <v>USD/JPY</v>
    <v>31</v>
    <v>38</v>
    <v>Finance</v>
    <v>33</v>
    <v>en-US</v>
    <v>avyomw</v>
    <v>268435456</v>
    <v>1</v>
    <v>Powered by Refinitiv</v>
    <v>158.87</v>
    <v>139.86000000000001</v>
    <v>-0.61</v>
    <v>-4.0390000000000001E-3</v>
    <v>JPY</v>
    <v>USD</v>
    <v>151.38999999999999</v>
    <v>Currency Pair</v>
    <v>45946.692256944443</v>
    <v>150.33000000000001</v>
    <v>US Dollar/Japanese Yen FX Spot Rate</v>
    <v>151.02000000000001</v>
    <v>151.04</v>
    <v>150.43</v>
    <v>USDJPY</v>
    <v>USD/JPY</v>
  </rv>
  <rv s="2">
    <v>250</v>
  </rv>
  <rv s="12">
    <v>30</v>
    <v>USD/CHF</v>
    <v>31</v>
    <v>34</v>
    <v>Finance</v>
    <v>33</v>
    <v>en-US</v>
    <v>avyt7w</v>
    <v>268435456</v>
    <v>1</v>
    <v>Powered by Refinitiv</v>
    <v>0.92</v>
    <v>0.78269999999999995</v>
    <v>-1.9E-3</v>
    <v>-2.385E-3</v>
    <v>CHF</v>
    <v>USD</v>
    <v>0.7984</v>
    <v>Currency Pair</v>
    <v>45946.692245370374</v>
    <v>0.79339999999999999</v>
    <v>US Dollar/Swiss Franc FX Spot Rate</v>
    <v>0.79630000000000001</v>
    <v>0.79659999999999997</v>
    <v>0.79469999999999996</v>
    <v>USDCHF</v>
    <v>USD/CHF</v>
  </rv>
  <rv s="2">
    <v>252</v>
  </rv>
  <rv s="12">
    <v>30</v>
    <v>USD/GBP</v>
    <v>31</v>
    <v>35</v>
    <v>Finance</v>
    <v>33</v>
    <v>en-US</v>
    <v>avyu4c</v>
    <v>268435456</v>
    <v>1</v>
    <v>Powered by Refinitiv</v>
    <v>0.82650000000000001</v>
    <v>0.72509999999999997</v>
    <v>-7.7800000000000005E-4</v>
    <v>-1.0430000000000001E-3</v>
    <v>GBP</v>
    <v>USD</v>
    <v>0.74660000000000004</v>
    <v>Currency Pair</v>
    <v>45946.692245370374</v>
    <v>0.74329999999999996</v>
    <v>US Dollar/UK Pound Sterling FX Cross Rate</v>
    <v>0.74590000000000001</v>
    <v>0.746</v>
    <v>0.74519999999999997</v>
    <v>USDGBP</v>
    <v>USD/GBP</v>
  </rv>
  <rv s="2">
    <v>254</v>
  </rv>
  <rv s="0">
    <v>https://www.bing.com/financeapi/forcetrigger?t=a6qja2&amp;q=DOW+JONES+INDU+AVERAGE+NDX&amp;form=skydnc</v>
    <v>Learn more on Bing</v>
  </rv>
  <rv s="13">
    <v>39</v>
    <v>DOW JONES INDU AVERAGE NDX</v>
    <v>28</v>
    <v>40</v>
    <v>Finance</v>
    <v>41</v>
    <v>en-US</v>
    <v>a6qja2</v>
    <v>268435456</v>
    <v>1</v>
    <v>Powered by Refinitiv</v>
    <v>47049.64</v>
    <v>36611.78</v>
    <v>-267.37</v>
    <v>-5.7809999999999997E-3</v>
    <v>US</v>
    <v>46422.34</v>
    <v>Index</v>
    <v>256</v>
    <v>45935.41</v>
    <v>DOW JONES INDU AVERAGE NDX</v>
    <v>46289.09</v>
    <v>46253.31</v>
    <v>45985.94</v>
    <v>DJI</v>
    <v>DOW JONES INDU AVERAGE NDX</v>
  </rv>
  <rv s="2">
    <v>257</v>
  </rv>
  <rv s="0">
    <v>https://www.bing.com/financeapi/forcetrigger?t=bxjpp2&amp;q=XLON%3aXNAS&amp;form=skydnc</v>
    <v>Learn more on Bing</v>
  </rv>
  <rv s="10">
    <v>27</v>
    <v>X NASDAQ 100 UCITS ETF 1C (XLON:XNAS)</v>
    <v>28</v>
    <v>29</v>
    <v>Finance</v>
    <v>42</v>
    <v>en-US</v>
    <v>bxjpp2</v>
    <v>268435456</v>
    <v>1</v>
    <v>Powered by Refinitiv</v>
    <v>58.27</v>
    <v>37.74</v>
    <v>1.1051</v>
    <v>-1.4999999999999999E-2</v>
    <v>-2.6069999999999999E-4</v>
    <v>USD</v>
    <v>London Stock Exchange</v>
    <v>XLON</v>
    <v>2E-3</v>
    <v>57.75</v>
    <v>ETF</v>
    <v>45946.66327305547</v>
    <v>259</v>
    <v>57.47</v>
    <v>1860372611.6900001</v>
    <v>X NASDAQ 100 UCITS ETF 1C</v>
    <v>57.51</v>
    <v>57.545000000000002</v>
    <v>57.53</v>
    <v>XNAS</v>
    <v>X NASDAQ 100 UCITS ETF 1C (XLON:XNAS)</v>
    <v>14981</v>
  </rv>
  <rv s="2">
    <v>260</v>
  </rv>
  <rv s="3">
    <v>12</v>
    <v>Instrument type</v>
    <v>0</v>
  </rv>
  <rv s="0">
    <v>https://www.bing.com/financeapi/forcetrigger?t=a1ntlh&amp;q=XNAS%3aASML&amp;form=skydnc</v>
    <v>Learn more on Bing</v>
  </rv>
  <rv s="1">
    <v>0</v>
    <v>ASML Holding NV (XNAS:ASML)</v>
    <v>2</v>
    <v>3</v>
    <v>Finance</v>
    <v>4</v>
    <v>en-US</v>
    <v>a1ntlh</v>
    <v>268435456</v>
    <v>1</v>
    <v>Powered by Refinitiv</v>
    <v>1059</v>
    <v>578.51</v>
    <v>1.8712</v>
    <v>2.65</v>
    <v>2.624E-3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1049.3800000000001</v>
    <v>Semiconductors &amp; Semiconductor Equipment</v>
    <v>Stock</v>
    <v>45946.692271133594</v>
    <v>263</v>
    <v>1011.25</v>
    <v>393237700000</v>
    <v>ASML Holding NV</v>
    <v>ASML Holding NV</v>
    <v>1037.26</v>
    <v>34.314300000000003</v>
    <v>1009.81</v>
    <v>1012.46</v>
    <v>388147700</v>
    <v>ASML</v>
    <v>ASML Holding NV (XNAS:ASML)</v>
    <v>1335529</v>
    <v>1826774</v>
    <v>1994</v>
  </rv>
  <rv s="2">
    <v>264</v>
  </rv>
  <rv s="14">
    <v>43</v>
    <v>Big Tree Cloud Holdings Limited (XNAS:DSY)</v>
    <v>23</v>
    <v>44</v>
    <v>Finance</v>
    <v>4</v>
    <v>en-US</v>
    <v>c8kfk2</v>
    <v>268435456</v>
    <v>1</v>
    <v>Powered by Refinitiv</v>
    <v>7.33</v>
    <v>0.71</v>
    <v>-2.6700000000000002E-2</v>
    <v>-3.6081000000000002E-2</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0.76349999999999996</v>
    <v>Personal &amp; Household Products &amp; Services</v>
    <v>Stock</v>
    <v>45946.692115300779</v>
    <v>0.71319999999999995</v>
    <v>67790205</v>
    <v>Big Tree Cloud Holdings Limited</v>
    <v>Big Tree Cloud Holdings Limited</v>
    <v>0.76</v>
    <v>63.6875</v>
    <v>0.74</v>
    <v>0.71330000000000005</v>
    <v>95037440</v>
    <v>DSY</v>
    <v>Big Tree Cloud Holdings Limited (XNAS:DSY)</v>
    <v>60965</v>
    <v>456204</v>
  </rv>
  <rv s="2">
    <v>266</v>
  </rv>
  <rv s="0">
    <v>https://www.bing.com/financeapi/forcetrigger?t=a1v3sm&amp;q=XNYS%3aIAG&amp;form=skydnc</v>
    <v>Learn more on Bing</v>
  </rv>
  <rv s="1">
    <v>0</v>
    <v>IAMGOLD CORPORATION (XNYS:IAG)</v>
    <v>2</v>
    <v>9</v>
    <v>Finance</v>
    <v>4</v>
    <v>en-US</v>
    <v>a1v3sm</v>
    <v>268435456</v>
    <v>1</v>
    <v>Powered by Refinitiv</v>
    <v>14.606299999999999</v>
    <v>4.8899999999999997</v>
    <v>1.4427000000000001</v>
    <v>0.06</v>
    <v>4.2079999999999999E-3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14.606299999999999</v>
    <v>Metals &amp; Mining</v>
    <v>Stock</v>
    <v>45946.692269142972</v>
    <v>268</v>
    <v>14.2302</v>
    <v>11531580000</v>
    <v>IAMGOLD CORPORATION</v>
    <v>IAMGOLD CORPORATION</v>
    <v>14.58</v>
    <v>10.358000000000001</v>
    <v>14.26</v>
    <v>14.32</v>
    <v>575141200</v>
    <v>IAG</v>
    <v>IAMGOLD CORPORATION (XNYS:IAG)</v>
    <v>5990414</v>
    <v>16481292</v>
    <v>2017</v>
  </rv>
  <rv s="2">
    <v>269</v>
  </rv>
  <rv s="0">
    <v>https://www.bing.com/financeapi/forcetrigger?t=bvct77&amp;q=XFRA%3aNQA&amp;form=skydnc</v>
    <v>Learn more on Bing</v>
  </rv>
  <rv s="15">
    <v>45</v>
    <v>Note AB (publ) (XFRA:NQA)</v>
    <v>2</v>
    <v>46</v>
    <v>Finance</v>
    <v>8</v>
    <v>en-US</v>
    <v>bvct77</v>
    <v>268435456</v>
    <v>1</v>
    <v>Powered by Refinitiv</v>
    <v>0.91180000000000005</v>
    <v>-1.36</v>
    <v>-7.6275999999999997E-2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1460</v>
    <v>Deutsche Boerse AG</v>
    <v>XFRA</v>
    <v>XFRA</v>
    <v>Sveavagen 52, STOCKHOLM, STOCKHOLM, 111 34 SE</v>
    <v>17.600000000000001</v>
    <v>Semiconductors &amp; Semiconductor Equipment</v>
    <v>Stock</v>
    <v>45946.668055555558</v>
    <v>271</v>
    <v>16.47</v>
    <v>5701074000</v>
    <v>Note AB (publ)</v>
    <v>Note AB (publ)</v>
    <v>17.600000000000001</v>
    <v>20.333300000000001</v>
    <v>17.829999999999998</v>
    <v>16.47</v>
    <v>28983600</v>
    <v>NQA</v>
    <v>Note AB (publ) (XFRA:NQA)</v>
    <v>90</v>
    <v>74340</v>
    <v>1990</v>
  </rv>
  <rv s="2">
    <v>272</v>
  </rv>
  <rv s="0">
    <v>https://www.bing.com/financeapi/forcetrigger?t=a1rjbh&amp;q=XNYS%3aE&amp;form=skydnc</v>
    <v>Learn more on Bing</v>
  </rv>
  <rv s="9">
    <v>24</v>
    <v>Eni SpA (XNYS:E)</v>
    <v>2</v>
    <v>47</v>
    <v>Finance</v>
    <v>4</v>
    <v>en-US</v>
    <v>a1rjbh</v>
    <v>268435456</v>
    <v>1</v>
    <v>Powered by Refinitiv</v>
    <v>36.049999999999997</v>
    <v>24.65</v>
    <v>0.88900000000000001</v>
    <v>0.08</v>
    <v>2.3319999999999999E-3</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34.58</v>
    <v>Oil &amp; Gas</v>
    <v>Stock</v>
    <v>45946.692233321097</v>
    <v>274</v>
    <v>34.380000000000003</v>
    <v>53761950000</v>
    <v>Eni SpA</v>
    <v>Eni SpA</v>
    <v>34.520000000000003</v>
    <v>18.596900000000002</v>
    <v>34.299999999999997</v>
    <v>34.380000000000003</v>
    <v>1573383000</v>
    <v>E</v>
    <v>Eni SpA (XNYS:E)</v>
    <v>86881</v>
    <v>222084</v>
  </rv>
  <rv s="2">
    <v>275</v>
  </rv>
  <rv s="0">
    <v>https://www.bing.com/financeapi/forcetrigger?t=aazgim&amp;q=XTSE%3aORA&amp;form=skydnc</v>
    <v>Learn more on Bing</v>
  </rv>
  <rv s="16">
    <v>48</v>
    <v>Aura Minerals Inc. (XTSE:ORA)</v>
    <v>2</v>
    <v>49</v>
    <v>Finance</v>
    <v>50</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17">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error">
    <k n="errorType" t="i"/>
    <k n="field" t="s"/>
    <k n="subType" t="i"/>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1">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3">
      <v>10</v>
      <v>2</v>
      <v>2</v>
      <v>10</v>
      <v>3</v>
      <v>10</v>
      <v>10</v>
      <v>10</v>
      <v>4</v>
      <v>4</v>
      <v>5</v>
      <v>11</v>
      <v>10</v>
      <v>10</v>
      <v>10</v>
      <v>4</v>
      <v>7</v>
      <v>8</v>
      <v>9</v>
      <v>4</v>
    </spb>
    <spb s="4">
      <v>Delayed 15 minutes</v>
      <v>from previous close</v>
      <v>from previous close</v>
      <v>LSE</v>
      <v>GMT</v>
    </spb>
    <spb s="3">
      <v>12</v>
      <v>2</v>
      <v>2</v>
      <v>12</v>
      <v>3</v>
      <v>12</v>
      <v>12</v>
      <v>12</v>
      <v>4</v>
      <v>4</v>
      <v>5</v>
      <v>13</v>
      <v>12</v>
      <v>12</v>
      <v>12</v>
      <v>4</v>
      <v>7</v>
      <v>8</v>
      <v>9</v>
      <v>4</v>
    </spb>
    <spb s="5">
      <v>Delayed 15 minutes</v>
      <v>from previous close</v>
      <v>from previous close</v>
      <v>GMT</v>
    </spb>
    <spb s="3">
      <v>1</v>
      <v>2</v>
      <v>2</v>
      <v>1</v>
      <v>3</v>
      <v>1</v>
      <v>1</v>
      <v>1</v>
      <v>4</v>
      <v>4</v>
      <v>5</v>
      <v>14</v>
      <v>1</v>
      <v>1</v>
      <v>1</v>
      <v>4</v>
      <v>7</v>
      <v>8</v>
      <v>9</v>
      <v>4</v>
    </spb>
    <spb s="0">
      <v>1</v>
      <v>Name</v>
      <v>LearnMoreOnLink</v>
    </spb>
    <spb s="6">
      <v>0</v>
      <v>0</v>
    </spb>
    <spb s="7">
      <v>11</v>
      <v>1</v>
      <v>1</v>
      <v>1</v>
      <v>1</v>
    </spb>
    <spb s="8">
      <v>1</v>
      <v>2</v>
      <v>2</v>
      <v>1</v>
      <v>3</v>
      <v>1</v>
      <v>15</v>
      <v>1</v>
      <v>1</v>
      <v>4</v>
      <v>4</v>
      <v>5</v>
      <v>6</v>
      <v>1</v>
      <v>1</v>
      <v>1</v>
      <v>4</v>
      <v>7</v>
      <v>8</v>
      <v>9</v>
      <v>4</v>
    </spb>
    <spb s="9">
      <v>Powered by Refinitiv</v>
    </spb>
    <spb s="4">
      <v>Delayed 15 minutes</v>
      <v>from previous close</v>
      <v>from previous close</v>
      <v>Source: Nasdaq</v>
      <v>GMT</v>
    </spb>
    <spb s="0">
      <v>2</v>
      <v>Name</v>
      <v>LearnMoreOnLink</v>
    </spb>
    <spb s="10">
      <v>1</v>
      <v>2</v>
      <v>1</v>
      <v>3</v>
      <v>1</v>
      <v>1</v>
      <v>1</v>
      <v>4</v>
      <v>4</v>
      <v>5</v>
      <v>6</v>
      <v>1</v>
      <v>1</v>
      <v>1</v>
      <v>4</v>
      <v>7</v>
      <v>8</v>
      <v>9</v>
      <v>4</v>
    </spb>
    <spb s="3">
      <v>1</v>
      <v>2</v>
      <v>2</v>
      <v>1</v>
      <v>3</v>
      <v>1</v>
      <v>1</v>
      <v>1</v>
      <v>4</v>
      <v>4</v>
      <v>5</v>
      <v>16</v>
      <v>1</v>
      <v>1</v>
      <v>1</v>
      <v>4</v>
      <v>7</v>
      <v>8</v>
      <v>9</v>
      <v>4</v>
    </spb>
    <spb s="10">
      <v>12</v>
      <v>2</v>
      <v>12</v>
      <v>3</v>
      <v>12</v>
      <v>12</v>
      <v>12</v>
      <v>4</v>
      <v>4</v>
      <v>5</v>
      <v>13</v>
      <v>12</v>
      <v>12</v>
      <v>12</v>
      <v>4</v>
      <v>7</v>
      <v>8</v>
      <v>9</v>
      <v>4</v>
    </spb>
    <spb s="8">
      <v>1</v>
      <v>2</v>
      <v>2</v>
      <v>1</v>
      <v>3</v>
      <v>1</v>
      <v>15</v>
      <v>1</v>
      <v>1</v>
      <v>4</v>
      <v>4</v>
      <v>5</v>
      <v>17</v>
      <v>1</v>
      <v>1</v>
      <v>1</v>
      <v>4</v>
      <v>7</v>
      <v>8</v>
      <v>9</v>
      <v>4</v>
    </spb>
    <spb s="3">
      <v>18</v>
      <v>2</v>
      <v>2</v>
      <v>18</v>
      <v>3</v>
      <v>18</v>
      <v>18</v>
      <v>18</v>
      <v>4</v>
      <v>4</v>
      <v>5</v>
      <v>19</v>
      <v>18</v>
      <v>18</v>
      <v>18</v>
      <v>4</v>
      <v>7</v>
      <v>8</v>
      <v>9</v>
      <v>4</v>
    </spb>
    <spb s="11">
      <v>3</v>
      <v>Name</v>
    </spb>
    <spb s="12">
      <v>1</v>
      <v>1</v>
      <v>1</v>
    </spb>
    <spb s="0">
      <v>4</v>
      <v>Name</v>
      <v>LearnMoreOnLink</v>
    </spb>
    <spb s="13">
      <v>12</v>
      <v>2</v>
      <v>2</v>
      <v>12</v>
      <v>3</v>
      <v>12</v>
      <v>12</v>
      <v>12</v>
      <v>4</v>
      <v>4</v>
      <v>5</v>
      <v>13</v>
      <v>12</v>
      <v>12</v>
      <v>12</v>
      <v>4</v>
      <v>7</v>
      <v>9</v>
      <v>4</v>
    </spb>
    <spb s="4">
      <v>Delayed 15 minutes</v>
      <v>from previous close</v>
      <v>from previous close</v>
      <v>Borsa Italia</v>
      <v>GMT</v>
    </spb>
    <spb s="0">
      <v>5</v>
      <v>Name</v>
      <v>LearnMoreOnLink</v>
    </spb>
    <spb s="14">
      <v>1</v>
      <v>1</v>
      <v>1</v>
    </spb>
    <spb s="15">
      <v>1</v>
      <v>2</v>
      <v>1</v>
      <v>3</v>
      <v>1</v>
      <v>1</v>
      <v>1</v>
      <v>4</v>
      <v>5</v>
      <v>6</v>
      <v>1</v>
      <v>1</v>
      <v>5</v>
      <v>1</v>
      <v>7</v>
      <v>9</v>
    </spb>
    <spb s="11">
      <v>6</v>
      <v>Name</v>
    </spb>
    <spb s="16">
      <v>1</v>
      <v>1</v>
    </spb>
    <spb s="17">
      <v>1</v>
      <v>1</v>
      <v>3</v>
      <v>1</v>
      <v>1</v>
      <v>1</v>
      <v>5</v>
      <v>1</v>
      <v>1</v>
      <v>1</v>
      <v>7</v>
      <v>9</v>
    </spb>
    <spb s="18">
      <v>GMT</v>
    </spb>
    <spb s="17">
      <v>18</v>
      <v>18</v>
      <v>3</v>
      <v>18</v>
      <v>18</v>
      <v>18</v>
      <v>5</v>
      <v>18</v>
      <v>18</v>
      <v>18</v>
      <v>7</v>
      <v>9</v>
    </spb>
    <spb s="17">
      <v>20</v>
      <v>20</v>
      <v>3</v>
      <v>20</v>
      <v>20</v>
      <v>20</v>
      <v>5</v>
      <v>20</v>
      <v>20</v>
      <v>20</v>
      <v>7</v>
      <v>9</v>
    </spb>
    <spb s="17">
      <v>21</v>
      <v>21</v>
      <v>3</v>
      <v>21</v>
      <v>21</v>
      <v>21</v>
      <v>5</v>
      <v>21</v>
      <v>21</v>
      <v>21</v>
      <v>7</v>
      <v>9</v>
    </spb>
    <spb s="17">
      <v>22</v>
      <v>22</v>
      <v>3</v>
      <v>22</v>
      <v>22</v>
      <v>22</v>
      <v>5</v>
      <v>22</v>
      <v>22</v>
      <v>22</v>
      <v>7</v>
      <v>9</v>
    </spb>
    <spb s="17">
      <v>23</v>
      <v>23</v>
      <v>3</v>
      <v>23</v>
      <v>23</v>
      <v>23</v>
      <v>5</v>
      <v>23</v>
      <v>23</v>
      <v>23</v>
      <v>7</v>
      <v>9</v>
    </spb>
    <spb s="0">
      <v>7</v>
      <v>Name</v>
      <v>LearnMoreOnLink</v>
    </spb>
    <spb s="19">
      <v>1</v>
      <v>1</v>
      <v>3</v>
      <v>1</v>
      <v>1</v>
      <v>1</v>
      <v>5</v>
      <v>1</v>
      <v>1</v>
      <v>1</v>
      <v>9</v>
    </spb>
    <spb s="20">
      <v>from previous close</v>
      <v>from previous close</v>
    </spb>
    <spb s="21">
      <v>Delayed 15 minutes</v>
      <v>from previous close</v>
      <v>LSE</v>
      <v>from previous close</v>
      <v>GMT</v>
    </spb>
    <spb s="11">
      <v>8</v>
      <v>Name</v>
    </spb>
    <spb s="22">
      <v>1</v>
      <v>2</v>
      <v>1</v>
      <v>3</v>
      <v>1</v>
      <v>1</v>
      <v>1</v>
      <v>4</v>
      <v>4</v>
      <v>5</v>
      <v>6</v>
      <v>1</v>
      <v>1</v>
      <v>1</v>
      <v>4</v>
      <v>7</v>
      <v>9</v>
      <v>4</v>
    </spb>
    <spb s="0">
      <v>9</v>
      <v>Name</v>
      <v>LearnMoreOnLink</v>
    </spb>
    <spb s="23">
      <v>12</v>
      <v>2</v>
      <v>2</v>
      <v>12</v>
      <v>3</v>
      <v>12</v>
      <v>12</v>
      <v>12</v>
      <v>4</v>
      <v>4</v>
      <v>5</v>
      <v>17</v>
      <v>12</v>
      <v>4</v>
      <v>7</v>
      <v>8</v>
      <v>9</v>
      <v>4</v>
    </spb>
    <spb s="13">
      <v>1</v>
      <v>2</v>
      <v>2</v>
      <v>1</v>
      <v>3</v>
      <v>1</v>
      <v>1</v>
      <v>1</v>
      <v>4</v>
      <v>4</v>
      <v>5</v>
      <v>6</v>
      <v>1</v>
      <v>1</v>
      <v>1</v>
      <v>4</v>
      <v>7</v>
      <v>9</v>
      <v>4</v>
    </spb>
    <spb s="0">
      <v>10</v>
      <v>Name</v>
      <v>LearnMoreOnLink</v>
    </spb>
    <spb s="24">
      <v>22</v>
      <v>2</v>
      <v>2</v>
      <v>22</v>
      <v>3</v>
      <v>22</v>
      <v>22</v>
      <v>22</v>
      <v>4</v>
      <v>4</v>
      <v>5</v>
      <v>14</v>
      <v>22</v>
      <v>22</v>
      <v>22</v>
      <v>4</v>
      <v>7</v>
      <v>9</v>
      <v>4</v>
      <v>22</v>
      <v>22</v>
      <v>5</v>
    </spb>
    <spb s="25">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26">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28" activePane="bottomRight" state="frozen"/>
      <selection pane="topRight" activeCell="B1" sqref="B1"/>
      <selection pane="bottomLeft" activeCell="A3" sqref="A3"/>
      <selection pane="bottomRight" activeCell="C22" sqref="C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45946.692304907032</v>
      </c>
      <c r="B1" s="2" t="s">
        <v>0</v>
      </c>
      <c r="C1" s="2"/>
      <c r="D1" s="3"/>
      <c r="E1" s="4" t="s">
        <v>0</v>
      </c>
      <c r="F1" s="5">
        <f ca="1">NOW()</f>
        <v>45946.777256828704</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0.85675119945167921</v>
      </c>
      <c r="C3" s="16" t="e" vm="1">
        <v>#VALUE!</v>
      </c>
      <c r="D3" s="17" t="str" cm="1">
        <f t="array" aca="1" ref="D3" ca="1">_FV(RTData[[#This Row],[Company Name]],"Currency")</f>
        <v>USD</v>
      </c>
      <c r="E3" s="18" cm="1">
        <f t="array" aca="1" ref="E3" ca="1">_FV(RTData[[#This Row],[Company Name]],"Last trade time",TRUE)</f>
        <v>45946.692287580467</v>
      </c>
      <c r="F3" s="19" cm="1">
        <f t="array" aca="1" ref="F3" ca="1">_FV(RTData[[#This Row],[Company Name]],"Previous close",TRUE)</f>
        <v>249.34</v>
      </c>
      <c r="G3" s="19" cm="1">
        <f t="array" aca="1" ref="G3" ca="1">_FV(RTData[[#This Row],[Company Name]],"Open")</f>
        <v>248.17</v>
      </c>
      <c r="H3" s="19" cm="1">
        <f t="array" aca="1" ref="H3" ca="1">_FV(RTData[[#This Row],[Company Name]],"Price")</f>
        <v>246.8</v>
      </c>
      <c r="I3" s="19" cm="1">
        <f t="array" aca="1" ref="I3" ca="1">_FV(RTData[[#This Row],[Company Name]],"Low")</f>
        <v>246.18</v>
      </c>
      <c r="J3" s="19" cm="1">
        <f t="array" aca="1" ref="J3" ca="1">_FV(RTData[[#This Row],[Company Name]],"High")</f>
        <v>249.04</v>
      </c>
      <c r="K3" s="20" cm="1">
        <f t="array" aca="1" ref="K3" ca="1">IFERROR(_FV(RTData[[#This Row],[Company Name]],"P/E",TRUE),99)</f>
        <v>34.04</v>
      </c>
      <c r="L3" s="21" cm="1">
        <f t="array" aca="1" ref="L3" ca="1">_FV(RTData[[#This Row],[Company Name]],"Change")</f>
        <v>-2.54</v>
      </c>
      <c r="M3" s="22" cm="1">
        <f t="array" aca="1" ref="M3" ca="1">_FV(RTData[[#This Row],[Company Name]],"Change (%)",TRUE)</f>
        <v>-1.0187E-2</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18430983</v>
      </c>
      <c r="Q3" s="23" cm="1">
        <f t="array" aca="1" ref="Q3" ca="1">_FV(RTData[[#This Row],[Company Name]],"Volume average",TRUE)</f>
        <v>52612446</v>
      </c>
      <c r="R3" s="19" cm="1">
        <f t="array" aca="1" ref="R3" ca="1">_FV(RTData[[#This Row],[Company Name]],"Beta")</f>
        <v>1.0864</v>
      </c>
      <c r="T3" t="s">
        <v>20</v>
      </c>
      <c r="U3" t="str" cm="1">
        <f t="array" aca="1" ref="U3" ca="1">_FV(RTData[[#This Row],[Company Name]],"Exchange abbreviation",TRUE)</f>
        <v>XNAS</v>
      </c>
      <c r="V3" s="24">
        <f ca="1">IFERROR(RTData[[#This Row],[Volume]]/RTData[[#This Row],[Volume average]],1)</f>
        <v>0.35031602598366174</v>
      </c>
      <c r="W3" s="24"/>
      <c r="X3" s="108">
        <f ca="1">_xlfn.XLOOKUP(RTData[[#This Row],[Ticker symbol]],[2]Sheet2!$B$2:$B$95,[2]Sheet2!$E$2:$E$95)</f>
        <v>235.52553</v>
      </c>
      <c r="Y3" s="101">
        <f>_xlfn.LET(_xlpm.date,[2]Sheet2!F2,IF(_xlpm.date=0,"",_xlpm.date))</f>
        <v>45880</v>
      </c>
      <c r="Z3" s="101" t="str">
        <f>_xlfn.LET(_xlpm.date,[2]Sheet2!G2,IF(_xlpm.date=0,"",_xlpm.date))</f>
        <v>Oct 30, 2025</v>
      </c>
      <c r="AA3" s="102">
        <f>[2]Sheet2!$H2</f>
        <v>4.3E-3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-3.9886144062614648E-2</v>
      </c>
      <c r="AF3" s="105" t="str">
        <f ca="1">TEXT(RTData[[#This Row],[1YT]],"#,#0.00")&amp;" &lt; "&amp;RTData[[#This Row],[Old1YT]]</f>
        <v>235.53 &lt; 245.31</v>
      </c>
    </row>
    <row r="4" spans="1:32" x14ac:dyDescent="0.3">
      <c r="A4" s="15" t="str" cm="1">
        <f t="array" aca="1" ref="A4" ca="1">_xlfn.SINGLE(RTData[suffix])&amp;_FV(RTData[[#This Row],[Company Name]],"Ticker symbol",TRUE)</f>
        <v>ADEA</v>
      </c>
      <c r="B4" s="15">
        <f ca="1">D99</f>
        <v>0.85675119945167921</v>
      </c>
      <c r="C4" s="25" t="e" vm="2">
        <v>#VALUE!</v>
      </c>
      <c r="D4" s="17" t="str" cm="1">
        <f t="array" aca="1" ref="D4" ca="1">_FV(RTData[[#This Row],[Company Name]],"Currency")</f>
        <v>USD</v>
      </c>
      <c r="E4" s="18" cm="1">
        <f t="array" aca="1" ref="E4" ca="1">_FV(RTData[[#This Row],[Company Name]],"Last trade time",TRUE)</f>
        <v>45946.692256469534</v>
      </c>
      <c r="F4" s="19" cm="1">
        <f t="array" aca="1" ref="F4" ca="1">_FV(RTData[[#This Row],[Company Name]],"Previous close",TRUE)</f>
        <v>17.27</v>
      </c>
      <c r="G4" s="19" cm="1">
        <f t="array" aca="1" ref="G4" ca="1">_FV(RTData[[#This Row],[Company Name]],"Open")</f>
        <v>17.309999999999999</v>
      </c>
      <c r="H4" s="19" cm="1">
        <f t="array" aca="1" ref="H4" ca="1">_FV(RTData[[#This Row],[Company Name]],"Price")</f>
        <v>16.829999999999998</v>
      </c>
      <c r="I4" s="19" cm="1">
        <f t="array" aca="1" ref="I4" ca="1">_FV(RTData[[#This Row],[Company Name]],"Low")</f>
        <v>16.78</v>
      </c>
      <c r="J4" s="19" cm="1">
        <f t="array" aca="1" ref="J4" ca="1">_FV(RTData[[#This Row],[Company Name]],"High")</f>
        <v>17.364999999999998</v>
      </c>
      <c r="K4" s="20" cm="1">
        <f t="array" aca="1" ref="K4" ca="1">IFERROR(_FV(RTData[[#This Row],[Company Name]],"P/E",TRUE),99)</f>
        <v>22.697199999999999</v>
      </c>
      <c r="L4" s="21" cm="1">
        <f t="array" aca="1" ref="L4" ca="1">_FV(RTData[[#This Row],[Company Name]],"Change")</f>
        <v>-0.44</v>
      </c>
      <c r="M4" s="22" cm="1">
        <f t="array" aca="1" ref="M4" ca="1">_FV(RTData[[#This Row],[Company Name]],"Change (%)",TRUE)</f>
        <v>-2.5478000000000001E-2</v>
      </c>
      <c r="N4" s="19" cm="1">
        <f t="array" aca="1" ref="N4" ca="1">_FV(RTData[[#This Row],[Company Name]],"52 week low",TRUE)</f>
        <v>10.59</v>
      </c>
      <c r="O4" s="19" cm="1">
        <f t="array" aca="1" ref="O4" ca="1">_FV(RTData[[#This Row],[Company Name]],"52 week high",TRUE)</f>
        <v>18.25</v>
      </c>
      <c r="P4" s="23" cm="1">
        <f t="array" aca="1" ref="P4" ca="1">_FV(RTData[[#This Row],[Company Name]],"Volume")</f>
        <v>116950</v>
      </c>
      <c r="Q4" s="23" cm="1">
        <f t="array" aca="1" ref="Q4" ca="1">_FV(RTData[[#This Row],[Company Name]],"Volume average",TRUE)</f>
        <v>594255</v>
      </c>
      <c r="R4" s="19" cm="1">
        <f t="array" aca="1" ref="R4" ca="1">_FV(RTData[[#This Row],[Company Name]],"Beta")</f>
        <v>2.5731999999999999</v>
      </c>
      <c r="T4" t="s">
        <v>20</v>
      </c>
      <c r="U4" t="str" cm="1">
        <f t="array" aca="1" ref="U4" ca="1">_FV(RTData[[#This Row],[Company Name]],"Exchange abbreviation",TRUE)</f>
        <v>XNAS</v>
      </c>
      <c r="V4" s="24">
        <f ca="1">IFERROR(RTData[[#This Row],[Volume]]/RTData[[#This Row],[Volume average]],1)</f>
        <v>0.19680103659203541</v>
      </c>
      <c r="W4" s="24"/>
      <c r="X4" s="108">
        <f ca="1">_xlfn.XLOOKUP(RTData[[#This Row],[Ticker symbol]],[2]Sheet2!$B$2:$B$95,[2]Sheet2!$E$2:$E$95)</f>
        <v>20.66667</v>
      </c>
      <c r="Y4" s="101">
        <f>_xlfn.LET(_xlpm.date,[2]Sheet2!F3,IF(_xlpm.date=0,"",_xlpm.date))</f>
        <v>45895</v>
      </c>
      <c r="Z4" s="101" t="str">
        <f>_xlfn.LET(_xlpm.date,[2]Sheet2!G3,IF(_xlpm.date=0,"",_xlpm.date))</f>
        <v/>
      </c>
      <c r="AA4" s="102">
        <f>[2]Sheet2!$H3</f>
        <v>1.2999999E-2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1.1495574203931486E-2</v>
      </c>
      <c r="C5" s="25" t="e" vm="3">
        <v>#VALUE!</v>
      </c>
      <c r="D5" s="17" t="str" cm="1">
        <f t="array" aca="1" ref="D5" ca="1">_FV(RTData[[#This Row],[Company Name]],"Currency")</f>
        <v>GBp</v>
      </c>
      <c r="E5" s="18" cm="1">
        <f t="array" aca="1" ref="E5" ca="1">_FV(RTData[[#This Row],[Company Name]],"Last trade time",TRUE)</f>
        <v>45946.670939733594</v>
      </c>
      <c r="F5" s="19" cm="1">
        <f t="array" aca="1" ref="F5" ca="1">_FV(RTData[[#This Row],[Company Name]],"Previous close",TRUE)</f>
        <v>42.1</v>
      </c>
      <c r="G5" s="19" cm="1">
        <f t="array" aca="1" ref="G5" ca="1">_FV(RTData[[#This Row],[Company Name]],"Open")</f>
        <v>42.2</v>
      </c>
      <c r="H5" s="19" cm="1">
        <f t="array" aca="1" ref="H5" ca="1">_FV(RTData[[#This Row],[Company Name]],"Price")</f>
        <v>41</v>
      </c>
      <c r="I5" s="19" cm="1">
        <f t="array" aca="1" ref="I5" ca="1">_FV(RTData[[#This Row],[Company Name]],"Low")</f>
        <v>41</v>
      </c>
      <c r="J5" s="19" cm="1">
        <f t="array" aca="1" ref="J5" ca="1">_FV(RTData[[#This Row],[Company Name]],"High")</f>
        <v>42.2</v>
      </c>
      <c r="K5" s="20" cm="1">
        <f t="array" aca="1" ref="K5" ca="1">IFERROR(_FV(RTData[[#This Row],[Company Name]],"P/E",TRUE),99)</f>
        <v>3.5590000000000002</v>
      </c>
      <c r="L5" s="21" cm="1">
        <f t="array" aca="1" ref="L5" ca="1">_FV(RTData[[#This Row],[Company Name]],"Change")</f>
        <v>-1.1000000000000001</v>
      </c>
      <c r="M5" s="22" cm="1">
        <f t="array" aca="1" ref="M5" ca="1">_FV(RTData[[#This Row],[Company Name]],"Change (%)",TRUE)</f>
        <v>-2.6127999999999998E-2</v>
      </c>
      <c r="N5" s="26" cm="1">
        <f t="array" aca="1" ref="N5" ca="1">_FV(RTData[[#This Row],[Company Name]],"52 week low",TRUE)</f>
        <v>33.064999999999998</v>
      </c>
      <c r="O5" s="26" cm="1">
        <f t="array" aca="1" ref="O5" ca="1">_FV(RTData[[#This Row],[Company Name]],"52 week high",TRUE)</f>
        <v>56.2</v>
      </c>
      <c r="P5" s="23" cm="1">
        <f t="array" aca="1" ref="P5" ca="1">_FV(RTData[[#This Row],[Company Name]],"Volume")</f>
        <v>910393</v>
      </c>
      <c r="Q5" s="23" cm="1">
        <f t="array" aca="1" ref="Q5" ca="1">_FV(RTData[[#This Row],[Company Name]],"Volume average",TRUE)</f>
        <v>798100</v>
      </c>
      <c r="R5" s="19" cm="1">
        <f t="array" aca="1" ref="R5" ca="1">_FV(RTData[[#This Row],[Company Name]],"Beta")</f>
        <v>1.1556999999999999</v>
      </c>
      <c r="T5" t="s">
        <v>20</v>
      </c>
      <c r="U5" t="str" cm="1">
        <f t="array" aca="1" ref="U5" ca="1">_FV(RTData[[#This Row],[Company Name]],"Exchange abbreviation",TRUE)</f>
        <v>XLON</v>
      </c>
      <c r="V5" s="24">
        <f ca="1">IFERROR(RTData[[#This Row],[Volume]]/RTData[[#This Row],[Volume average]],1)</f>
        <v>1.1407004134820198</v>
      </c>
      <c r="W5" s="24"/>
      <c r="X5" s="108">
        <f ca="1">_xlfn.XLOOKUP(RTData[[#This Row],[Ticker symbol]],[2]Sheet2!$B$2:$B$95,[2]Sheet2!$E$2:$E$95)</f>
        <v>95.060005000000004</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3.3710363201392021E-2</v>
      </c>
      <c r="AF5" s="105" t="str">
        <f ca="1">TEXT(RTData[[#This Row],[1YT]],"#,#0.00")&amp;" &lt; "&amp;RTData[[#This Row],[Old1YT]]</f>
        <v>95.06 &lt; 91.96/86.78</v>
      </c>
    </row>
    <row r="6" spans="1:32" x14ac:dyDescent="0.3">
      <c r="A6" s="15" t="str" cm="1">
        <f t="array" aca="1" ref="A6" ca="1">_xlfn.SINGLE(RTData[suffix])&amp;_FV(RTData[[#This Row],[Company Name]],"Ticker symbol",TRUE)</f>
        <v>AMZN</v>
      </c>
      <c r="B6" s="15">
        <f ca="1">D99</f>
        <v>0.85675119945167921</v>
      </c>
      <c r="C6" t="e" vm="4">
        <v>#VALUE!</v>
      </c>
      <c r="D6" s="17" t="str" cm="1">
        <f t="array" aca="1" ref="D6" ca="1">_FV(RTData[[#This Row],[Company Name]],"Currency")</f>
        <v>USD</v>
      </c>
      <c r="E6" s="18" cm="1">
        <f t="array" aca="1" ref="E6" ca="1">_FV(RTData[[#This Row],[Company Name]],"Last trade time",TRUE)</f>
        <v>45946.692285485937</v>
      </c>
      <c r="F6" s="19" cm="1">
        <f t="array" aca="1" ref="F6" ca="1">_FV(RTData[[#This Row],[Company Name]],"Previous close",TRUE)</f>
        <v>215.57</v>
      </c>
      <c r="G6" s="19" cm="1">
        <f t="array" aca="1" ref="G6" ca="1">_FV(RTData[[#This Row],[Company Name]],"Open")</f>
        <v>215.59</v>
      </c>
      <c r="H6" s="19" cm="1">
        <f t="array" aca="1" ref="H6" ca="1">_FV(RTData[[#This Row],[Company Name]],"Price")</f>
        <v>214.958</v>
      </c>
      <c r="I6" s="19" cm="1">
        <f t="array" aca="1" ref="I6" ca="1">_FV(RTData[[#This Row],[Company Name]],"Low")</f>
        <v>214.38</v>
      </c>
      <c r="J6" s="19" cm="1">
        <f t="array" aca="1" ref="J6" ca="1">_FV(RTData[[#This Row],[Company Name]],"High")</f>
        <v>218.59</v>
      </c>
      <c r="K6" s="20" cm="1">
        <f t="array" aca="1" ref="K6" ca="1">IFERROR(_FV(RTData[[#This Row],[Company Name]],"P/E",TRUE),99)</f>
        <v>32.802</v>
      </c>
      <c r="L6" s="21" cm="1">
        <f t="array" aca="1" ref="L6" ca="1">_FV(RTData[[#This Row],[Company Name]],"Change")</f>
        <v>-0.61199999999999999</v>
      </c>
      <c r="M6" s="22" cm="1">
        <f t="array" aca="1" ref="M6" ca="1">_FV(RTData[[#This Row],[Company Name]],"Change (%)",TRUE)</f>
        <v>-2.8389999999999999E-3</v>
      </c>
      <c r="N6" s="19" cm="1">
        <f t="array" aca="1" ref="N6" ca="1">_FV(RTData[[#This Row],[Company Name]],"52 week low",TRUE)</f>
        <v>161.38</v>
      </c>
      <c r="O6" s="19" cm="1">
        <f t="array" aca="1" ref="O6" ca="1">_FV(RTData[[#This Row],[Company Name]],"52 week high",TRUE)</f>
        <v>242.52</v>
      </c>
      <c r="P6" s="23" cm="1">
        <f t="array" aca="1" ref="P6" ca="1">_FV(RTData[[#This Row],[Company Name]],"Volume")</f>
        <v>17530394</v>
      </c>
      <c r="Q6" s="23" cm="1">
        <f t="array" aca="1" ref="Q6" ca="1">_FV(RTData[[#This Row],[Company Name]],"Volume average",TRUE)</f>
        <v>47103929</v>
      </c>
      <c r="R6" s="19" cm="1">
        <f t="array" aca="1" ref="R6" ca="1">_FV(RTData[[#This Row],[Company Name]],"Beta")</f>
        <v>1.2847</v>
      </c>
      <c r="T6" t="s">
        <v>20</v>
      </c>
      <c r="U6" t="str" cm="1">
        <f t="array" aca="1" ref="U6" ca="1">_FV(RTData[[#This Row],[Company Name]],"Exchange abbreviation",TRUE)</f>
        <v>XNAS</v>
      </c>
      <c r="V6" s="24">
        <f ca="1">IFERROR(RTData[[#This Row],[Volume]]/RTData[[#This Row],[Volume average]],1)</f>
        <v>0.37216415641251499</v>
      </c>
      <c r="W6" s="24"/>
      <c r="X6" s="108">
        <f ca="1">_xlfn.XLOOKUP(RTData[[#This Row],[Ticker symbol]],[2]Sheet2!$B$2:$B$95,[2]Sheet2!$E$2:$E$95)</f>
        <v>263.18033000000003</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0.10135725644459331</v>
      </c>
      <c r="AF6" s="105" t="str">
        <f ca="1">TEXT(RTData[[#This Row],[1YT]],"#,#0.00")&amp;" &lt; "&amp;RTData[[#This Row],[Old1YT]]</f>
        <v>263.18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45946.666666666664</v>
      </c>
      <c r="F7" s="28" cm="1">
        <f t="array" aca="1" ref="F7" ca="1">_FV(RTData[[#This Row],[Company Name]],"Previous close",TRUE)</f>
        <v>0.83799999999999997</v>
      </c>
      <c r="G7" s="19" cm="1">
        <f t="array" aca="1" ref="G7" ca="1">_FV(RTData[[#This Row],[Company Name]],"Open")</f>
        <v>0.82</v>
      </c>
      <c r="H7" s="28" cm="1">
        <f t="array" aca="1" ref="H7" ca="1">_FV(RTData[[#This Row],[Company Name]],"Price")</f>
        <v>0.83</v>
      </c>
      <c r="I7" s="28" cm="1">
        <f t="array" aca="1" ref="I7" ca="1">_FV(RTData[[#This Row],[Company Name]],"Low")</f>
        <v>0.81</v>
      </c>
      <c r="J7" s="28" cm="1">
        <f t="array" aca="1" ref="J7" ca="1">_FV(RTData[[#This Row],[Company Name]],"High")</f>
        <v>0.83399999999999996</v>
      </c>
      <c r="K7" s="20" cm="1">
        <f t="array" aca="1" ref="K7" ca="1">IFERROR(_FV(RTData[[#This Row],[Company Name]],"P/E",TRUE),99)</f>
        <v>0</v>
      </c>
      <c r="L7" s="21" cm="1">
        <f t="array" aca="1" ref="L7" ca="1">_FV(RTData[[#This Row],[Company Name]],"Change")</f>
        <v>-8.0000000000000002E-3</v>
      </c>
      <c r="M7" s="22" cm="1">
        <f t="array" aca="1" ref="M7" ca="1">_FV(RTData[[#This Row],[Company Name]],"Change (%)",TRUE)</f>
        <v>-9.5469999999999999E-3</v>
      </c>
      <c r="N7" s="28" cm="1">
        <f t="array" aca="1" ref="N7" ca="1">_FV(RTData[[#This Row],[Company Name]],"52 week low",TRUE)</f>
        <v>0.65</v>
      </c>
      <c r="O7" s="28" cm="1">
        <f t="array" aca="1" ref="O7" ca="1">_FV(RTData[[#This Row],[Company Name]],"52 week high",TRUE)</f>
        <v>1.53</v>
      </c>
      <c r="P7" s="23" cm="1">
        <f t="array" aca="1" ref="P7" ca="1">_FV(RTData[[#This Row],[Company Name]],"Volume")</f>
        <v>1032</v>
      </c>
      <c r="Q7" s="23" cm="1">
        <f t="array" aca="1" ref="Q7" ca="1">_FV(RTData[[#This Row],[Company Name]],"Volume average",TRUE)</f>
        <v>2620</v>
      </c>
      <c r="R7" s="19" cm="1">
        <f t="array" aca="1" ref="R7" ca="1">_FV(RTData[[#This Row],[Company Name]],"Beta")</f>
        <v>1.0415000000000001</v>
      </c>
      <c r="T7" t="s">
        <v>20</v>
      </c>
      <c r="U7" t="str" cm="1">
        <f t="array" aca="1" ref="U7" ca="1">_FV(RTData[[#This Row],[Company Name]],"Exchange abbreviation",TRUE)</f>
        <v>XPAR</v>
      </c>
      <c r="V7" s="24">
        <f ca="1">IFERROR(RTData[[#This Row],[Volume]]/RTData[[#This Row],[Volume average]],1)</f>
        <v>0.39389312977099239</v>
      </c>
      <c r="W7" s="24"/>
      <c r="X7" s="108">
        <f ca="1">_xlfn.XLOOKUP(RTData[[#This Row],[Ticker symbol]],[2]Sheet2!$B$2:$B$95,[2]Sheet2!$E$2:$E$95)</f>
        <v>1.5333300000000001</v>
      </c>
      <c r="Y7" s="101" t="str">
        <f>_xlfn.LET(_xlpm.date,[2]Sheet2!F6,IF(_xlpm.date=0,"",_xlpm.date))</f>
        <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45946.666666666664</v>
      </c>
      <c r="F8" s="28" cm="1">
        <f t="array" aca="1" ref="F8" ca="1">_FV(RTData[[#This Row],[Company Name]],"Previous close",TRUE)</f>
        <v>873</v>
      </c>
      <c r="G8" s="28" cm="1">
        <f t="array" aca="1" ref="G8" ca="1">_FV(RTData[[#This Row],[Company Name]],"Open")</f>
        <v>883.7</v>
      </c>
      <c r="H8" s="28" cm="1">
        <f t="array" aca="1" ref="H8" ca="1">_FV(RTData[[#This Row],[Company Name]],"Price")</f>
        <v>877.4</v>
      </c>
      <c r="I8" s="28" cm="1">
        <f t="array" aca="1" ref="I8" ca="1">_FV(RTData[[#This Row],[Company Name]],"Low")</f>
        <v>874</v>
      </c>
      <c r="J8" s="28" cm="1">
        <f t="array" aca="1" ref="J8" ca="1">_FV(RTData[[#This Row],[Company Name]],"High")</f>
        <v>900.5</v>
      </c>
      <c r="K8" s="20" cm="1">
        <f t="array" aca="1" ref="K8" ca="1">IFERROR(_FV(RTData[[#This Row],[Company Name]],"P/E",TRUE),99)</f>
        <v>33.689</v>
      </c>
      <c r="L8" s="21" cm="1">
        <f t="array" aca="1" ref="L8" ca="1">_FV(RTData[[#This Row],[Company Name]],"Change")</f>
        <v>4.4000000000000004</v>
      </c>
      <c r="M8" s="22" cm="1">
        <f t="array" aca="1" ref="M8" ca="1">_FV(RTData[[#This Row],[Company Name]],"Change (%)",TRUE)</f>
        <v>5.0400000000000002E-3</v>
      </c>
      <c r="N8" s="28" cm="1">
        <f t="array" aca="1" ref="N8" ca="1">_FV(RTData[[#This Row],[Company Name]],"52 week low",TRUE)</f>
        <v>508.4</v>
      </c>
      <c r="O8" s="28" cm="1">
        <f t="array" aca="1" ref="O8" ca="1">_FV(RTData[[#This Row],[Company Name]],"52 week high",TRUE)</f>
        <v>905.1</v>
      </c>
      <c r="P8" s="23" cm="1">
        <f t="array" aca="1" ref="P8" ca="1">_FV(RTData[[#This Row],[Company Name]],"Volume")</f>
        <v>703225</v>
      </c>
      <c r="Q8" s="23" cm="1">
        <f t="array" aca="1" ref="Q8" ca="1">_FV(RTData[[#This Row],[Company Name]],"Volume average",TRUE)</f>
        <v>804760</v>
      </c>
      <c r="R8" s="19" cm="1">
        <f t="array" aca="1" ref="R8" ca="1">_FV(RTData[[#This Row],[Company Name]],"Beta")</f>
        <v>1.9593</v>
      </c>
      <c r="T8" t="s">
        <v>20</v>
      </c>
      <c r="U8" t="str" cm="1">
        <f t="array" aca="1" ref="U8" ca="1">_FV(RTData[[#This Row],[Company Name]],"Exchange abbreviation",TRUE)</f>
        <v>XAMS</v>
      </c>
      <c r="V8" s="24">
        <f ca="1">IFERROR(RTData[[#This Row],[Volume]]/RTData[[#This Row],[Volume average]],1)</f>
        <v>0.87383194989810631</v>
      </c>
      <c r="W8" s="24"/>
      <c r="X8" s="108">
        <f ca="1">_xlfn.XLOOKUP(RTData[[#This Row],[Ticker symbol]],[2]Sheet2!$B$2:$B$95,[2]Sheet2!$E$2:$E$95)</f>
        <v>758</v>
      </c>
      <c r="Y8" s="101">
        <f>_xlfn.LET(_xlpm.date,[2]Sheet2!F7,IF(_xlpm.date=0,"",_xlpm.date))</f>
        <v>45866</v>
      </c>
      <c r="Z8" s="101" t="str">
        <f>_xlfn.LET(_xlpm.date,[2]Sheet2!G7,IF(_xlpm.date=0,"",_xlpm.date))</f>
        <v/>
      </c>
      <c r="AA8" s="102">
        <f>[2]Sheet2!$H7</f>
        <v>9.7999999999999997E-3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-0.10568913848840232</v>
      </c>
      <c r="AF8" s="105" t="str">
        <f ca="1">TEXT(RTData[[#This Row],[1YT]],"#,#0.00")&amp;" &lt; "&amp;RTData[[#This Row],[Old1YT]]</f>
        <v>758.00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45946.692287812497</v>
      </c>
      <c r="F9" s="19" cm="1">
        <f t="array" aca="1" ref="F9" ca="1">_FV(RTData[[#This Row],[Company Name]],"Previous close",TRUE)</f>
        <v>351.33</v>
      </c>
      <c r="G9" s="19" cm="1">
        <f t="array" aca="1" ref="G9" ca="1">_FV(RTData[[#This Row],[Company Name]],"Open")</f>
        <v>356.8</v>
      </c>
      <c r="H9" s="19" cm="1">
        <f t="array" aca="1" ref="H9" ca="1">_FV(RTData[[#This Row],[Company Name]],"Price")</f>
        <v>351.37200000000001</v>
      </c>
      <c r="I9" s="19" cm="1">
        <f t="array" aca="1" ref="I9" ca="1">_FV(RTData[[#This Row],[Company Name]],"Low")</f>
        <v>350.41</v>
      </c>
      <c r="J9" s="19" cm="1">
        <f t="array" aca="1" ref="J9" ca="1">_FV(RTData[[#This Row],[Company Name]],"High")</f>
        <v>363.24</v>
      </c>
      <c r="K9" s="20" cm="1">
        <f t="array" aca="1" ref="K9" ca="1">IFERROR(_FV(RTData[[#This Row],[Company Name]],"P/E",TRUE),99)</f>
        <v>90.072299999999998</v>
      </c>
      <c r="L9" s="21" cm="1">
        <f t="array" aca="1" ref="L9" ca="1">_FV(RTData[[#This Row],[Company Name]],"Change")</f>
        <v>4.2000000000000003E-2</v>
      </c>
      <c r="M9" s="22" cm="1">
        <f t="array" aca="1" ref="M9" ca="1">_FV(RTData[[#This Row],[Company Name]],"Change (%)",TRUE)</f>
        <v>1.195E-4</v>
      </c>
      <c r="N9" s="19" cm="1">
        <f t="array" aca="1" ref="N9" ca="1">_FV(RTData[[#This Row],[Company Name]],"52 week low",TRUE)</f>
        <v>138.1</v>
      </c>
      <c r="O9" s="19" cm="1">
        <f t="array" aca="1" ref="O9" ca="1">_FV(RTData[[#This Row],[Company Name]],"52 week high",TRUE)</f>
        <v>374.23</v>
      </c>
      <c r="P9" s="23" cm="1">
        <f t="array" aca="1" ref="P9" ca="1">_FV(RTData[[#This Row],[Company Name]],"Volume")</f>
        <v>9728087</v>
      </c>
      <c r="Q9" s="23" cm="1">
        <f t="array" aca="1" ref="Q9" ca="1">_FV(RTData[[#This Row],[Company Name]],"Volume average",TRUE)</f>
        <v>24673440</v>
      </c>
      <c r="R9" s="19" cm="1">
        <f t="array" aca="1" ref="R9" ca="1">_FV(RTData[[#This Row],[Company Name]],"Beta")</f>
        <v>1.1911</v>
      </c>
      <c r="S9"/>
      <c r="T9"/>
      <c r="U9" t="str" cm="1">
        <f t="array" aca="1" ref="U9" ca="1">_FV(RTData[[#This Row],[Company Name]],"Exchange abbreviation",TRUE)</f>
        <v>XNAS</v>
      </c>
      <c r="V9" s="107">
        <f ca="1">IFERROR(RTData[[#This Row],[Volume]]/RTData[[#This Row],[Volume average]],1)</f>
        <v>0.39427363999507165</v>
      </c>
      <c r="W9" s="107"/>
      <c r="X9" s="108">
        <f ca="1">_xlfn.XLOOKUP(RTData[[#This Row],[Ticker symbol]],[2]Sheet2!$B$2:$B$95,[2]Sheet2!$E$2:$E$95)</f>
        <v>355.06</v>
      </c>
      <c r="Y9" s="109">
        <f>_xlfn.LET(_xlpm.date,[2]Sheet2!F8,IF(_xlpm.date=0,"",_xlpm.date))</f>
        <v>45877</v>
      </c>
      <c r="Z9" s="110" t="str">
        <f>_xlfn.LET(_xlpm.date,[2]Sheet2!G8,IF(_xlpm.date=0,"",_xlpm.date))</f>
        <v>Jul 29, 2025</v>
      </c>
      <c r="AA9" s="111">
        <f>[2]Sheet2!$H8</f>
        <v>1.9199998999999999E-2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355.06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45946.692247974221</v>
      </c>
      <c r="F10" s="19" cm="1">
        <f t="array" aca="1" ref="F10" ca="1">_FV(RTData[[#This Row],[Company Name]],"Previous close",TRUE)</f>
        <v>84.83</v>
      </c>
      <c r="G10" s="19" cm="1">
        <f t="array" aca="1" ref="G10" ca="1">_FV(RTData[[#This Row],[Company Name]],"Open")</f>
        <v>83.49</v>
      </c>
      <c r="H10" s="19" cm="1">
        <f t="array" aca="1" ref="H10" ca="1">_FV(RTData[[#This Row],[Company Name]],"Price")</f>
        <v>83.89</v>
      </c>
      <c r="I10" s="19" cm="1">
        <f t="array" aca="1" ref="I10" ca="1">_FV(RTData[[#This Row],[Company Name]],"Low")</f>
        <v>83.094999999999999</v>
      </c>
      <c r="J10" s="19" cm="1">
        <f t="array" aca="1" ref="J10" ca="1">_FV(RTData[[#This Row],[Company Name]],"High")</f>
        <v>84.415000000000006</v>
      </c>
      <c r="K10" s="20" cm="1">
        <f t="array" aca="1" ref="K10" ca="1">IFERROR(_FV(RTData[[#This Row],[Company Name]],"P/E",TRUE),99)</f>
        <v>31.5839</v>
      </c>
      <c r="L10" s="21" cm="1">
        <f t="array" aca="1" ref="L10" ca="1">_FV(RTData[[#This Row],[Company Name]],"Change")</f>
        <v>-0.94</v>
      </c>
      <c r="M10" s="22" cm="1">
        <f t="array" aca="1" ref="M10" ca="1">_FV(RTData[[#This Row],[Company Name]],"Change (%)",TRUE)</f>
        <v>-1.1081000000000001E-2</v>
      </c>
      <c r="N10" s="19" cm="1">
        <f t="array" aca="1" ref="N10" ca="1">_FV(RTData[[#This Row],[Company Name]],"52 week low",TRUE)</f>
        <v>61.24</v>
      </c>
      <c r="O10" s="19" cm="1">
        <f t="array" aca="1" ref="O10" ca="1">_FV(RTData[[#This Row],[Company Name]],"52 week high",TRUE)</f>
        <v>86.57</v>
      </c>
      <c r="P10" s="23" cm="1">
        <f t="array" aca="1" ref="P10" ca="1">_FV(RTData[[#This Row],[Company Name]],"Volume")</f>
        <v>2489630</v>
      </c>
      <c r="Q10" s="23" cm="1">
        <f t="array" aca="1" ref="Q10" ca="1">_FV(RTData[[#This Row],[Company Name]],"Volume average",TRUE)</f>
        <v>5870377</v>
      </c>
      <c r="R10" s="19" cm="1">
        <f t="array" aca="1" ref="R10" ca="1">_FV(RTData[[#This Row],[Company Name]],"Beta")</f>
        <v>0.33</v>
      </c>
      <c r="U10" t="str" cm="1">
        <f t="array" aca="1" ref="U10" ca="1">_FV(RTData[[#This Row],[Company Name]],"Exchange abbreviation",TRUE)</f>
        <v>XNAS</v>
      </c>
      <c r="V10" s="107">
        <f ca="1">IFERROR(RTData[[#This Row],[Volume]]/RTData[[#This Row],[Volume average]],1)</f>
        <v>0.42410053051107277</v>
      </c>
      <c r="W10" s="107"/>
      <c r="X10" s="108">
        <f ca="1">_xlfn.XLOOKUP(RTData[[#This Row],[Ticker symbol]],[2]Sheet2!$B$2:$B$95,[2]Sheet2!$E$2:$E$95)</f>
        <v>87.27</v>
      </c>
      <c r="Y10" s="109">
        <f>_xlfn.LET(_xlpm.date,[2]Sheet2!F8,IF(_xlpm.date=0,"",_xlpm.date))</f>
        <v>45877</v>
      </c>
      <c r="Z10" s="110" t="str">
        <f>_xlfn.LET(_xlpm.date,[2]Sheet2!G8,IF(_xlpm.date=0,"",_xlpm.date))</f>
        <v>Jul 29, 2025</v>
      </c>
      <c r="AA10" s="111">
        <f>[2]Sheet2!$H8</f>
        <v>1.9199998999999999E-2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87.27 &lt; </v>
      </c>
    </row>
    <row r="11" spans="1:32" x14ac:dyDescent="0.3">
      <c r="A11" s="15" t="str" cm="1">
        <f t="array" aca="1" ref="A11" ca="1">_xlfn.SINGLE(RTData[suffix])&amp;_FV(RTData[[#This Row],[Company Name]],"Ticker symbol",TRUE)</f>
        <v>BLDP</v>
      </c>
      <c r="B11" s="15">
        <f ca="1">D99</f>
        <v>0.85675119945167921</v>
      </c>
      <c r="C11" t="e" vm="10">
        <v>#VALUE!</v>
      </c>
      <c r="D11" s="29" t="str" cm="1">
        <f t="array" aca="1" ref="D11" ca="1">_FV(RTData[[#This Row],[Company Name]],"Currency")</f>
        <v>USD</v>
      </c>
      <c r="E11" s="30" cm="1">
        <f t="array" aca="1" ref="E11" ca="1">_FV(RTData[[#This Row],[Company Name]],"Last trade time",TRUE)</f>
        <v>45946.692226678126</v>
      </c>
      <c r="F11" s="19" cm="1">
        <f t="array" aca="1" ref="F11" ca="1">_FV(RTData[[#This Row],[Company Name]],"Previous close",TRUE)</f>
        <v>3.76</v>
      </c>
      <c r="G11" s="19" cm="1">
        <f t="array" aca="1" ref="G11" ca="1">_FV(RTData[[#This Row],[Company Name]],"Open")</f>
        <v>3.82</v>
      </c>
      <c r="H11" s="19" cm="1">
        <f t="array" aca="1" ref="H11" ca="1">_FV(RTData[[#This Row],[Company Name]],"Price")</f>
        <v>3.84</v>
      </c>
      <c r="I11" s="31" cm="1">
        <f t="array" aca="1" ref="I11" ca="1">_FV(RTData[[#This Row],[Company Name]],"Low")</f>
        <v>3.79</v>
      </c>
      <c r="J11" s="31" cm="1">
        <f t="array" aca="1" ref="J11" ca="1">_FV(RTData[[#This Row],[Company Name]],"High")</f>
        <v>4.03</v>
      </c>
      <c r="K11" s="20" cm="1">
        <f t="array" aca="1" ref="K11" ca="1">IFERROR(_FV(RTData[[#This Row],[Company Name]],"P/E",TRUE),99)</f>
        <v>0</v>
      </c>
      <c r="L11" s="32" cm="1">
        <f t="array" aca="1" ref="L11" ca="1">_FV(RTData[[#This Row],[Company Name]],"Change")</f>
        <v>0.08</v>
      </c>
      <c r="M11" s="33" cm="1">
        <f t="array" aca="1" ref="M11" ca="1">_FV(RTData[[#This Row],[Company Name]],"Change (%)",TRUE)</f>
        <v>2.1277000000000001E-2</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4391972</v>
      </c>
      <c r="Q11" s="34" cm="1">
        <f t="array" aca="1" ref="Q11" ca="1">_FV(RTData[[#This Row],[Company Name]],"Volume average",TRUE)</f>
        <v>9789584</v>
      </c>
      <c r="R11" s="31" cm="1">
        <f t="array" aca="1" ref="R11" ca="1">_FV(RTData[[#This Row],[Company Name]],"Beta")</f>
        <v>1.9767999999999999</v>
      </c>
      <c r="S11" s="35"/>
      <c r="T11" t="s">
        <v>20</v>
      </c>
      <c r="U11" s="35" t="str" cm="1">
        <f t="array" aca="1" ref="U11" ca="1">_FV(RTData[[#This Row],[Company Name]],"Exchange abbreviation",TRUE)</f>
        <v>XNAS</v>
      </c>
      <c r="V11" s="93">
        <f ca="1">IFERROR(RTData[[#This Row],[Volume]]/RTData[[#This Row],[Volume average]],1)</f>
        <v>0.44863724546415862</v>
      </c>
      <c r="W11" s="93"/>
      <c r="X11" s="108">
        <f ca="1">_xlfn.XLOOKUP(RTData[[#This Row],[Ticker symbol]],[2]Sheet2!$B$2:$B$95,[2]Sheet2!$E$2:$E$95)</f>
        <v>2.3158300000000001</v>
      </c>
      <c r="Y11" s="101">
        <f>_xlfn.LET(_xlpm.date,[2]Sheet2!F8,IF(_xlpm.date=0,"",_xlpm.date))</f>
        <v>45877</v>
      </c>
      <c r="Z11" s="101" t="str">
        <f>_xlfn.LET(_xlpm.date,[2]Sheet2!G8,IF(_xlpm.date=0,"",_xlpm.date))</f>
        <v>Jul 29, 2025</v>
      </c>
      <c r="AA11" s="102">
        <f>[2]Sheet2!$H8</f>
        <v>1.9199998999999999E-2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-0.9743994030510722</v>
      </c>
      <c r="AF11" s="105" t="str">
        <f ca="1">TEXT(RTData[[#This Row],[1YT]],"#,#0.00")&amp;" &lt; "&amp;RTData[[#This Row],[Old1YT]]</f>
        <v>2.32 &lt; 90.46</v>
      </c>
    </row>
    <row r="12" spans="1:32" x14ac:dyDescent="0.3">
      <c r="A12" s="15" t="str" cm="1">
        <f t="array" aca="1" ref="A12" ca="1">_xlfn.SINGLE(RTData[suffix])&amp;_FV(RTData[[#This Row],[Company Name]],"Ticker symbol",TRUE)</f>
        <v>BMRA</v>
      </c>
      <c r="B12" s="15">
        <f ca="1">D99</f>
        <v>0.85675119945167921</v>
      </c>
      <c r="C12" t="e" vm="11">
        <v>#VALUE!</v>
      </c>
      <c r="D12" s="17" t="str" cm="1">
        <f t="array" aca="1" ref="D12" ca="1">_FV(RTData[[#This Row],[Company Name]],"Currency")</f>
        <v>USD</v>
      </c>
      <c r="E12" s="18" cm="1">
        <f t="array" aca="1" ref="E12" ca="1">_FV(RTData[[#This Row],[Company Name]],"Last trade time",TRUE)</f>
        <v>45946.691266885937</v>
      </c>
      <c r="F12" s="19" cm="1">
        <f t="array" aca="1" ref="F12" ca="1">_FV(RTData[[#This Row],[Company Name]],"Previous close",TRUE)</f>
        <v>2.86</v>
      </c>
      <c r="G12" s="19" cm="1">
        <f t="array" aca="1" ref="G12" ca="1">_FV(RTData[[#This Row],[Company Name]],"Open")</f>
        <v>2.7</v>
      </c>
      <c r="H12" s="19" cm="1">
        <f t="array" aca="1" ref="H12" ca="1">_FV(RTData[[#This Row],[Company Name]],"Price")</f>
        <v>2.78</v>
      </c>
      <c r="I12" s="19" cm="1">
        <f t="array" aca="1" ref="I12" ca="1">_FV(RTData[[#This Row],[Company Name]],"Low")</f>
        <v>2.62</v>
      </c>
      <c r="J12" s="19" cm="1">
        <f t="array" aca="1" ref="J12" ca="1">_FV(RTData[[#This Row],[Company Name]],"High")</f>
        <v>2.9</v>
      </c>
      <c r="K12" s="20" cm="1">
        <f t="array" aca="1" ref="K12" ca="1">IFERROR(_FV(RTData[[#This Row],[Company Name]],"P/E",TRUE),99)</f>
        <v>0</v>
      </c>
      <c r="L12" s="21" cm="1">
        <f t="array" aca="1" ref="L12" ca="1">_FV(RTData[[#This Row],[Company Name]],"Change")</f>
        <v>-0.08</v>
      </c>
      <c r="M12" s="22" cm="1">
        <f t="array" aca="1" ref="M12" ca="1">_FV(RTData[[#This Row],[Company Name]],"Change (%)",TRUE)</f>
        <v>-2.7972E-2</v>
      </c>
      <c r="N12" s="19" cm="1">
        <f t="array" aca="1" ref="N12" ca="1">_FV(RTData[[#This Row],[Company Name]],"52 week low",TRUE)</f>
        <v>2.08</v>
      </c>
      <c r="O12" s="19" cm="1">
        <f t="array" aca="1" ref="O12" ca="1">_FV(RTData[[#This Row],[Company Name]],"52 week high",TRUE)</f>
        <v>10.16</v>
      </c>
      <c r="P12" s="23" cm="1">
        <f t="array" aca="1" ref="P12" ca="1">_FV(RTData[[#This Row],[Company Name]],"Volume")</f>
        <v>3831117</v>
      </c>
      <c r="Q12" s="23" cm="1">
        <f t="array" aca="1" ref="Q12" ca="1">_FV(RTData[[#This Row],[Company Name]],"Volume average",TRUE)</f>
        <v>33029</v>
      </c>
      <c r="R12" s="19" cm="1">
        <f t="array" aca="1" ref="R12" ca="1">_FV(RTData[[#This Row],[Company Name]],"Beta")</f>
        <v>0.27229999999999999</v>
      </c>
      <c r="T12" t="s">
        <v>20</v>
      </c>
      <c r="U12" t="str" cm="1">
        <f t="array" aca="1" ref="U12" ca="1">_FV(RTData[[#This Row],[Company Name]],"Exchange abbreviation",TRUE)</f>
        <v>XNAS</v>
      </c>
      <c r="V12" s="24">
        <f ca="1">IFERROR(RTData[[#This Row],[Volume]]/RTData[[#This Row],[Volume average]],1)</f>
        <v>115.99252172333404</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0.85675119945167921</v>
      </c>
      <c r="C13" t="e" vm="12">
        <v>#VALUE!</v>
      </c>
      <c r="D13" s="17" t="str" cm="1">
        <f t="array" aca="1" ref="D13" ca="1">_FV(RTData[[#This Row],[Company Name]],"Currency")</f>
        <v>USD</v>
      </c>
      <c r="E13" s="18" cm="1">
        <f t="array" aca="1" ref="E13" ca="1">_FV(RTData[[#This Row],[Company Name]],"Last trade time",TRUE)</f>
        <v>45946.692275867972</v>
      </c>
      <c r="F13" s="19" cm="1">
        <f t="array" aca="1" ref="F13" ca="1">_FV(RTData[[#This Row],[Company Name]],"Previous close",TRUE)</f>
        <v>99.78</v>
      </c>
      <c r="G13" s="19" cm="1">
        <f t="array" aca="1" ref="G13" ca="1">_FV(RTData[[#This Row],[Company Name]],"Open")</f>
        <v>100.04</v>
      </c>
      <c r="H13" s="19" cm="1">
        <f t="array" aca="1" ref="H13" ca="1">_FV(RTData[[#This Row],[Company Name]],"Price")</f>
        <v>97.94</v>
      </c>
      <c r="I13" s="19" cm="1">
        <f t="array" aca="1" ref="I13" ca="1">_FV(RTData[[#This Row],[Company Name]],"Low")</f>
        <v>97.7286</v>
      </c>
      <c r="J13" s="19" cm="1">
        <f t="array" aca="1" ref="J13" ca="1">_FV(RTData[[#This Row],[Company Name]],"High")</f>
        <v>100.69</v>
      </c>
      <c r="K13" s="20" cm="1">
        <f t="array" aca="1" ref="K13" ca="1">IFERROR(_FV(RTData[[#This Row],[Company Name]],"P/E",TRUE),99)</f>
        <v>13.768000000000001</v>
      </c>
      <c r="L13" s="21" cm="1">
        <f t="array" aca="1" ref="L13" ca="1">_FV(RTData[[#This Row],[Company Name]],"Change")</f>
        <v>-1.84</v>
      </c>
      <c r="M13" s="22" cm="1">
        <f t="array" aca="1" ref="M13" ca="1">_FV(RTData[[#This Row],[Company Name]],"Change (%)",TRUE)</f>
        <v>-1.8440999999999999E-2</v>
      </c>
      <c r="N13" s="19" cm="1">
        <f t="array" aca="1" ref="N13" ca="1">_FV(RTData[[#This Row],[Company Name]],"52 week low",TRUE)</f>
        <v>55.51</v>
      </c>
      <c r="O13" s="19" cm="1">
        <f t="array" aca="1" ref="O13" ca="1">_FV(RTData[[#This Row],[Company Name]],"52 week high",TRUE)</f>
        <v>105.59</v>
      </c>
      <c r="P13" s="23" cm="1">
        <f t="array" aca="1" ref="P13" ca="1">_FV(RTData[[#This Row],[Company Name]],"Volume")</f>
        <v>7464281</v>
      </c>
      <c r="Q13" s="23" cm="1">
        <f t="array" aca="1" ref="Q13" ca="1">_FV(RTData[[#This Row],[Company Name]],"Volume average",TRUE)</f>
        <v>14164705</v>
      </c>
      <c r="R13" s="19" cm="1">
        <f t="array" aca="1" ref="R13" ca="1">_FV(RTData[[#This Row],[Company Name]],"Beta")</f>
        <v>1.3584000000000001</v>
      </c>
      <c r="T13" t="s">
        <v>20</v>
      </c>
      <c r="U13" t="str" cm="1">
        <f t="array" aca="1" ref="U13" ca="1">_FV(RTData[[#This Row],[Company Name]],"Exchange abbreviation",TRUE)</f>
        <v>XNYS</v>
      </c>
      <c r="V13" s="24">
        <f ca="1">IFERROR(RTData[[#This Row],[Volume]]/RTData[[#This Row],[Volume average]],1)</f>
        <v>0.52696339246034418</v>
      </c>
      <c r="W13" s="24"/>
      <c r="X13" s="108">
        <f ca="1">_xlfn.XLOOKUP(RTData[[#This Row],[Ticker symbol]],[2]Sheet2!$B$2:$B$95,[2]Sheet2!$E$2:$E$95)</f>
        <v>101.54761999999999</v>
      </c>
      <c r="Y13" s="101" t="str">
        <f>_xlfn.LET(_xlpm.date,[2]Sheet2!F10,IF(_xlpm.date=0,"",_xlpm.date))</f>
        <v/>
      </c>
      <c r="Z13" s="101" t="str">
        <f>_xlfn.LET(_xlpm.date,[2]Sheet2!G10,IF(_xlpm.date=0,"",_xlpm.date))</f>
        <v>Aug 26, 2025 - Sep 1, 2025</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6.6581915535444942</v>
      </c>
      <c r="AF13" s="105" t="str">
        <f ca="1">TEXT(RTData[[#This Row],[1YT]],"#,#0.00")&amp;" &lt; "&amp;RTData[[#This Row],[Old1YT]]</f>
        <v>101.55 &lt; 13.26</v>
      </c>
    </row>
    <row r="14" spans="1:32" x14ac:dyDescent="0.3">
      <c r="A14" s="15" t="str" cm="1">
        <f t="array" aca="1" ref="A14" ca="1">_xlfn.SINGLE(RTData[suffix])&amp;_FV(RTData[[#This Row],[Company Name]],"Ticker symbol",TRUE)</f>
        <v>CSCO</v>
      </c>
      <c r="B14" s="15">
        <f ca="1">D99</f>
        <v>0.85675119945167921</v>
      </c>
      <c r="C14" t="e" vm="13">
        <v>#VALUE!</v>
      </c>
      <c r="D14" s="17" t="str" cm="1">
        <f t="array" aca="1" ref="D14" ca="1">_FV(RTData[[#This Row],[Company Name]],"Currency")</f>
        <v>USD</v>
      </c>
      <c r="E14" s="18" cm="1">
        <f t="array" aca="1" ref="E14" ca="1">_FV(RTData[[#This Row],[Company Name]],"Last trade time",TRUE)</f>
        <v>45946.692266260936</v>
      </c>
      <c r="F14" s="19" cm="1">
        <f t="array" aca="1" ref="F14" ca="1">_FV(RTData[[#This Row],[Company Name]],"Previous close",TRUE)</f>
        <v>69.52</v>
      </c>
      <c r="G14" s="19" cm="1">
        <f t="array" aca="1" ref="G14" ca="1">_FV(RTData[[#This Row],[Company Name]],"Open")</f>
        <v>69.81</v>
      </c>
      <c r="H14" s="19" cm="1">
        <f t="array" aca="1" ref="H14" ca="1">_FV(RTData[[#This Row],[Company Name]],"Price")</f>
        <v>68.930000000000007</v>
      </c>
      <c r="I14" s="19" cm="1">
        <f t="array" aca="1" ref="I14" ca="1">_FV(RTData[[#This Row],[Company Name]],"Low")</f>
        <v>68.86</v>
      </c>
      <c r="J14" s="19" cm="1">
        <f t="array" aca="1" ref="J14" ca="1">_FV(RTData[[#This Row],[Company Name]],"High")</f>
        <v>70.069999999999993</v>
      </c>
      <c r="K14" s="20" cm="1">
        <f t="array" aca="1" ref="K14" ca="1">IFERROR(_FV(RTData[[#This Row],[Company Name]],"P/E",TRUE),99)</f>
        <v>29.139700000000001</v>
      </c>
      <c r="L14" s="21" cm="1">
        <f t="array" aca="1" ref="L14" ca="1">_FV(RTData[[#This Row],[Company Name]],"Change")</f>
        <v>-0.59</v>
      </c>
      <c r="M14" s="22" cm="1">
        <f t="array" aca="1" ref="M14" ca="1">_FV(RTData[[#This Row],[Company Name]],"Change (%)",TRUE)</f>
        <v>-8.4869999999999998E-3</v>
      </c>
      <c r="N14" s="19" cm="1">
        <f t="array" aca="1" ref="N14" ca="1">_FV(RTData[[#This Row],[Company Name]],"52 week low",TRUE)</f>
        <v>52.11</v>
      </c>
      <c r="O14" s="19" cm="1">
        <f t="array" aca="1" ref="O14" ca="1">_FV(RTData[[#This Row],[Company Name]],"52 week high",TRUE)</f>
        <v>72.55</v>
      </c>
      <c r="P14" s="23" cm="1">
        <f t="array" aca="1" ref="P14" ca="1">_FV(RTData[[#This Row],[Company Name]],"Volume")</f>
        <v>4195480</v>
      </c>
      <c r="Q14" s="23" cm="1">
        <f t="array" aca="1" ref="Q14" ca="1">_FV(RTData[[#This Row],[Company Name]],"Volume average",TRUE)</f>
        <v>19697116</v>
      </c>
      <c r="R14" s="19" cm="1">
        <f t="array" aca="1" ref="R14" ca="1">_FV(RTData[[#This Row],[Company Name]],"Beta")</f>
        <v>0.94350000000000001</v>
      </c>
      <c r="T14" t="s">
        <v>20</v>
      </c>
      <c r="U14" t="str" cm="1">
        <f t="array" aca="1" ref="U14" ca="1">_FV(RTData[[#This Row],[Company Name]],"Exchange abbreviation",TRUE)</f>
        <v>XNAS</v>
      </c>
      <c r="V14" s="24">
        <f ca="1">IFERROR(RTData[[#This Row],[Volume]]/RTData[[#This Row],[Volume average]],1)</f>
        <v>0.21299971021138323</v>
      </c>
      <c r="W14" s="24"/>
      <c r="X14" s="108">
        <f ca="1">_xlfn.XLOOKUP(RTData[[#This Row],[Ticker symbol]],[2]Sheet2!$B$2:$B$95,[2]Sheet2!$E$2:$E$95)</f>
        <v>75.814760000000007</v>
      </c>
      <c r="Y14" s="101">
        <f>_xlfn.LET(_xlpm.date,[2]Sheet2!F11,IF(_xlpm.date=0,"",_xlpm.date))</f>
        <v>45873</v>
      </c>
      <c r="Z14" s="101" t="str">
        <f>_xlfn.LET(_xlpm.date,[2]Sheet2!G11,IF(_xlpm.date=0,"",_xlpm.date))</f>
        <v>Oct 14, 2025</v>
      </c>
      <c r="AA14" s="102">
        <f>[2]Sheet2!$H11</f>
        <v>2.52E-2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-0.13235568780041188</v>
      </c>
      <c r="AF14" s="105" t="str">
        <f ca="1">TEXT(RTData[[#This Row],[1YT]],"#,#0.00")&amp;" &lt; "&amp;RTData[[#This Row],[Old1YT]]</f>
        <v>75.81 &lt; 87.38/72.32</v>
      </c>
    </row>
    <row r="15" spans="1:32" x14ac:dyDescent="0.3">
      <c r="A15" s="15" t="str" cm="1">
        <f t="array" aca="1" ref="A15" ca="1">_xlfn.SINGLE(RTData[suffix])&amp;_FV(RTData[[#This Row],[Company Name]],"Ticker symbol",TRUE)</f>
        <v>CVS</v>
      </c>
      <c r="B15" s="15">
        <f ca="1">D99</f>
        <v>0.85675119945167921</v>
      </c>
      <c r="C15" t="e" vm="14">
        <v>#VALUE!</v>
      </c>
      <c r="D15" s="17" t="str" cm="1">
        <f t="array" aca="1" ref="D15" ca="1">_FV(RTData[[#This Row],[Company Name]],"Currency")</f>
        <v>USD</v>
      </c>
      <c r="E15" s="18" cm="1">
        <f t="array" aca="1" ref="E15" ca="1">_FV(RTData[[#This Row],[Company Name]],"Last trade time",TRUE)</f>
        <v>45946.692280971874</v>
      </c>
      <c r="F15" s="19" cm="1">
        <f t="array" aca="1" ref="F15" ca="1">_FV(RTData[[#This Row],[Company Name]],"Previous close",TRUE)</f>
        <v>80.67</v>
      </c>
      <c r="G15" s="19" cm="1">
        <f t="array" aca="1" ref="G15" ca="1">_FV(RTData[[#This Row],[Company Name]],"Open")</f>
        <v>80.715000000000003</v>
      </c>
      <c r="H15" s="19" cm="1">
        <f t="array" aca="1" ref="H15" ca="1">_FV(RTData[[#This Row],[Company Name]],"Price")</f>
        <v>81.25</v>
      </c>
      <c r="I15" s="19" cm="1">
        <f t="array" aca="1" ref="I15" ca="1">_FV(RTData[[#This Row],[Company Name]],"Low")</f>
        <v>80.632400000000004</v>
      </c>
      <c r="J15" s="19" cm="1">
        <f t="array" aca="1" ref="J15" ca="1">_FV(RTData[[#This Row],[Company Name]],"High")</f>
        <v>81.564999999999998</v>
      </c>
      <c r="K15" s="20" cm="1">
        <f t="array" aca="1" ref="K15" ca="1">IFERROR(_FV(RTData[[#This Row],[Company Name]],"P/E",TRUE),99)</f>
        <v>22.6753</v>
      </c>
      <c r="L15" s="21" cm="1">
        <f t="array" aca="1" ref="L15" ca="1">_FV(RTData[[#This Row],[Company Name]],"Change")</f>
        <v>0.57999999999999996</v>
      </c>
      <c r="M15" s="22" cm="1">
        <f t="array" aca="1" ref="M15" ca="1">_FV(RTData[[#This Row],[Company Name]],"Change (%)",TRUE)</f>
        <v>7.1899999999999993E-3</v>
      </c>
      <c r="N15" s="19" cm="1">
        <f t="array" aca="1" ref="N15" ca="1">_FV(RTData[[#This Row],[Company Name]],"52 week low",TRUE)</f>
        <v>43.56</v>
      </c>
      <c r="O15" s="19" cm="1">
        <f t="array" aca="1" ref="O15" ca="1">_FV(RTData[[#This Row],[Company Name]],"52 week high",TRUE)</f>
        <v>81.93</v>
      </c>
      <c r="P15" s="23" cm="1">
        <f t="array" aca="1" ref="P15" ca="1">_FV(RTData[[#This Row],[Company Name]],"Volume")</f>
        <v>2097264</v>
      </c>
      <c r="Q15" s="23" cm="1">
        <f t="array" aca="1" ref="Q15" ca="1">_FV(RTData[[#This Row],[Company Name]],"Volume average",TRUE)</f>
        <v>7405154</v>
      </c>
      <c r="R15" s="19" cm="1">
        <f t="array" aca="1" ref="R15" ca="1">_FV(RTData[[#This Row],[Company Name]],"Beta")</f>
        <v>0.59289999999999998</v>
      </c>
      <c r="T15" t="s">
        <v>20</v>
      </c>
      <c r="U15" t="str" cm="1">
        <f t="array" aca="1" ref="U15" ca="1">_FV(RTData[[#This Row],[Company Name]],"Exchange abbreviation",TRUE)</f>
        <v>XNYS</v>
      </c>
      <c r="V15" s="24">
        <f ca="1">IFERROR(RTData[[#This Row],[Volume]]/RTData[[#This Row],[Volume average]],1)</f>
        <v>0.28321679738193156</v>
      </c>
      <c r="W15" s="24"/>
      <c r="X15" s="108">
        <f ca="1">_xlfn.XLOOKUP(RTData[[#This Row],[Ticker symbol]],[2]Sheet2!$B$2:$B$95,[2]Sheet2!$E$2:$E$95)</f>
        <v>82.072500000000005</v>
      </c>
      <c r="Y15" s="101">
        <f>_xlfn.LET(_xlpm.date,[2]Sheet2!F12,IF(_xlpm.date=0,"",_xlpm.date))</f>
        <v>45933</v>
      </c>
      <c r="Z15" s="101" t="str">
        <f>_xlfn.LET(_xlpm.date,[2]Sheet2!G12,IF(_xlpm.date=0,"",_xlpm.date))</f>
        <v>Nov 12, 2025</v>
      </c>
      <c r="AA15" s="102">
        <f>[2]Sheet2!$H12</f>
        <v>2.4500001E-2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8.2539864269173938E-2</v>
      </c>
      <c r="AF15" s="105" t="str">
        <f ca="1">TEXT(RTData[[#This Row],[1YT]],"#,#0.00")&amp;" &lt; "&amp;RTData[[#This Row],[Old1YT]]</f>
        <v>82.07 &lt; 75.81476/55.04</v>
      </c>
    </row>
    <row r="16" spans="1:32" x14ac:dyDescent="0.3">
      <c r="A16" s="15" t="str" cm="1">
        <f t="array" aca="1" ref="A16" ca="1">_xlfn.SINGLE(RTData[suffix])&amp;_FV(RTData[[#This Row],[Company Name]],"Ticker symbol",TRUE)</f>
        <v>DDD</v>
      </c>
      <c r="B16" s="15">
        <f ca="1">D99</f>
        <v>0.85675119945167921</v>
      </c>
      <c r="C16" t="e" vm="15">
        <v>#VALUE!</v>
      </c>
      <c r="D16" s="17" t="str" cm="1">
        <f t="array" aca="1" ref="D16" ca="1">_FV(RTData[[#This Row],[Company Name]],"Currency")</f>
        <v>USD</v>
      </c>
      <c r="E16" s="18" cm="1">
        <f t="array" aca="1" ref="E16" ca="1">_FV(RTData[[#This Row],[Company Name]],"Last trade time",TRUE)</f>
        <v>45946.6922442125</v>
      </c>
      <c r="F16" s="19" cm="1">
        <f t="array" aca="1" ref="F16" ca="1">_FV(RTData[[#This Row],[Company Name]],"Previous close",TRUE)</f>
        <v>3.27</v>
      </c>
      <c r="G16" s="19" cm="1">
        <f t="array" aca="1" ref="G16" ca="1">_FV(RTData[[#This Row],[Company Name]],"Open")</f>
        <v>3.32</v>
      </c>
      <c r="H16" s="19" cm="1">
        <f t="array" aca="1" ref="H16" ca="1">_FV(RTData[[#This Row],[Company Name]],"Price")</f>
        <v>3.33</v>
      </c>
      <c r="I16" s="19" cm="1">
        <f t="array" aca="1" ref="I16" ca="1">_FV(RTData[[#This Row],[Company Name]],"Low")</f>
        <v>3.29</v>
      </c>
      <c r="J16" s="19" cm="1">
        <f t="array" aca="1" ref="J16" ca="1">_FV(RTData[[#This Row],[Company Name]],"High")</f>
        <v>3.5497000000000001</v>
      </c>
      <c r="K16" s="20" cm="1">
        <f t="array" aca="1" ref="K16" ca="1">IFERROR(_FV(RTData[[#This Row],[Company Name]],"P/E",TRUE),99)</f>
        <v>0</v>
      </c>
      <c r="L16" s="21" cm="1">
        <f t="array" aca="1" ref="L16" ca="1">_FV(RTData[[#This Row],[Company Name]],"Change")</f>
        <v>0.06</v>
      </c>
      <c r="M16" s="22" cm="1">
        <f t="array" aca="1" ref="M16" ca="1">_FV(RTData[[#This Row],[Company Name]],"Change (%)",TRUE)</f>
        <v>1.8349000000000001E-2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3347244</v>
      </c>
      <c r="Q16" s="23" cm="1">
        <f t="array" aca="1" ref="Q16" ca="1">_FV(RTData[[#This Row],[Company Name]],"Volume average",TRUE)</f>
        <v>4484637</v>
      </c>
      <c r="R16" s="19" cm="1">
        <f t="array" aca="1" ref="R16" ca="1">_FV(RTData[[#This Row],[Company Name]],"Beta")</f>
        <v>2.1697000000000002</v>
      </c>
      <c r="T16" t="s">
        <v>20</v>
      </c>
      <c r="U16" t="str" cm="1">
        <f t="array" aca="1" ref="U16" ca="1">_FV(RTData[[#This Row],[Company Name]],"Exchange abbreviation",TRUE)</f>
        <v>XNYS</v>
      </c>
      <c r="V16" s="24">
        <f ca="1">IFERROR(RTData[[#This Row],[Volume]]/RTData[[#This Row],[Volume average]],1)</f>
        <v>0.74638014180411927</v>
      </c>
      <c r="W16" s="24"/>
      <c r="X16" s="108">
        <f ca="1">_xlfn.XLOOKUP(RTData[[#This Row],[Ticker symbol]],[2]Sheet2!$B$2:$B$95,[2]Sheet2!$E$2:$E$95)</f>
        <v>3.25</v>
      </c>
      <c r="Y16" s="101">
        <f>_xlfn.LET(_xlpm.date,[2]Sheet2!F13,IF(_xlpm.date=0,"",_xlpm.date))</f>
        <v>45860</v>
      </c>
      <c r="Z16" s="101" t="str">
        <f>_xlfn.LET(_xlpm.date,[2]Sheet2!G13,IF(_xlpm.date=0,"",_xlpm.date))</f>
        <v>Jul 31, 2025</v>
      </c>
      <c r="AA16" s="102">
        <f>[2]Sheet2!$H13</f>
        <v>3.61E-2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0.85675119945167921</v>
      </c>
      <c r="C17" t="e" vm="16">
        <v>#VALUE!</v>
      </c>
      <c r="D17" s="17" t="str" cm="1">
        <f t="array" aca="1" ref="D17" ca="1">_FV(RTData[[#This Row],[Company Name]],"Currency")</f>
        <v>USD</v>
      </c>
      <c r="E17" s="18" cm="1">
        <f t="array" aca="1" ref="E17" ca="1">_FV(RTData[[#This Row],[Company Name]],"Last trade time",TRUE)</f>
        <v>45946.692288263279</v>
      </c>
      <c r="F17" s="19" cm="1">
        <f t="array" aca="1" ref="F17" ca="1">_FV(RTData[[#This Row],[Company Name]],"Previous close",TRUE)</f>
        <v>111.71</v>
      </c>
      <c r="G17" s="19" cm="1">
        <f t="array" aca="1" ref="G17" ca="1">_FV(RTData[[#This Row],[Company Name]],"Open")</f>
        <v>111.86499999999999</v>
      </c>
      <c r="H17" s="19" cm="1">
        <f t="array" aca="1" ref="H17" ca="1">_FV(RTData[[#This Row],[Company Name]],"Price")</f>
        <v>110.31</v>
      </c>
      <c r="I17" s="19" cm="1">
        <f t="array" aca="1" ref="I17" ca="1">_FV(RTData[[#This Row],[Company Name]],"Low")</f>
        <v>110.1</v>
      </c>
      <c r="J17" s="19" cm="1">
        <f t="array" aca="1" ref="J17" ca="1">_FV(RTData[[#This Row],[Company Name]],"High")</f>
        <v>112.08499999999999</v>
      </c>
      <c r="K17" s="20" cm="1">
        <f t="array" aca="1" ref="K17" ca="1">IFERROR(_FV(RTData[[#This Row],[Company Name]],"P/E",TRUE),99)</f>
        <v>17.2943</v>
      </c>
      <c r="L17" s="21" cm="1">
        <f t="array" aca="1" ref="L17" ca="1">_FV(RTData[[#This Row],[Company Name]],"Change")</f>
        <v>-1.4</v>
      </c>
      <c r="M17" s="22" cm="1">
        <f t="array" aca="1" ref="M17" ca="1">_FV(RTData[[#This Row],[Company Name]],"Change (%)",TRUE)</f>
        <v>-1.2532000000000001E-2</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2331256</v>
      </c>
      <c r="Q17" s="23" cm="1">
        <f t="array" aca="1" ref="Q17" ca="1">_FV(RTData[[#This Row],[Company Name]],"Volume average",TRUE)</f>
        <v>8856647</v>
      </c>
      <c r="R17" s="19" cm="1">
        <f t="array" aca="1" ref="R17" ca="1">_FV(RTData[[#This Row],[Company Name]],"Beta")</f>
        <v>1.5543</v>
      </c>
      <c r="T17" t="s">
        <v>20</v>
      </c>
      <c r="U17" t="str" cm="1">
        <f t="array" aca="1" ref="U17" ca="1">_FV(RTData[[#This Row],[Company Name]],"Exchange abbreviation",TRUE)</f>
        <v>XNYS</v>
      </c>
      <c r="V17" s="24">
        <f ca="1">IFERROR(RTData[[#This Row],[Volume]]/RTData[[#This Row],[Volume average]],1)</f>
        <v>0.26322105871443224</v>
      </c>
      <c r="W17" s="24"/>
      <c r="X17" s="108">
        <f ca="1">_xlfn.XLOOKUP(RTData[[#This Row],[Ticker symbol]],[2]Sheet2!$B$2:$B$95,[2]Sheet2!$E$2:$E$95)</f>
        <v>132.22594000000001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32.559883248730969</v>
      </c>
      <c r="AF17" s="105" t="str">
        <f ca="1">TEXT(RTData[[#This Row],[1YT]],"#,#0.00")&amp;" &lt; "&amp;RTData[[#This Row],[Old1YT]]</f>
        <v>132.23 &lt; 3.94</v>
      </c>
    </row>
    <row r="18" spans="1:32" x14ac:dyDescent="0.3">
      <c r="A18" s="15" t="str" cm="1">
        <f t="array" aca="1" ref="A18" ca="1">_xlfn.SINGLE(RTData[suffix])&amp;_FV(RTData[[#This Row],[Company Name]],"Ticker symbol",TRUE)</f>
        <v>DSY</v>
      </c>
      <c r="B18" s="15">
        <f ca="1">D99</f>
        <v>0.85675119945167921</v>
      </c>
      <c r="C18" t="e" vm="17">
        <v>#VALUE!</v>
      </c>
      <c r="D18" s="17" t="str" cm="1">
        <f t="array" aca="1" ref="D18" ca="1">_FV(RTData[[#This Row],[Company Name]],"Currency")</f>
        <v>EUR</v>
      </c>
      <c r="E18" s="18" cm="1">
        <f t="array" aca="1" ref="E18" ca="1">_FV(RTData[[#This Row],[Company Name]],"Last trade time",TRUE)</f>
        <v>45946.666666666664</v>
      </c>
      <c r="F18" s="19" cm="1">
        <f t="array" aca="1" ref="F18" ca="1">_FV(RTData[[#This Row],[Company Name]],"Previous close",TRUE)</f>
        <v>28.88</v>
      </c>
      <c r="G18" s="19" cm="1">
        <f t="array" aca="1" ref="G18" ca="1">_FV(RTData[[#This Row],[Company Name]],"Open")</f>
        <v>28.83</v>
      </c>
      <c r="H18" s="19" cm="1">
        <f t="array" aca="1" ref="H18" ca="1">_FV(RTData[[#This Row],[Company Name]],"Price")</f>
        <v>29.38</v>
      </c>
      <c r="I18" s="19" cm="1">
        <f t="array" aca="1" ref="I18" ca="1">_FV(RTData[[#This Row],[Company Name]],"Low")</f>
        <v>28.72</v>
      </c>
      <c r="J18" s="19" cm="1">
        <f t="array" aca="1" ref="J18" ca="1">_FV(RTData[[#This Row],[Company Name]],"High")</f>
        <v>29.44</v>
      </c>
      <c r="K18" s="20" cm="1">
        <f t="array" aca="1" ref="K18" ca="1">IFERROR(_FV(RTData[[#This Row],[Company Name]],"P/E",TRUE),99)</f>
        <v>33.758499999999998</v>
      </c>
      <c r="L18" s="21" cm="1">
        <f t="array" aca="1" ref="L18" ca="1">_FV(RTData[[#This Row],[Company Name]],"Change")</f>
        <v>0.5</v>
      </c>
      <c r="M18" s="22" cm="1">
        <f t="array" aca="1" ref="M18" ca="1">_FV(RTData[[#This Row],[Company Name]],"Change (%)",TRUE)</f>
        <v>1.7313000000000002E-2</v>
      </c>
      <c r="N18" s="19" cm="1">
        <f t="array" aca="1" ref="N18" ca="1">_FV(RTData[[#This Row],[Company Name]],"52 week low",TRUE)</f>
        <v>26.25</v>
      </c>
      <c r="O18" s="19" cm="1">
        <f t="array" aca="1" ref="O18" ca="1">_FV(RTData[[#This Row],[Company Name]],"52 week high",TRUE)</f>
        <v>41.17</v>
      </c>
      <c r="P18" s="23" cm="1">
        <f t="array" aca="1" ref="P18" ca="1">_FV(RTData[[#This Row],[Company Name]],"Volume")</f>
        <v>1427587</v>
      </c>
      <c r="Q18" s="23" cm="1">
        <f t="array" aca="1" ref="Q18" ca="1">_FV(RTData[[#This Row],[Company Name]],"Volume average",TRUE)</f>
        <v>1461880</v>
      </c>
      <c r="R18" s="19" cm="1">
        <f t="array" aca="1" ref="R18" ca="1">_FV(RTData[[#This Row],[Company Name]],"Beta")</f>
        <v>0.67320000000000002</v>
      </c>
      <c r="T18" t="s">
        <v>20</v>
      </c>
      <c r="U18" t="str" cm="1">
        <f t="array" aca="1" ref="U18" ca="1">_FV(RTData[[#This Row],[Company Name]],"Exchange abbreviation",TRUE)</f>
        <v>XPAR</v>
      </c>
      <c r="V18" s="24">
        <f ca="1">IFERROR(RTData[[#This Row],[Volume]]/RTData[[#This Row],[Volume average]],1)</f>
        <v>0.9765418502202643</v>
      </c>
      <c r="W18" s="24"/>
      <c r="X18" s="108">
        <f ca="1">_xlfn.XLOOKUP(RTData[[#This Row],[Ticker symbol]],[2]Sheet2!$B$2:$B$95,[2]Sheet2!$E$2:$E$95)</f>
        <v>35.563890000000001</v>
      </c>
      <c r="Y18" s="101">
        <f>_xlfn.LET(_xlpm.date,[2]Sheet2!F15,IF(_xlpm.date=0,"",_xlpm.date))</f>
        <v>45832</v>
      </c>
      <c r="Z18" s="101" t="str">
        <f>_xlfn.LET(_xlpm.date,[2]Sheet2!G15,IF(_xlpm.date=0,"",_xlpm.date))</f>
        <v>Aug 6, 2025</v>
      </c>
      <c r="AA18" s="102">
        <f>[2]Sheet2!$H15</f>
        <v>8.5000000000000006E-3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-0.6802383564107175</v>
      </c>
      <c r="AF18" s="105" t="str">
        <f ca="1">TEXT(RTData[[#This Row],[1YT]],"#,#0.00")&amp;" &lt; "&amp;RTData[[#This Row],[Old1YT]]</f>
        <v>35.56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45946.692164490625</v>
      </c>
      <c r="F19" s="28" cm="1">
        <f t="array" aca="1" ref="F19" ca="1">_FV(RTData[[#This Row],[Company Name]],"Previous close",TRUE)</f>
        <v>126</v>
      </c>
      <c r="G19" s="28" cm="1">
        <f t="array" aca="1" ref="G19" ca="1">_FV(RTData[[#This Row],[Company Name]],"Open")</f>
        <v>125.65</v>
      </c>
      <c r="H19" s="28" cm="1">
        <f t="array" aca="1" ref="H19" ca="1">_FV(RTData[[#This Row],[Company Name]],"Price")</f>
        <v>126.04</v>
      </c>
      <c r="I19" s="28" cm="1">
        <f t="array" aca="1" ref="I19" ca="1">_FV(RTData[[#This Row],[Company Name]],"Low")</f>
        <v>124.82</v>
      </c>
      <c r="J19" s="28" cm="1">
        <f t="array" aca="1" ref="J19" ca="1">_FV(RTData[[#This Row],[Company Name]],"High")</f>
        <v>126.9</v>
      </c>
      <c r="K19" s="20" cm="1">
        <f t="array" aca="1" ref="K19" ca="1">IFERROR(_FV(RTData[[#This Row],[Company Name]],"P/E",TRUE),99)</f>
        <v>12.3847</v>
      </c>
      <c r="L19" s="21" cm="1">
        <f t="array" aca="1" ref="L19" ca="1">_FV(RTData[[#This Row],[Company Name]],"Change")</f>
        <v>0.04</v>
      </c>
      <c r="M19" s="22" cm="1">
        <f t="array" aca="1" ref="M19" ca="1">_FV(RTData[[#This Row],[Company Name]],"Change (%)",TRUE)</f>
        <v>3.1750000000000002E-4</v>
      </c>
      <c r="N19" s="28" cm="1">
        <f t="array" aca="1" ref="N19" ca="1">_FV(RTData[[#This Row],[Company Name]],"52 week low",TRUE)</f>
        <v>122.925</v>
      </c>
      <c r="O19" s="28" cm="1">
        <f t="array" aca="1" ref="O19" ca="1">_FV(RTData[[#This Row],[Company Name]],"52 week high",TRUE)</f>
        <v>179.6</v>
      </c>
      <c r="P19" s="23" cm="1">
        <f t="array" aca="1" ref="P19" ca="1">_FV(RTData[[#This Row],[Company Name]],"Volume")</f>
        <v>183801</v>
      </c>
      <c r="Q19" s="23" cm="1">
        <f t="array" aca="1" ref="Q19" ca="1">_FV(RTData[[#This Row],[Company Name]],"Volume average",TRUE)</f>
        <v>782434</v>
      </c>
      <c r="R19" s="28" cm="1">
        <f t="array" aca="1" ref="R19" ca="1">_FV(RTData[[#This Row],[Company Name]],"Beta")</f>
        <v>1.1437999999999999</v>
      </c>
      <c r="T19" t="s">
        <v>20</v>
      </c>
      <c r="U19" t="str" cm="1">
        <f t="array" aca="1" ref="U19" ca="1">_FV(RTData[[#This Row],[Company Name]],"Exchange abbreviation",TRUE)</f>
        <v>XNYS</v>
      </c>
      <c r="V19" s="24">
        <f ca="1">IFERROR(RTData[[#This Row],[Volume]]/RTData[[#This Row],[Volume average]],1)</f>
        <v>0.23490927030267089</v>
      </c>
      <c r="W19" s="24"/>
      <c r="X19" s="108">
        <f ca="1">_xlfn.XLOOKUP(RTData[[#This Row],[Ticker symbol]],[2]Sheet2!$B$2:$B$95,[2]Sheet2!$E$2:$E$95)</f>
        <v>153.5</v>
      </c>
      <c r="Y19" s="101">
        <f>_xlfn.LET(_xlpm.date,[2]Sheet2!F16,IF(_xlpm.date=0,"",_xlpm.date))</f>
        <v>45803</v>
      </c>
      <c r="Z19" s="101" t="str">
        <f>_xlfn.LET(_xlpm.date,[2]Sheet2!G16,IF(_xlpm.date=0,"",_xlpm.date))</f>
        <v/>
      </c>
      <c r="AA19" s="102">
        <f>[2]Sheet2!$H16</f>
        <v>9.7000000000000003E-3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3.042665262048986</v>
      </c>
      <c r="AF19" s="105" t="str">
        <f ca="1">TEXT(RTData[[#This Row],[1YT]],"#,#0.00")&amp;" &lt; "&amp;RTData[[#This Row],[Old1YT]]</f>
        <v>153.50 &lt; 37.97/38.13/38.23</v>
      </c>
    </row>
    <row r="20" spans="1:32" x14ac:dyDescent="0.3">
      <c r="A20" s="15" t="str" cm="1">
        <f t="array" aca="1" ref="A20" ca="1">_xlfn.SINGLE(RTData[suffix])&amp;_FV(RTData[[#This Row],[Company Name]],"Ticker symbol",TRUE)</f>
        <v>DXC</v>
      </c>
      <c r="B20" s="15">
        <f ca="1">D99</f>
        <v>0.85675119945167921</v>
      </c>
      <c r="C20" t="e" vm="19">
        <v>#VALUE!</v>
      </c>
      <c r="D20" s="17" t="str" cm="1">
        <f t="array" aca="1" ref="D20" ca="1">_FV(RTData[[#This Row],[Company Name]],"Currency")</f>
        <v>USD</v>
      </c>
      <c r="E20" s="18" cm="1">
        <f t="array" aca="1" ref="E20" ca="1">_FV(RTData[[#This Row],[Company Name]],"Last trade time",TRUE)</f>
        <v>45946.692256168753</v>
      </c>
      <c r="F20" s="19" cm="1">
        <f t="array" aca="1" ref="F20" ca="1">_FV(RTData[[#This Row],[Company Name]],"Previous close",TRUE)</f>
        <v>13.1</v>
      </c>
      <c r="G20" s="19" cm="1">
        <f t="array" aca="1" ref="G20" ca="1">_FV(RTData[[#This Row],[Company Name]],"Open")</f>
        <v>13.05</v>
      </c>
      <c r="H20" s="19" cm="1">
        <f t="array" aca="1" ref="H20" ca="1">_FV(RTData[[#This Row],[Company Name]],"Price")</f>
        <v>12.72</v>
      </c>
      <c r="I20" s="19" cm="1">
        <f t="array" aca="1" ref="I20" ca="1">_FV(RTData[[#This Row],[Company Name]],"Low")</f>
        <v>12.63</v>
      </c>
      <c r="J20" s="19" cm="1">
        <f t="array" aca="1" ref="J20" ca="1">_FV(RTData[[#This Row],[Company Name]],"High")</f>
        <v>13.12</v>
      </c>
      <c r="K20" s="20" cm="1">
        <f t="array" aca="1" ref="K20" ca="1">IFERROR(_FV(RTData[[#This Row],[Company Name]],"P/E",TRUE),99)</f>
        <v>6.2108999999999996</v>
      </c>
      <c r="L20" s="21" cm="1">
        <f t="array" aca="1" ref="L20" ca="1">_FV(RTData[[#This Row],[Company Name]],"Change")</f>
        <v>-0.38</v>
      </c>
      <c r="M20" s="22" cm="1">
        <f t="array" aca="1" ref="M20" ca="1">_FV(RTData[[#This Row],[Company Name]],"Change (%)",TRUE)</f>
        <v>-2.9007999999999999E-2</v>
      </c>
      <c r="N20" s="19" cm="1">
        <f t="array" aca="1" ref="N20" ca="1">_FV(RTData[[#This Row],[Company Name]],"52 week low",TRUE)</f>
        <v>12.24</v>
      </c>
      <c r="O20" s="19" cm="1">
        <f t="array" aca="1" ref="O20" ca="1">_FV(RTData[[#This Row],[Company Name]],"52 week high",TRUE)</f>
        <v>24.83</v>
      </c>
      <c r="P20" s="23" cm="1">
        <f t="array" aca="1" ref="P20" ca="1">_FV(RTData[[#This Row],[Company Name]],"Volume")</f>
        <v>1002629</v>
      </c>
      <c r="Q20" s="23" cm="1">
        <f t="array" aca="1" ref="Q20" ca="1">_FV(RTData[[#This Row],[Company Name]],"Volume average",TRUE)</f>
        <v>1861245</v>
      </c>
      <c r="R20" s="19" cm="1">
        <f t="array" aca="1" ref="R20" ca="1">_FV(RTData[[#This Row],[Company Name]],"Beta")</f>
        <v>1.1546000000000001</v>
      </c>
      <c r="T20" t="s">
        <v>20</v>
      </c>
      <c r="U20" t="str" cm="1">
        <f t="array" aca="1" ref="U20" ca="1">_FV(RTData[[#This Row],[Company Name]],"Exchange abbreviation",TRUE)</f>
        <v>XNYS</v>
      </c>
      <c r="V20" s="24">
        <f ca="1">IFERROR(RTData[[#This Row],[Volume]]/RTData[[#This Row],[Volume average]],1)</f>
        <v>0.53868727652727078</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0.85675119945167921</v>
      </c>
      <c r="C21" t="e" vm="20">
        <v>#VALUE!</v>
      </c>
      <c r="D21" s="17" t="str" cm="1">
        <f t="array" aca="1" ref="D21" ca="1">_FV(RTData[[#This Row],[Company Name]],"Currency")</f>
        <v>EUR</v>
      </c>
      <c r="E21" s="18" cm="1">
        <f t="array" aca="1" ref="E21" ca="1">_FV(RTData[[#This Row],[Company Name]],"Last trade time",TRUE)</f>
        <v>45946.673611111109</v>
      </c>
      <c r="F21" s="19" cm="1">
        <f t="array" aca="1" ref="F21" ca="1">_FV(RTData[[#This Row],[Company Name]],"Previous close",TRUE)</f>
        <v>16.2</v>
      </c>
      <c r="G21" s="19" cm="1">
        <f t="array" aca="1" ref="G21" ca="1">_FV(RTData[[#This Row],[Company Name]],"Open")</f>
        <v>16.239999999999998</v>
      </c>
      <c r="H21" s="19" cm="1">
        <f t="array" aca="1" ref="H21" ca="1">_FV(RTData[[#This Row],[Company Name]],"Price")</f>
        <v>16.27</v>
      </c>
      <c r="I21" s="19" cm="1">
        <f t="array" aca="1" ref="I21" ca="1">_FV(RTData[[#This Row],[Company Name]],"Low")</f>
        <v>16.13</v>
      </c>
      <c r="J21" s="19" cm="1">
        <f t="array" aca="1" ref="J21" ca="1">_FV(RTData[[#This Row],[Company Name]],"High")</f>
        <v>16.305</v>
      </c>
      <c r="K21" s="20" cm="1">
        <f t="array" aca="1" ref="K21" ca="1">IFERROR(_FV(RTData[[#This Row],[Company Name]],"P/E",TRUE),99)</f>
        <v>13.446300000000001</v>
      </c>
      <c r="L21" s="21" cm="1">
        <f t="array" aca="1" ref="L21" ca="1">_FV(RTData[[#This Row],[Company Name]],"Change")</f>
        <v>7.0000000000000007E-2</v>
      </c>
      <c r="M21" s="22" cm="1">
        <f t="array" aca="1" ref="M21" ca="1">_FV(RTData[[#This Row],[Company Name]],"Change (%)",TRUE)</f>
        <v>4.3210000000000002E-3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5764</v>
      </c>
      <c r="Q21" s="23" cm="1">
        <f t="array" aca="1" ref="Q21" ca="1">_FV(RTData[[#This Row],[Company Name]],"Volume average",TRUE)</f>
        <v>3019760</v>
      </c>
      <c r="R21" s="19" cm="1">
        <f t="array" aca="1" ref="R21" ca="1">_FV(RTData[[#This Row],[Company Name]],"Beta")</f>
        <v>0.72060000000000002</v>
      </c>
      <c r="T21" t="s">
        <v>20</v>
      </c>
      <c r="U21" t="str" cm="1">
        <f t="array" aca="1" ref="U21" ca="1">_FV(RTData[[#This Row],[Company Name]],"Exchange abbreviation",TRUE)</f>
        <v>XFRA</v>
      </c>
      <c r="V21" s="24">
        <f ca="1">IFERROR(RTData[[#This Row],[Volume]]/RTData[[#This Row],[Volume average]],1)</f>
        <v>1.9087609611359844E-3</v>
      </c>
      <c r="W21" s="24"/>
      <c r="X21" s="108">
        <f ca="1">_xlfn.XLOOKUP(RTData[[#This Row],[Ticker symbol]],[2]Sheet2!$B$2:$B$95,[2]Sheet2!$E$2:$E$95)</f>
        <v>16.88824</v>
      </c>
      <c r="Y21" s="101">
        <f>_xlfn.LET(_xlpm.date,[2]Sheet2!F18,IF(_xlpm.date=0,"",_xlpm.date))</f>
        <v>43914</v>
      </c>
      <c r="Z21" s="101" t="str">
        <f>_xlfn.LET(_xlpm.date,[2]Sheet2!G18,IF(_xlpm.date=0,"",_xlpm.date))</f>
        <v>Jul 31,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-0.14576428932726354</v>
      </c>
      <c r="AF21" s="105" t="str">
        <f ca="1">TEXT(RTData[[#This Row],[1YT]],"#,#0.00")&amp;" &lt; "&amp;RTData[[#This Row],[Old1YT]]</f>
        <v>16.89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0</v>
      </c>
      <c r="Y22" s="101">
        <f>_xlfn.LET(_xlpm.date,[2]Sheet2!F19,IF(_xlpm.date=0,"",_xlpm.date))</f>
        <v>45793</v>
      </c>
      <c r="Z22" s="101" t="str">
        <f>_xlfn.LET(_xlpm.date,[2]Sheet2!G19,IF(_xlpm.date=0,"",_xlpm.date))</f>
        <v/>
      </c>
      <c r="AA22" s="102">
        <f>[2]Sheet2!$H19</f>
        <v>3.6199997999999997E-2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0.85675119945167921</v>
      </c>
      <c r="C23" t="e" vm="22">
        <v>#VALUE!</v>
      </c>
      <c r="D23" s="17" t="str" cm="1">
        <f t="array" aca="1" ref="D23" ca="1">_FV(RTData[[#This Row],[Company Name]],"Currency")</f>
        <v>USD</v>
      </c>
      <c r="E23" s="18" cm="1">
        <f t="array" aca="1" ref="E23" ca="1">_FV(RTData[[#This Row],[Company Name]],"Last trade time",TRUE)</f>
        <v>45946.692254640628</v>
      </c>
      <c r="F23" s="19" cm="1">
        <f t="array" aca="1" ref="F23" ca="1">_FV(RTData[[#This Row],[Company Name]],"Previous close",TRUE)</f>
        <v>57.8</v>
      </c>
      <c r="G23" s="19" cm="1">
        <f t="array" aca="1" ref="G23" ca="1">_FV(RTData[[#This Row],[Company Name]],"Open")</f>
        <v>58</v>
      </c>
      <c r="H23" s="19" cm="1">
        <f t="array" aca="1" ref="H23" ca="1">_FV(RTData[[#This Row],[Company Name]],"Price")</f>
        <v>57.252800000000001</v>
      </c>
      <c r="I23" s="19" cm="1">
        <f t="array" aca="1" ref="I23" ca="1">_FV(RTData[[#This Row],[Company Name]],"Low")</f>
        <v>57.17</v>
      </c>
      <c r="J23" s="19" cm="1">
        <f t="array" aca="1" ref="J23" ca="1">_FV(RTData[[#This Row],[Company Name]],"High")</f>
        <v>58.4</v>
      </c>
      <c r="K23" s="20" cm="1">
        <f t="array" aca="1" ref="K23" ca="1">IFERROR(_FV(RTData[[#This Row],[Company Name]],"P/E",TRUE),99)</f>
        <v>8.2524999999999995</v>
      </c>
      <c r="L23" s="21" cm="1">
        <f t="array" aca="1" ref="L23" ca="1">_FV(RTData[[#This Row],[Company Name]],"Change")</f>
        <v>-0.54720000000000002</v>
      </c>
      <c r="M23" s="22" cm="1">
        <f t="array" aca="1" ref="M23" ca="1">_FV(RTData[[#This Row],[Company Name]],"Change (%)",TRUE)</f>
        <v>-9.4669999999999997E-3</v>
      </c>
      <c r="N23" s="19" cm="1">
        <f t="array" aca="1" ref="N23" ca="1">_FV(RTData[[#This Row],[Company Name]],"52 week low",TRUE)</f>
        <v>41.6</v>
      </c>
      <c r="O23" s="19" cm="1">
        <f t="array" aca="1" ref="O23" ca="1">_FV(RTData[[#This Row],[Company Name]],"52 week high",TRUE)</f>
        <v>62.14</v>
      </c>
      <c r="P23" s="23" cm="1">
        <f t="array" aca="1" ref="P23" ca="1">_FV(RTData[[#This Row],[Company Name]],"Volume")</f>
        <v>2144598</v>
      </c>
      <c r="Q23" s="23" cm="1">
        <f t="array" aca="1" ref="Q23" ca="1">_FV(RTData[[#This Row],[Company Name]],"Volume average",TRUE)</f>
        <v>7992644</v>
      </c>
      <c r="R23" s="19" cm="1">
        <f t="array" aca="1" ref="R23" ca="1">_FV(RTData[[#This Row],[Company Name]],"Beta")</f>
        <v>1.4107000000000001</v>
      </c>
      <c r="T23" t="s">
        <v>20</v>
      </c>
      <c r="U23" t="str" cm="1">
        <f t="array" aca="1" ref="U23" ca="1">_FV(RTData[[#This Row],[Company Name]],"Exchange abbreviation",TRUE)</f>
        <v>XNYS</v>
      </c>
      <c r="V23" s="24">
        <f ca="1">IFERROR(RTData[[#This Row],[Volume]]/RTData[[#This Row],[Volume average]],1)</f>
        <v>0.26832147159312986</v>
      </c>
      <c r="W23" s="24"/>
      <c r="X23" s="108">
        <f ca="1">_xlfn.XLOOKUP(RTData[[#This Row],[Ticker symbol]],[2]Sheet2!$B$2:$B$95,[2]Sheet2!$E$2:$E$95)</f>
        <v>57.2</v>
      </c>
      <c r="Y23" s="101">
        <f>_xlfn.LET(_xlpm.date,[2]Sheet2!F20,IF(_xlpm.date=0,"",_xlpm.date))</f>
        <v>45894</v>
      </c>
      <c r="Z23" s="101" t="str">
        <f>_xlfn.LET(_xlpm.date,[2]Sheet2!G20,IF(_xlpm.date=0,"",_xlpm.date))</f>
        <v>Aug 7,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5.1373390557939915</v>
      </c>
      <c r="AF23" s="105" t="str">
        <f ca="1">TEXT(RTData[[#This Row],[1YT]],"#,#0.00")&amp;" &lt; "&amp;RTData[[#This Row],[Old1YT]]</f>
        <v>57.20 &lt; 9.32</v>
      </c>
    </row>
    <row r="24" spans="1:32" x14ac:dyDescent="0.3">
      <c r="A24" s="15" t="str" cm="1">
        <f t="array" aca="1" ref="A24" ca="1">_xlfn.SINGLE(RTData[suffix])&amp;_FV(RTData[[#This Row],[Company Name]],"Ticker symbol",TRUE)</f>
        <v>HPE</v>
      </c>
      <c r="B24" s="15">
        <f ca="1">D99</f>
        <v>0.85675119945167921</v>
      </c>
      <c r="C24" t="e" vm="23">
        <v>#VALUE!</v>
      </c>
      <c r="D24" s="17" t="str" cm="1">
        <f t="array" aca="1" ref="D24" ca="1">_FV(RTData[[#This Row],[Company Name]],"Currency")</f>
        <v>USD</v>
      </c>
      <c r="E24" s="18" cm="1">
        <f t="array" aca="1" ref="E24" ca="1">_FV(RTData[[#This Row],[Company Name]],"Last trade time",TRUE)</f>
        <v>45946.692271122658</v>
      </c>
      <c r="F24" s="19" cm="1">
        <f t="array" aca="1" ref="F24" ca="1">_FV(RTData[[#This Row],[Company Name]],"Previous close",TRUE)</f>
        <v>25.04</v>
      </c>
      <c r="G24" s="19" cm="1">
        <f t="array" aca="1" ref="G24" ca="1">_FV(RTData[[#This Row],[Company Name]],"Open")</f>
        <v>23.12</v>
      </c>
      <c r="H24" s="19" cm="1">
        <f t="array" aca="1" ref="H24" ca="1">_FV(RTData[[#This Row],[Company Name]],"Price")</f>
        <v>22.265000000000001</v>
      </c>
      <c r="I24" s="19" cm="1">
        <f t="array" aca="1" ref="I24" ca="1">_FV(RTData[[#This Row],[Company Name]],"Low")</f>
        <v>22.11</v>
      </c>
      <c r="J24" s="19" cm="1">
        <f t="array" aca="1" ref="J24" ca="1">_FV(RTData[[#This Row],[Company Name]],"High")</f>
        <v>23.49</v>
      </c>
      <c r="K24" s="20" cm="1">
        <f t="array" aca="1" ref="K24" ca="1">IFERROR(_FV(RTData[[#This Row],[Company Name]],"P/E",TRUE),99)</f>
        <v>26.706199999999999</v>
      </c>
      <c r="L24" s="21" cm="1">
        <f t="array" aca="1" ref="L24" ca="1">_FV(RTData[[#This Row],[Company Name]],"Change")</f>
        <v>-2.7749999999999999</v>
      </c>
      <c r="M24" s="22" cm="1">
        <f t="array" aca="1" ref="M24" ca="1">_FV(RTData[[#This Row],[Company Name]],"Change (%)",TRUE)</f>
        <v>-0.110823</v>
      </c>
      <c r="N24" s="19" cm="1">
        <f t="array" aca="1" ref="N24" ca="1">_FV(RTData[[#This Row],[Company Name]],"52 week low",TRUE)</f>
        <v>11.965</v>
      </c>
      <c r="O24" s="19" cm="1">
        <f t="array" aca="1" ref="O24" ca="1">_FV(RTData[[#This Row],[Company Name]],"52 week high",TRUE)</f>
        <v>26.44</v>
      </c>
      <c r="P24" s="23" cm="1">
        <f t="array" aca="1" ref="P24" ca="1">_FV(RTData[[#This Row],[Company Name]],"Volume")</f>
        <v>42265987</v>
      </c>
      <c r="Q24" s="23" cm="1">
        <f t="array" aca="1" ref="Q24" ca="1">_FV(RTData[[#This Row],[Company Name]],"Volume average",TRUE)</f>
        <v>25805295</v>
      </c>
      <c r="R24" s="19" cm="1">
        <f t="array" aca="1" ref="R24" ca="1">_FV(RTData[[#This Row],[Company Name]],"Beta")</f>
        <v>1.4415</v>
      </c>
      <c r="T24" t="s">
        <v>20</v>
      </c>
      <c r="U24" t="str" cm="1">
        <f t="array" aca="1" ref="U24" ca="1">_FV(RTData[[#This Row],[Company Name]],"Exchange abbreviation",TRUE)</f>
        <v>XNYS</v>
      </c>
      <c r="V24" s="24">
        <f ca="1">IFERROR(RTData[[#This Row],[Volume]]/RTData[[#This Row],[Volume average]],1)</f>
        <v>1.6378804040023569</v>
      </c>
      <c r="W24" s="24"/>
      <c r="X24" s="108">
        <f ca="1">_xlfn.XLOOKUP(RTData[[#This Row],[Ticker symbol]],[2]Sheet2!$B$2:$B$95,[2]Sheet2!$E$2:$E$95)</f>
        <v>24.984120000000001</v>
      </c>
      <c r="Y24" s="101">
        <f>_xlfn.LET(_xlpm.date,[2]Sheet2!F21,IF(_xlpm.date=0,"",_xlpm.date))</f>
        <v>45905</v>
      </c>
      <c r="Z24" s="101" t="str">
        <f>_xlfn.LET(_xlpm.date,[2]Sheet2!G21,IF(_xlpm.date=0,"",_xlpm.date))</f>
        <v>Oct 21, 2025</v>
      </c>
      <c r="AA24" s="102">
        <f>[2]Sheet2!$H21</f>
        <v>1.0299999000000001E-2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-0.55583786666666668</v>
      </c>
      <c r="AF24" s="105" t="str">
        <f ca="1">TEXT(RTData[[#This Row],[1YT]],"#,#0.00")&amp;" &lt; "&amp;RTData[[#This Row],[Old1YT]]</f>
        <v>24.98 &lt; 56.25</v>
      </c>
    </row>
    <row r="25" spans="1:32" x14ac:dyDescent="0.3">
      <c r="A25" s="15" t="str" cm="1">
        <f t="array" aca="1" ref="A25" ca="1">_xlfn.SINGLE(RTData[suffix])&amp;_FV(RTData[[#This Row],[Company Name]],"Ticker symbol",TRUE)</f>
        <v>HPQ</v>
      </c>
      <c r="B25" s="15">
        <f ca="1">D99</f>
        <v>0.85675119945167921</v>
      </c>
      <c r="C25" t="e" vm="24">
        <v>#VALUE!</v>
      </c>
      <c r="D25" s="17" t="str" cm="1">
        <f t="array" aca="1" ref="D25" ca="1">_FV(RTData[[#This Row],[Company Name]],"Currency")</f>
        <v>USD</v>
      </c>
      <c r="E25" s="18" cm="1">
        <f t="array" aca="1" ref="E25" ca="1">_FV(RTData[[#This Row],[Company Name]],"Last trade time",TRUE)</f>
        <v>45946.692285022655</v>
      </c>
      <c r="F25" s="19" cm="1">
        <f t="array" aca="1" ref="F25" ca="1">_FV(RTData[[#This Row],[Company Name]],"Previous close",TRUE)</f>
        <v>28.61</v>
      </c>
      <c r="G25" s="19" cm="1">
        <f t="array" aca="1" ref="G25" ca="1">_FV(RTData[[#This Row],[Company Name]],"Open")</f>
        <v>28.7</v>
      </c>
      <c r="H25" s="19" cm="1">
        <f t="array" aca="1" ref="H25" ca="1">_FV(RTData[[#This Row],[Company Name]],"Price")</f>
        <v>27.51</v>
      </c>
      <c r="I25" s="19" cm="1">
        <f t="array" aca="1" ref="I25" ca="1">_FV(RTData[[#This Row],[Company Name]],"Low")</f>
        <v>27.49</v>
      </c>
      <c r="J25" s="19" cm="1">
        <f t="array" aca="1" ref="J25" ca="1">_FV(RTData[[#This Row],[Company Name]],"High")</f>
        <v>28.73</v>
      </c>
      <c r="K25" s="20" cm="1">
        <f t="array" aca="1" ref="K25" ca="1">IFERROR(_FV(RTData[[#This Row],[Company Name]],"P/E",TRUE),99)</f>
        <v>10.0215</v>
      </c>
      <c r="L25" s="21" cm="1">
        <f t="array" aca="1" ref="L25" ca="1">_FV(RTData[[#This Row],[Company Name]],"Change")</f>
        <v>-1.1000000000000001</v>
      </c>
      <c r="M25" s="22" cm="1">
        <f t="array" aca="1" ref="M25" ca="1">_FV(RTData[[#This Row],[Company Name]],"Change (%)",TRUE)</f>
        <v>-3.8448000000000003E-2</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10490316</v>
      </c>
      <c r="Q25" s="23" cm="1">
        <f t="array" aca="1" ref="Q25" ca="1">_FV(RTData[[#This Row],[Company Name]],"Volume average",TRUE)</f>
        <v>11318802</v>
      </c>
      <c r="R25" s="19" cm="1">
        <f t="array" aca="1" ref="R25" ca="1">_FV(RTData[[#This Row],[Company Name]],"Beta")</f>
        <v>1.2882</v>
      </c>
      <c r="T25" t="s">
        <v>20</v>
      </c>
      <c r="U25" t="str" cm="1">
        <f t="array" aca="1" ref="U25" ca="1">_FV(RTData[[#This Row],[Company Name]],"Exchange abbreviation",TRUE)</f>
        <v>XNYS</v>
      </c>
      <c r="V25" s="24">
        <f ca="1">IFERROR(RTData[[#This Row],[Volume]]/RTData[[#This Row],[Volume average]],1)</f>
        <v>0.92680444449863153</v>
      </c>
      <c r="W25" s="24"/>
      <c r="X25" s="108">
        <f ca="1">_xlfn.XLOOKUP(RTData[[#This Row],[Ticker symbol]],[2]Sheet2!$B$2:$B$95,[2]Sheet2!$E$2:$E$95)</f>
        <v>27.968</v>
      </c>
      <c r="Y25" s="101">
        <f>_xlfn.LET(_xlpm.date,[2]Sheet2!F22,IF(_xlpm.date=0,"",_xlpm.date))</f>
        <v>45918</v>
      </c>
      <c r="Z25" s="101" t="str">
        <f>_xlfn.LET(_xlpm.date,[2]Sheet2!G22,IF(_xlpm.date=0,"",_xlpm.date))</f>
        <v>Dec 4, 2025</v>
      </c>
      <c r="AA25" s="102">
        <f>[2]Sheet2!$H22</f>
        <v>2.2100000000000002E-2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0.30265486725663726</v>
      </c>
      <c r="AF25" s="105" t="str">
        <f ca="1">TEXT(RTData[[#This Row],[1YT]],"#,#0.00")&amp;" &lt; "&amp;RTData[[#This Row],[Old1YT]]</f>
        <v>27.97 &lt; 21.47/20.14</v>
      </c>
    </row>
    <row r="26" spans="1:32" x14ac:dyDescent="0.3">
      <c r="A26" s="15" t="str" cm="1">
        <f t="array" aca="1" ref="A26" ca="1">_xlfn.SINGLE(RTData[suffix])&amp;_FV(RTData[[#This Row],[Company Name]],"Ticker symbol",TRUE)</f>
        <v>IAG</v>
      </c>
      <c r="B26" s="15">
        <f ca="1">D99</f>
        <v>0.85675119945167921</v>
      </c>
      <c r="C26" t="e" vm="25">
        <v>#VALUE!</v>
      </c>
      <c r="D26" s="17" t="str" cm="1">
        <f t="array" aca="1" ref="D26" ca="1">_FV(RTData[[#This Row],[Company Name]],"Currency")</f>
        <v>GBp</v>
      </c>
      <c r="E26" s="18" cm="1">
        <f t="array" aca="1" ref="E26" ca="1">_FV(RTData[[#This Row],[Company Name]],"Last trade time",TRUE)</f>
        <v>45946.630590277775</v>
      </c>
      <c r="F26" s="19" cm="1">
        <f t="array" aca="1" ref="F26" ca="1">_FV(RTData[[#This Row],[Company Name]],"Previous close",TRUE)</f>
        <v>407.5</v>
      </c>
      <c r="G26" s="19" cm="1">
        <f t="array" aca="1" ref="G26" ca="1">_FV(RTData[[#This Row],[Company Name]],"Open")</f>
        <v>409.9</v>
      </c>
      <c r="H26" s="19" cm="1">
        <f t="array" aca="1" ref="H26" ca="1">_FV(RTData[[#This Row],[Company Name]],"Price")</f>
        <v>406.3</v>
      </c>
      <c r="I26" s="19" cm="1">
        <f t="array" aca="1" ref="I26" ca="1">_FV(RTData[[#This Row],[Company Name]],"Low")</f>
        <v>398.9</v>
      </c>
      <c r="J26" s="19" cm="1">
        <f t="array" aca="1" ref="J26" ca="1">_FV(RTData[[#This Row],[Company Name]],"High")</f>
        <v>411.9</v>
      </c>
      <c r="K26" s="20" cm="1">
        <f t="array" aca="1" ref="K26" ca="1">IFERROR(_FV(RTData[[#This Row],[Company Name]],"P/E",TRUE),99)</f>
        <v>7.3193999999999999</v>
      </c>
      <c r="L26" s="21" cm="1">
        <f t="array" aca="1" ref="L26" ca="1">_FV(RTData[[#This Row],[Company Name]],"Change")</f>
        <v>-1.2</v>
      </c>
      <c r="M26" s="22" cm="1">
        <f t="array" aca="1" ref="M26" ca="1">_FV(RTData[[#This Row],[Company Name]],"Change (%)",TRUE)</f>
        <v>-2.9449999999999997E-3</v>
      </c>
      <c r="N26" s="19" cm="1">
        <f t="array" aca="1" ref="N26" ca="1">_FV(RTData[[#This Row],[Company Name]],"52 week low",TRUE)</f>
        <v>195.738</v>
      </c>
      <c r="O26" s="19" cm="1">
        <f t="array" aca="1" ref="O26" ca="1">_FV(RTData[[#This Row],[Company Name]],"52 week high",TRUE)</f>
        <v>416</v>
      </c>
      <c r="P26" s="23" cm="1">
        <f t="array" aca="1" ref="P26" ca="1">_FV(RTData[[#This Row],[Company Name]],"Volume")</f>
        <v>9228028</v>
      </c>
      <c r="Q26" s="23" cm="1">
        <f t="array" aca="1" ref="Q26" ca="1">_FV(RTData[[#This Row],[Company Name]],"Volume average",TRUE)</f>
        <v>13923050</v>
      </c>
      <c r="R26" s="19" cm="1">
        <f t="array" aca="1" ref="R26" ca="1">_FV(RTData[[#This Row],[Company Name]],"Beta")</f>
        <v>2.8873000000000002</v>
      </c>
      <c r="T26" t="s">
        <v>20</v>
      </c>
      <c r="U26" t="str" cm="1">
        <f t="array" aca="1" ref="U26" ca="1">_FV(RTData[[#This Row],[Company Name]],"Exchange abbreviation",TRUE)</f>
        <v>XLON</v>
      </c>
      <c r="V26" s="24">
        <f ca="1">IFERROR(RTData[[#This Row],[Volume]]/RTData[[#This Row],[Volume average]],1)</f>
        <v>0.66278782307037609</v>
      </c>
      <c r="W26" s="24"/>
      <c r="X26" s="108">
        <f ca="1">_xlfn.XLOOKUP(RTData[[#This Row],[Ticker symbol]],[2]Sheet2!$B$2:$B$95,[2]Sheet2!$E$2:$E$95)</f>
        <v>435.83789999999999</v>
      </c>
      <c r="Y26" s="101">
        <f>_xlfn.LET(_xlpm.date,[2]Sheet2!F23,IF(_xlpm.date=0,"",_xlpm.date))</f>
        <v>45910</v>
      </c>
      <c r="Z26" s="101" t="str">
        <f>_xlfn.LET(_xlpm.date,[2]Sheet2!G23,IF(_xlpm.date=0,"",_xlpm.date))</f>
        <v>Nov 25, 2025</v>
      </c>
      <c r="AA26" s="102">
        <f>[2]Sheet2!$H23</f>
        <v>3.95E-2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11.019798676227248</v>
      </c>
      <c r="AF26" s="105" t="str">
        <f ca="1">TEXT(RTData[[#This Row],[1YT]],"#,#0.00")&amp;" &lt; "&amp;RTData[[#This Row],[Old1YT]]</f>
        <v>435.84 &lt; 36.26</v>
      </c>
    </row>
    <row r="27" spans="1:32" x14ac:dyDescent="0.3">
      <c r="A27" s="15" t="str" cm="1">
        <f t="array" aca="1" ref="A27" ca="1">_xlfn.SINGLE(RTData[suffix])&amp;_FV(RTData[[#This Row],[Company Name]],"Ticker symbol",TRUE)</f>
        <v>KR</v>
      </c>
      <c r="B27" s="15">
        <f ca="1">D101/100</f>
        <v>1.1495574203931486E-2</v>
      </c>
      <c r="C27" t="e" vm="26">
        <v>#VALUE!</v>
      </c>
      <c r="D27" s="17" t="str" cm="1">
        <f t="array" aca="1" ref="D27" ca="1">_FV(RTData[[#This Row],[Company Name]],"Currency")</f>
        <v>USD</v>
      </c>
      <c r="E27" s="18" cm="1">
        <f t="array" aca="1" ref="E27" ca="1">_FV(RTData[[#This Row],[Company Name]],"Last trade time",TRUE)</f>
        <v>45946.69226740703</v>
      </c>
      <c r="F27" s="26" cm="1">
        <f t="array" aca="1" ref="F27" ca="1">_FV(RTData[[#This Row],[Company Name]],"Previous close",TRUE)</f>
        <v>69.099999999999994</v>
      </c>
      <c r="G27" s="26" cm="1">
        <f t="array" aca="1" ref="G27" ca="1">_FV(RTData[[#This Row],[Company Name]],"Open")</f>
        <v>68.995000000000005</v>
      </c>
      <c r="H27" s="26" cm="1">
        <f t="array" aca="1" ref="H27" ca="1">_FV(RTData[[#This Row],[Company Name]],"Price")</f>
        <v>68.930000000000007</v>
      </c>
      <c r="I27" s="26" cm="1">
        <f t="array" aca="1" ref="I27" ca="1">_FV(RTData[[#This Row],[Company Name]],"Low")</f>
        <v>68.885000000000005</v>
      </c>
      <c r="J27" s="26" cm="1">
        <f t="array" aca="1" ref="J27" ca="1">_FV(RTData[[#This Row],[Company Name]],"High")</f>
        <v>69.81</v>
      </c>
      <c r="K27" s="20" cm="1">
        <f t="array" aca="1" ref="K27" ca="1">IFERROR(_FV(RTData[[#This Row],[Company Name]],"P/E",TRUE),99)</f>
        <v>17.463000000000001</v>
      </c>
      <c r="L27" s="21" cm="1">
        <f t="array" aca="1" ref="L27" ca="1">_FV(RTData[[#This Row],[Company Name]],"Change")</f>
        <v>-0.17</v>
      </c>
      <c r="M27" s="22" cm="1">
        <f t="array" aca="1" ref="M27" ca="1">_FV(RTData[[#This Row],[Company Name]],"Change (%)",TRUE)</f>
        <v>-2.4599999999999999E-3</v>
      </c>
      <c r="N27" s="26" cm="1">
        <f t="array" aca="1" ref="N27" ca="1">_FV(RTData[[#This Row],[Company Name]],"52 week low",TRUE)</f>
        <v>55.6</v>
      </c>
      <c r="O27" s="26" cm="1">
        <f t="array" aca="1" ref="O27" ca="1">_FV(RTData[[#This Row],[Company Name]],"52 week high",TRUE)</f>
        <v>74.900000000000006</v>
      </c>
      <c r="P27" s="23" cm="1">
        <f t="array" aca="1" ref="P27" ca="1">_FV(RTData[[#This Row],[Company Name]],"Volume")</f>
        <v>1717635</v>
      </c>
      <c r="Q27" s="23" cm="1">
        <f t="array" aca="1" ref="Q27" ca="1">_FV(RTData[[#This Row],[Company Name]],"Volume average",TRUE)</f>
        <v>7836690</v>
      </c>
      <c r="R27" s="19" cm="1">
        <f t="array" aca="1" ref="R27" ca="1">_FV(RTData[[#This Row],[Company Name]],"Beta")</f>
        <v>0.55020000000000002</v>
      </c>
      <c r="T27" t="s">
        <v>20</v>
      </c>
      <c r="U27" t="str" cm="1">
        <f t="array" aca="1" ref="U27" ca="1">_FV(RTData[[#This Row],[Company Name]],"Exchange abbreviation",TRUE)</f>
        <v>XNYS</v>
      </c>
      <c r="V27" s="24">
        <f ca="1">IFERROR(RTData[[#This Row],[Volume]]/RTData[[#This Row],[Volume average]],1)</f>
        <v>0.21917863281564029</v>
      </c>
      <c r="W27" s="24"/>
      <c r="X27" s="108">
        <f ca="1">_xlfn.XLOOKUP(RTData[[#This Row],[Ticker symbol]],[2]Sheet2!$B$2:$B$95,[2]Sheet2!$E$2:$E$95)</f>
        <v>75.727270000000004</v>
      </c>
      <c r="Y27" s="101">
        <f>_xlfn.LET(_xlpm.date,[2]Sheet2!F24,IF(_xlpm.date=0,"",_xlpm.date))</f>
        <v>45834</v>
      </c>
      <c r="Z27" s="101" t="str">
        <f>_xlfn.LET(_xlpm.date,[2]Sheet2!G24,IF(_xlpm.date=0,"",_xlpm.date))</f>
        <v/>
      </c>
      <c r="AA27" s="102">
        <f>[2]Sheet2!$H24</f>
        <v>1.9599999999999999E-2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-0.80735876367336568</v>
      </c>
      <c r="AF27" s="105" t="str">
        <f ca="1">TEXT(RTData[[#This Row],[1YT]],"#,#0.00")&amp;" &lt; "&amp;RTData[[#This Row],[Old1YT]]</f>
        <v>75.73 &lt; 393.1</v>
      </c>
    </row>
    <row r="28" spans="1:32" x14ac:dyDescent="0.3">
      <c r="A28" s="15" t="str" cm="1">
        <f t="array" aca="1" ref="A28" ca="1">_xlfn.SINGLE(RTData[suffix])&amp;_FV(RTData[[#This Row],[Company Name]],"Ticker symbol",TRUE)</f>
        <v>LNSR</v>
      </c>
      <c r="B28" s="15">
        <f ca="1">D99</f>
        <v>0.85675119945167921</v>
      </c>
      <c r="C28" t="e" vm="27">
        <v>#VALUE!</v>
      </c>
      <c r="D28" s="17" t="str" cm="1">
        <f t="array" aca="1" ref="D28" ca="1">_FV(RTData[[#This Row],[Company Name]],"Currency")</f>
        <v>USD</v>
      </c>
      <c r="E28" s="18" cm="1">
        <f t="array" aca="1" ref="E28" ca="1">_FV(RTData[[#This Row],[Company Name]],"Last trade time",TRUE)</f>
        <v>45946.692012187501</v>
      </c>
      <c r="F28" s="19" cm="1">
        <f t="array" aca="1" ref="F28" ca="1">_FV(RTData[[#This Row],[Company Name]],"Previous close",TRUE)</f>
        <v>11.61</v>
      </c>
      <c r="G28" s="19" cm="1">
        <f t="array" aca="1" ref="G28" ca="1">_FV(RTData[[#This Row],[Company Name]],"Open")</f>
        <v>11.61</v>
      </c>
      <c r="H28" s="19" cm="1">
        <f t="array" aca="1" ref="H28" ca="1">_FV(RTData[[#This Row],[Company Name]],"Price")</f>
        <v>11.68</v>
      </c>
      <c r="I28" s="19" cm="1">
        <f t="array" aca="1" ref="I28" ca="1">_FV(RTData[[#This Row],[Company Name]],"Low")</f>
        <v>11.61</v>
      </c>
      <c r="J28" s="19" cm="1">
        <f t="array" aca="1" ref="J28" ca="1">_FV(RTData[[#This Row],[Company Name]],"High")</f>
        <v>11.85</v>
      </c>
      <c r="K28" s="20" cm="1">
        <f t="array" aca="1" ref="K28" ca="1">IFERROR(_FV(RTData[[#This Row],[Company Name]],"P/E",TRUE),99)</f>
        <v>0</v>
      </c>
      <c r="L28" s="21" cm="1">
        <f t="array" aca="1" ref="L28" ca="1">_FV(RTData[[#This Row],[Company Name]],"Change")</f>
        <v>7.0000000000000007E-2</v>
      </c>
      <c r="M28" s="22" cm="1">
        <f t="array" aca="1" ref="M28" ca="1">_FV(RTData[[#This Row],[Company Name]],"Change (%)",TRUE)</f>
        <v>6.0289999999999996E-3</v>
      </c>
      <c r="N28" s="19" cm="1">
        <f t="array" aca="1" ref="N28" ca="1">_FV(RTData[[#This Row],[Company Name]],"52 week low",TRUE)</f>
        <v>5.25</v>
      </c>
      <c r="O28" s="19" cm="1">
        <f t="array" aca="1" ref="O28" ca="1">_FV(RTData[[#This Row],[Company Name]],"52 week high",TRUE)</f>
        <v>17.309999999999999</v>
      </c>
      <c r="P28" s="23" cm="1">
        <f t="array" aca="1" ref="P28" ca="1">_FV(RTData[[#This Row],[Company Name]],"Volume")</f>
        <v>8372</v>
      </c>
      <c r="Q28" s="23" cm="1">
        <f t="array" aca="1" ref="Q28" ca="1">_FV(RTData[[#This Row],[Company Name]],"Volume average",TRUE)</f>
        <v>51005</v>
      </c>
      <c r="R28" s="19" cm="1">
        <f t="array" aca="1" ref="R28" ca="1">_FV(RTData[[#This Row],[Company Name]],"Beta")</f>
        <v>0.501</v>
      </c>
      <c r="T28" t="s">
        <v>20</v>
      </c>
      <c r="U28" t="str" cm="1">
        <f t="array" aca="1" ref="U28" ca="1">_FV(RTData[[#This Row],[Company Name]],"Exchange abbreviation",TRUE)</f>
        <v>XNAS</v>
      </c>
      <c r="V28" s="24">
        <f ca="1">IFERROR(RTData[[#This Row],[Volume]]/RTData[[#This Row],[Volume average]],1)</f>
        <v>0.16414077051269482</v>
      </c>
      <c r="W28" s="24"/>
      <c r="X28" s="108">
        <f ca="1">_xlfn.XLOOKUP(RTData[[#This Row],[Ticker symbol]],[2]Sheet2!$B$2:$B$95,[2]Sheet2!$E$2:$E$95)</f>
        <v>15</v>
      </c>
      <c r="Y28" s="101">
        <f>_xlfn.LET(_xlpm.date,[2]Sheet2!F25,IF(_xlpm.date=0,"",_xlpm.date))</f>
        <v>45884</v>
      </c>
      <c r="Z28" s="101" t="str">
        <f>_xlfn.LET(_xlpm.date,[2]Sheet2!G25,IF(_xlpm.date=0,"",_xlpm.date))</f>
        <v>Sep 10, 2025 - Sep 15,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0.85675119945167921</v>
      </c>
      <c r="C29" t="e" vm="28">
        <v>#VALUE!</v>
      </c>
      <c r="D29" s="17" t="str" cm="1">
        <f t="array" aca="1" ref="D29" ca="1">_FV(RTData[[#This Row],[Company Name]],"Currency")</f>
        <v>USD</v>
      </c>
      <c r="E29" s="18" cm="1">
        <f t="array" aca="1" ref="E29" ca="1">_FV(RTData[[#This Row],[Company Name]],"Last trade time",TRUE)</f>
        <v>45946.692229617969</v>
      </c>
      <c r="F29" s="19" cm="1">
        <f t="array" aca="1" ref="F29" ca="1">_FV(RTData[[#This Row],[Company Name]],"Previous close",TRUE)</f>
        <v>7.27</v>
      </c>
      <c r="G29" s="19" cm="1">
        <f t="array" aca="1" ref="G29" ca="1">_FV(RTData[[#This Row],[Company Name]],"Open")</f>
        <v>7.31</v>
      </c>
      <c r="H29" s="19" cm="1">
        <f t="array" aca="1" ref="H29" ca="1">_FV(RTData[[#This Row],[Company Name]],"Price")</f>
        <v>7.0949999999999998</v>
      </c>
      <c r="I29" s="19" cm="1">
        <f t="array" aca="1" ref="I29" ca="1">_FV(RTData[[#This Row],[Company Name]],"Low")</f>
        <v>7.0742000000000003</v>
      </c>
      <c r="J29" s="19" cm="1">
        <f t="array" aca="1" ref="J29" ca="1">_FV(RTData[[#This Row],[Company Name]],"High")</f>
        <v>7.4550000000000001</v>
      </c>
      <c r="K29" s="20" cm="1">
        <f t="array" aca="1" ref="K29" ca="1">IFERROR(_FV(RTData[[#This Row],[Company Name]],"P/E",TRUE),99)</f>
        <v>0</v>
      </c>
      <c r="L29" s="21" cm="1">
        <f t="array" aca="1" ref="L29" ca="1">_FV(RTData[[#This Row],[Company Name]],"Change")</f>
        <v>-0.17499999999999999</v>
      </c>
      <c r="M29" s="22" cm="1">
        <f t="array" aca="1" ref="M29" ca="1">_FV(RTData[[#This Row],[Company Name]],"Change (%)",TRUE)</f>
        <v>-2.4072E-2</v>
      </c>
      <c r="N29" s="19" cm="1">
        <f t="array" aca="1" ref="N29" ca="1">_FV(RTData[[#This Row],[Company Name]],"52 week low",TRUE)</f>
        <v>3.01</v>
      </c>
      <c r="O29" s="19" cm="1">
        <f t="array" aca="1" ref="O29" ca="1">_FV(RTData[[#This Row],[Company Name]],"52 week high",TRUE)</f>
        <v>10.33</v>
      </c>
      <c r="P29" s="23" cm="1">
        <f t="array" aca="1" ref="P29" ca="1">_FV(RTData[[#This Row],[Company Name]],"Volume")</f>
        <v>4080614</v>
      </c>
      <c r="Q29" s="23" cm="1">
        <f t="array" aca="1" ref="Q29" ca="1">_FV(RTData[[#This Row],[Company Name]],"Volume average",TRUE)</f>
        <v>17045008</v>
      </c>
      <c r="R29" s="19" cm="1">
        <f t="array" aca="1" ref="R29" ca="1">_FV(RTData[[#This Row],[Company Name]],"Beta")</f>
        <v>1.3767</v>
      </c>
      <c r="T29" t="s">
        <v>20</v>
      </c>
      <c r="U29" t="str" cm="1">
        <f t="array" aca="1" ref="U29" ca="1">_FV(RTData[[#This Row],[Company Name]],"Exchange abbreviation",TRUE)</f>
        <v>XNYS</v>
      </c>
      <c r="V29" s="24">
        <f ca="1">IFERROR(RTData[[#This Row],[Volume]]/RTData[[#This Row],[Volume average]],1)</f>
        <v>0.23940229303500474</v>
      </c>
      <c r="W29" s="24"/>
      <c r="X29" s="108">
        <f ca="1">_xlfn.XLOOKUP(RTData[[#This Row],[Ticker symbol]],[2]Sheet2!$B$2:$B$95,[2]Sheet2!$E$2:$E$95)</f>
        <v>5.06182</v>
      </c>
      <c r="Y29" s="101" t="str">
        <f>_xlfn.LET(_xlpm.date,[2]Sheet2!F26,IF(_xlpm.date=0,"",_xlpm.date))</f>
        <v/>
      </c>
      <c r="Z29" s="101" t="str">
        <f>_xlfn.LET(_xlpm.date,[2]Sheet2!G26,IF(_xlpm.date=0,"",_xlpm.date))</f>
        <v>Nov 6, 2025</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-0.67343096774193545</v>
      </c>
      <c r="AF29" s="105" t="str">
        <f ca="1">TEXT(RTData[[#This Row],[1YT]],"#,#0.00")&amp;" &lt; "&amp;RTData[[#This Row],[Old1YT]]</f>
        <v>5.06 &lt; 15.5</v>
      </c>
    </row>
    <row r="30" spans="1:32" x14ac:dyDescent="0.3">
      <c r="A30" s="15" t="str" cm="1">
        <f t="array" aca="1" ref="A30" ca="1">_xlfn.SINGLE(RTData[suffix])&amp;_FV(RTData[[#This Row],[Company Name]],"Ticker symbol",TRUE)</f>
        <v>MRNA</v>
      </c>
      <c r="B30" s="15">
        <f ca="1">D99</f>
        <v>0.85675119945167921</v>
      </c>
      <c r="C30" t="e" vm="29">
        <v>#VALUE!</v>
      </c>
      <c r="D30" s="17" t="str" cm="1">
        <f t="array" aca="1" ref="D30" ca="1">_FV(RTData[[#This Row],[Company Name]],"Currency")</f>
        <v>USD</v>
      </c>
      <c r="E30" s="18" cm="1">
        <f t="array" aca="1" ref="E30" ca="1">_FV(RTData[[#This Row],[Company Name]],"Last trade time",TRUE)</f>
        <v>45946.692222325779</v>
      </c>
      <c r="F30" s="19" cm="1">
        <f t="array" aca="1" ref="F30" ca="1">_FV(RTData[[#This Row],[Company Name]],"Previous close",TRUE)</f>
        <v>27.72</v>
      </c>
      <c r="G30" s="19" cm="1">
        <f t="array" aca="1" ref="G30" ca="1">_FV(RTData[[#This Row],[Company Name]],"Open")</f>
        <v>27.94</v>
      </c>
      <c r="H30" s="19" cm="1">
        <f t="array" aca="1" ref="H30" ca="1">_FV(RTData[[#This Row],[Company Name]],"Price")</f>
        <v>27.855</v>
      </c>
      <c r="I30" s="19" cm="1">
        <f t="array" aca="1" ref="I30" ca="1">_FV(RTData[[#This Row],[Company Name]],"Low")</f>
        <v>27.4</v>
      </c>
      <c r="J30" s="19" cm="1">
        <f t="array" aca="1" ref="J30" ca="1">_FV(RTData[[#This Row],[Company Name]],"High")</f>
        <v>28.48</v>
      </c>
      <c r="K30" s="20" cm="1">
        <f t="array" aca="1" ref="K30" ca="1">IFERROR(_FV(RTData[[#This Row],[Company Name]],"P/E",TRUE),99)</f>
        <v>0</v>
      </c>
      <c r="L30" s="21" cm="1">
        <f t="array" aca="1" ref="L30" ca="1">_FV(RTData[[#This Row],[Company Name]],"Change")</f>
        <v>0.13500000000000001</v>
      </c>
      <c r="M30" s="22" cm="1">
        <f t="array" aca="1" ref="M30" ca="1">_FV(RTData[[#This Row],[Company Name]],"Change (%)",TRUE)</f>
        <v>4.8700000000000002E-3</v>
      </c>
      <c r="N30" s="19" cm="1">
        <f t="array" aca="1" ref="N30" ca="1">_FV(RTData[[#This Row],[Company Name]],"52 week low",TRUE)</f>
        <v>23.15</v>
      </c>
      <c r="O30" s="19" cm="1">
        <f t="array" aca="1" ref="O30" ca="1">_FV(RTData[[#This Row],[Company Name]],"52 week high",TRUE)</f>
        <v>58.45</v>
      </c>
      <c r="P30" s="23" cm="1">
        <f t="array" aca="1" ref="P30" ca="1">_FV(RTData[[#This Row],[Company Name]],"Volume")</f>
        <v>3765208</v>
      </c>
      <c r="Q30" s="23" cm="1">
        <f t="array" aca="1" ref="Q30" ca="1">_FV(RTData[[#This Row],[Company Name]],"Volume average",TRUE)</f>
        <v>11519986</v>
      </c>
      <c r="R30" s="19" cm="1">
        <f t="array" aca="1" ref="R30" ca="1">_FV(RTData[[#This Row],[Company Name]],"Beta")</f>
        <v>2.0034000000000001</v>
      </c>
      <c r="T30" t="s">
        <v>20</v>
      </c>
      <c r="U30" t="str" cm="1">
        <f t="array" aca="1" ref="U30" ca="1">_FV(RTData[[#This Row],[Company Name]],"Exchange abbreviation",TRUE)</f>
        <v>XNAS</v>
      </c>
      <c r="V30" s="24">
        <f ca="1">IFERROR(RTData[[#This Row],[Volume]]/RTData[[#This Row],[Volume average]],1)</f>
        <v>0.32684136942527536</v>
      </c>
      <c r="W30" s="24"/>
      <c r="X30" s="108">
        <f ca="1">_xlfn.XLOOKUP(RTData[[#This Row],[Ticker symbol]],[2]Sheet2!$B$2:$B$95,[2]Sheet2!$E$2:$E$95)</f>
        <v>44.25</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8.5779220779220786</v>
      </c>
      <c r="AF30" s="105" t="str">
        <f ca="1">TEXT(RTData[[#This Row],[1YT]],"#,#0.00")&amp;" &lt; "&amp;RTData[[#This Row],[Old1YT]]</f>
        <v>44.25 &lt; 4.62</v>
      </c>
    </row>
    <row r="31" spans="1:32" x14ac:dyDescent="0.3">
      <c r="A31" s="15" t="str" cm="1">
        <f t="array" aca="1" ref="A31" ca="1">_xlfn.SINGLE(RTData[suffix])&amp;_FV(RTData[[#This Row],[Company Name]],"Ticker symbol",TRUE)</f>
        <v>MSFT</v>
      </c>
      <c r="B31" s="15">
        <f ca="1">D99</f>
        <v>0.85675119945167921</v>
      </c>
      <c r="C31" t="e" vm="30">
        <v>#VALUE!</v>
      </c>
      <c r="D31" s="17" t="str" cm="1">
        <f t="array" aca="1" ref="D31" ca="1">_FV(RTData[[#This Row],[Company Name]],"Currency")</f>
        <v>USD</v>
      </c>
      <c r="E31" s="18" cm="1">
        <f t="array" aca="1" ref="E31" ca="1">_FV(RTData[[#This Row],[Company Name]],"Last trade time",TRUE)</f>
        <v>45946.692293321095</v>
      </c>
      <c r="F31" s="19" cm="1">
        <f t="array" aca="1" ref="F31" ca="1">_FV(RTData[[#This Row],[Company Name]],"Previous close",TRUE)</f>
        <v>513.42999999999995</v>
      </c>
      <c r="G31" s="19" cm="1">
        <f t="array" aca="1" ref="G31" ca="1">_FV(RTData[[#This Row],[Company Name]],"Open")</f>
        <v>512.72</v>
      </c>
      <c r="H31" s="19" cm="1">
        <f t="array" aca="1" ref="H31" ca="1">_FV(RTData[[#This Row],[Company Name]],"Price")</f>
        <v>511.07839999999999</v>
      </c>
      <c r="I31" s="19" cm="1">
        <f t="array" aca="1" ref="I31" ca="1">_FV(RTData[[#This Row],[Company Name]],"Low")</f>
        <v>510.3897</v>
      </c>
      <c r="J31" s="19" cm="1">
        <f t="array" aca="1" ref="J31" ca="1">_FV(RTData[[#This Row],[Company Name]],"High")</f>
        <v>516.85</v>
      </c>
      <c r="K31" s="20" cm="1">
        <f t="array" aca="1" ref="K31" ca="1">IFERROR(_FV(RTData[[#This Row],[Company Name]],"P/E",TRUE),99)</f>
        <v>37.466099999999997</v>
      </c>
      <c r="L31" s="21" cm="1">
        <f t="array" aca="1" ref="L31" ca="1">_FV(RTData[[#This Row],[Company Name]],"Change")</f>
        <v>-2.3515999999999999</v>
      </c>
      <c r="M31" s="22" cm="1">
        <f t="array" aca="1" ref="M31" ca="1">_FV(RTData[[#This Row],[Company Name]],"Change (%)",TRUE)</f>
        <v>-4.5799999999999999E-3</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5106406</v>
      </c>
      <c r="Q31" s="23" cm="1">
        <f t="array" aca="1" ref="Q31" ca="1">_FV(RTData[[#This Row],[Company Name]],"Volume average",TRUE)</f>
        <v>19349208</v>
      </c>
      <c r="R31" s="19" cm="1">
        <f t="array" aca="1" ref="R31" ca="1">_FV(RTData[[#This Row],[Company Name]],"Beta")</f>
        <v>1.0206</v>
      </c>
      <c r="T31" t="s">
        <v>20</v>
      </c>
      <c r="U31" t="str" cm="1">
        <f t="array" aca="1" ref="U31" ca="1">_FV(RTData[[#This Row],[Company Name]],"Exchange abbreviation",TRUE)</f>
        <v>XNAS</v>
      </c>
      <c r="V31" s="24">
        <f ca="1">IFERROR(RTData[[#This Row],[Volume]]/RTData[[#This Row],[Volume average]],1)</f>
        <v>0.2639077527100851</v>
      </c>
      <c r="W31" s="24"/>
      <c r="X31" s="108">
        <f ca="1">_xlfn.XLOOKUP(RTData[[#This Row],[Ticker symbol]],[2]Sheet2!$B$2:$B$95,[2]Sheet2!$E$2:$E$95)</f>
        <v>613.89160000000004</v>
      </c>
      <c r="Y31" s="101" t="str">
        <f>_xlfn.LET(_xlpm.date,[2]Sheet2!F28,IF(_xlpm.date=0,"",_xlpm.date))</f>
        <v/>
      </c>
      <c r="Z31" s="101" t="str">
        <f>_xlfn.LET(_xlpm.date,[2]Sheet2!G28,IF(_xlpm.date=0,"",_xlpm.date))</f>
        <v>Aug 1,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5.1493699288790946</v>
      </c>
      <c r="AF31" s="105" t="str">
        <f ca="1">TEXT(RTData[[#This Row],[1YT]],"#,#0.00")&amp;" &lt; "&amp;RTData[[#This Row],[Old1YT]]</f>
        <v>613.89 &lt; 99.83</v>
      </c>
    </row>
    <row r="32" spans="1:32" x14ac:dyDescent="0.3">
      <c r="A32" s="15" t="str" cm="1">
        <f t="array" aca="1" ref="A32" ca="1">_xlfn.SINGLE(RTData[suffix])&amp;_FV(RTData[[#This Row],[Company Name]],"Ticker symbol",TRUE)</f>
        <v>NEE</v>
      </c>
      <c r="B32" s="15">
        <f ca="1">D99</f>
        <v>0.85675119945167921</v>
      </c>
      <c r="C32" t="e" vm="31">
        <v>#VALUE!</v>
      </c>
      <c r="D32" s="17" t="str" cm="1">
        <f t="array" aca="1" ref="D32" ca="1">_FV(RTData[[#This Row],[Company Name]],"Currency")</f>
        <v>USD</v>
      </c>
      <c r="E32" s="18" cm="1">
        <f t="array" aca="1" ref="E32" ca="1">_FV(RTData[[#This Row],[Company Name]],"Last trade time",TRUE)</f>
        <v>45946.692257314062</v>
      </c>
      <c r="F32" s="19" cm="1">
        <f t="array" aca="1" ref="F32" ca="1">_FV(RTData[[#This Row],[Company Name]],"Previous close",TRUE)</f>
        <v>85.79</v>
      </c>
      <c r="G32" s="19" cm="1">
        <f t="array" aca="1" ref="G32" ca="1">_FV(RTData[[#This Row],[Company Name]],"Open")</f>
        <v>86.21</v>
      </c>
      <c r="H32" s="19" cm="1">
        <f t="array" aca="1" ref="H32" ca="1">_FV(RTData[[#This Row],[Company Name]],"Price")</f>
        <v>85.436800000000005</v>
      </c>
      <c r="I32" s="19" cm="1">
        <f t="array" aca="1" ref="I32" ca="1">_FV(RTData[[#This Row],[Company Name]],"Low")</f>
        <v>85.42</v>
      </c>
      <c r="J32" s="19" cm="1">
        <f t="array" aca="1" ref="J32" ca="1">_FV(RTData[[#This Row],[Company Name]],"High")</f>
        <v>86.74</v>
      </c>
      <c r="K32" s="20" cm="1">
        <f t="array" aca="1" ref="K32" ca="1">IFERROR(_FV(RTData[[#This Row],[Company Name]],"P/E",TRUE),99)</f>
        <v>31.953299999999999</v>
      </c>
      <c r="L32" s="21" cm="1">
        <f t="array" aca="1" ref="L32" ca="1">_FV(RTData[[#This Row],[Company Name]],"Change")</f>
        <v>-0.35320000000000001</v>
      </c>
      <c r="M32" s="22" cm="1">
        <f t="array" aca="1" ref="M32" ca="1">_FV(RTData[[#This Row],[Company Name]],"Change (%)",TRUE)</f>
        <v>-4.117E-3</v>
      </c>
      <c r="N32" s="19" cm="1">
        <f t="array" aca="1" ref="N32" ca="1">_FV(RTData[[#This Row],[Company Name]],"52 week low",TRUE)</f>
        <v>61.72</v>
      </c>
      <c r="O32" s="19" cm="1">
        <f t="array" aca="1" ref="O32" ca="1">_FV(RTData[[#This Row],[Company Name]],"52 week high",TRUE)</f>
        <v>86.74</v>
      </c>
      <c r="P32" s="23" cm="1">
        <f t="array" aca="1" ref="P32" ca="1">_FV(RTData[[#This Row],[Company Name]],"Volume")</f>
        <v>3472398</v>
      </c>
      <c r="Q32" s="23" cm="1">
        <f t="array" aca="1" ref="Q32" ca="1">_FV(RTData[[#This Row],[Company Name]],"Volume average",TRUE)</f>
        <v>10621592</v>
      </c>
      <c r="R32" s="19" cm="1">
        <f t="array" aca="1" ref="R32" ca="1">_FV(RTData[[#This Row],[Company Name]],"Beta")</f>
        <v>0.66010000000000002</v>
      </c>
      <c r="T32" t="s">
        <v>20</v>
      </c>
      <c r="U32" t="str" cm="1">
        <f t="array" aca="1" ref="U32" ca="1">_FV(RTData[[#This Row],[Company Name]],"Exchange abbreviation",TRUE)</f>
        <v>XNYS</v>
      </c>
      <c r="V32" s="24">
        <f ca="1">IFERROR(RTData[[#This Row],[Volume]]/RTData[[#This Row],[Volume average]],1)</f>
        <v>0.32691878957504678</v>
      </c>
      <c r="W32" s="24"/>
      <c r="X32" s="108">
        <f ca="1">_xlfn.XLOOKUP(RTData[[#This Row],[Ticker symbol]],[2]Sheet2!$B$2:$B$95,[2]Sheet2!$E$2:$E$95)</f>
        <v>82.294120000000007</v>
      </c>
      <c r="Y32" s="101">
        <f>_xlfn.LET(_xlpm.date,[2]Sheet2!F29,IF(_xlpm.date=0,"",_xlpm.date))</f>
        <v>45890</v>
      </c>
      <c r="Z32" s="101" t="str">
        <f>_xlfn.LET(_xlpm.date,[2]Sheet2!G29,IF(_xlpm.date=0,"",_xlpm.date))</f>
        <v>Oct 29, 2025</v>
      </c>
      <c r="AA32" s="102">
        <f>[2]Sheet2!$H29</f>
        <v>6.7000002999999999E-3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-0.83734411195003355</v>
      </c>
      <c r="AF32" s="105" t="str">
        <f ca="1">TEXT(RTData[[#This Row],[1YT]],"#,#0.00")&amp;" &lt; "&amp;RTData[[#This Row],[Old1YT]]</f>
        <v>82.29 &lt; 505.94</v>
      </c>
    </row>
    <row r="33" spans="1:33" x14ac:dyDescent="0.3">
      <c r="A33" s="15" t="str" cm="1">
        <f t="array" aca="1" ref="A33" ca="1">_xlfn.SINGLE(RTData[suffix])&amp;_FV(RTData[[#This Row],[Company Name]],"Ticker symbol",TRUE)</f>
        <v>NEM</v>
      </c>
      <c r="B33" s="15">
        <f ca="1">D99</f>
        <v>0.85675119945167921</v>
      </c>
      <c r="C33" t="e" vm="32">
        <v>#VALUE!</v>
      </c>
      <c r="D33" s="17" t="str" cm="1">
        <f t="array" aca="1" ref="D33" ca="1">_FV(RTData[[#This Row],[Company Name]],"Currency")</f>
        <v>USD</v>
      </c>
      <c r="E33" s="18" cm="1">
        <f t="array" aca="1" ref="E33" ca="1">_FV(RTData[[#This Row],[Company Name]],"Last trade time",TRUE)</f>
        <v>45946.692296596877</v>
      </c>
      <c r="F33" s="19" cm="1">
        <f t="array" aca="1" ref="F33" ca="1">_FV(RTData[[#This Row],[Company Name]],"Previous close",TRUE)</f>
        <v>93.58</v>
      </c>
      <c r="G33" s="19" cm="1">
        <f t="array" aca="1" ref="G33" ca="1">_FV(RTData[[#This Row],[Company Name]],"Open")</f>
        <v>95.04</v>
      </c>
      <c r="H33" s="19" cm="1">
        <f t="array" aca="1" ref="H33" ca="1">_FV(RTData[[#This Row],[Company Name]],"Price")</f>
        <v>97.28</v>
      </c>
      <c r="I33" s="19" cm="1">
        <f t="array" aca="1" ref="I33" ca="1">_FV(RTData[[#This Row],[Company Name]],"Low")</f>
        <v>94.17</v>
      </c>
      <c r="J33" s="19" cm="1">
        <f t="array" aca="1" ref="J33" ca="1">_FV(RTData[[#This Row],[Company Name]],"High")</f>
        <v>98.215000000000003</v>
      </c>
      <c r="K33" s="20" cm="1">
        <f t="array" aca="1" ref="K33" ca="1">IFERROR(_FV(RTData[[#This Row],[Company Name]],"P/E",TRUE),99)</f>
        <v>17.607900000000001</v>
      </c>
      <c r="L33" s="21" cm="1">
        <f t="array" aca="1" ref="L33" ca="1">_FV(RTData[[#This Row],[Company Name]],"Change")</f>
        <v>3.7</v>
      </c>
      <c r="M33" s="22" cm="1">
        <f t="array" aca="1" ref="M33" ca="1">_FV(RTData[[#This Row],[Company Name]],"Change (%)",TRUE)</f>
        <v>3.9538000000000004E-2</v>
      </c>
      <c r="N33" s="19" cm="1">
        <f t="array" aca="1" ref="N33" ca="1">_FV(RTData[[#This Row],[Company Name]],"52 week low",TRUE)</f>
        <v>36.86</v>
      </c>
      <c r="O33" s="19" cm="1">
        <f t="array" aca="1" ref="O33" ca="1">_FV(RTData[[#This Row],[Company Name]],"52 week high",TRUE)</f>
        <v>98.215000000000003</v>
      </c>
      <c r="P33" s="23" cm="1">
        <f t="array" aca="1" ref="P33" ca="1">_FV(RTData[[#This Row],[Company Name]],"Volume")</f>
        <v>6456099</v>
      </c>
      <c r="Q33" s="23" cm="1">
        <f t="array" aca="1" ref="Q33" ca="1">_FV(RTData[[#This Row],[Company Name]],"Volume average",TRUE)</f>
        <v>11881721</v>
      </c>
      <c r="R33" s="19" cm="1">
        <f t="array" aca="1" ref="R33" ca="1">_FV(RTData[[#This Row],[Company Name]],"Beta")</f>
        <v>0.34089999999999998</v>
      </c>
      <c r="T33" t="s">
        <v>20</v>
      </c>
      <c r="U33" t="str" cm="1">
        <f t="array" aca="1" ref="U33" ca="1">_FV(RTData[[#This Row],[Company Name]],"Exchange abbreviation",TRUE)</f>
        <v>XNYS</v>
      </c>
      <c r="V33" s="24">
        <f ca="1">IFERROR(RTData[[#This Row],[Volume]]/RTData[[#This Row],[Volume average]],1)</f>
        <v>0.54336396217349325</v>
      </c>
      <c r="W33" s="24"/>
      <c r="X33" s="108">
        <f ca="1">_xlfn.XLOOKUP(RTData[[#This Row],[Ticker symbol]],[2]Sheet2!$B$2:$B$95,[2]Sheet2!$E$2:$E$95)</f>
        <v>73.224739999999997</v>
      </c>
      <c r="Y33" s="101">
        <f>_xlfn.LET(_xlpm.date,[2]Sheet2!F30,IF(_xlpm.date=0,"",_xlpm.date))</f>
        <v>45897</v>
      </c>
      <c r="Z33" s="101" t="str">
        <f>_xlfn.LET(_xlpm.date,[2]Sheet2!G30,IF(_xlpm.date=0,"",_xlpm.date))</f>
        <v>Oct 23, 2025</v>
      </c>
      <c r="AA33" s="102">
        <f>[2]Sheet2!$H30</f>
        <v>3.2000000000000001E-2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-9.7105548705302067E-2</v>
      </c>
      <c r="AF33" s="105" t="str">
        <f ca="1">TEXT(RTData[[#This Row],[1YT]],"#,#0.00")&amp;" &lt; "&amp;RTData[[#This Row],[Old1YT]]</f>
        <v>73.22 &lt; 81.10/84.6</v>
      </c>
    </row>
    <row r="34" spans="1:33" x14ac:dyDescent="0.3">
      <c r="A34" s="15" t="str" cm="1">
        <f t="array" aca="1" ref="A34" ca="1">_xlfn.SINGLE(RTData[suffix])&amp;_FV(RTData[[#This Row],[Company Name]],"Ticker symbol",TRUE)</f>
        <v>NFLX</v>
      </c>
      <c r="B34" s="15">
        <f ca="1">D99</f>
        <v>0.85675119945167921</v>
      </c>
      <c r="C34" t="e" vm="33">
        <v>#VALUE!</v>
      </c>
      <c r="D34" s="17" t="str" cm="1">
        <f t="array" aca="1" ref="D34" ca="1">_FV(RTData[[#This Row],[Company Name]],"Currency")</f>
        <v>USD</v>
      </c>
      <c r="E34" s="18" cm="1">
        <f t="array" aca="1" ref="E34" ca="1">_FV(RTData[[#This Row],[Company Name]],"Last trade time",TRUE)</f>
        <v>45946.692304907032</v>
      </c>
      <c r="F34" s="19" cm="1">
        <f t="array" aca="1" ref="F34" ca="1">_FV(RTData[[#This Row],[Company Name]],"Previous close",TRUE)</f>
        <v>1203.29</v>
      </c>
      <c r="G34" s="19" cm="1">
        <f t="array" aca="1" ref="G34" ca="1">_FV(RTData[[#This Row],[Company Name]],"Open")</f>
        <v>1212.1500000000001</v>
      </c>
      <c r="H34" s="19" cm="1">
        <f t="array" aca="1" ref="H34" ca="1">_FV(RTData[[#This Row],[Company Name]],"Price")</f>
        <v>1184.2320999999999</v>
      </c>
      <c r="I34" s="19" cm="1">
        <f t="array" aca="1" ref="I34" ca="1">_FV(RTData[[#This Row],[Company Name]],"Low")</f>
        <v>1182.01</v>
      </c>
      <c r="J34" s="19" cm="1">
        <f t="array" aca="1" ref="J34" ca="1">_FV(RTData[[#This Row],[Company Name]],"High")</f>
        <v>1216.71</v>
      </c>
      <c r="K34" s="20" cm="1">
        <f t="array" aca="1" ref="K34" ca="1">IFERROR(_FV(RTData[[#This Row],[Company Name]],"P/E",TRUE),99)</f>
        <v>50.463099999999997</v>
      </c>
      <c r="L34" s="21" cm="1">
        <f t="array" aca="1" ref="L34" ca="1">_FV(RTData[[#This Row],[Company Name]],"Change")</f>
        <v>-19.0579</v>
      </c>
      <c r="M34" s="22" cm="1">
        <f t="array" aca="1" ref="M34" ca="1">_FV(RTData[[#This Row],[Company Name]],"Change (%)",TRUE)</f>
        <v>-1.5838000000000001E-2</v>
      </c>
      <c r="N34" s="19" cm="1">
        <f t="array" aca="1" ref="N34" ca="1">_FV(RTData[[#This Row],[Company Name]],"52 week low",TRUE)</f>
        <v>677.88</v>
      </c>
      <c r="O34" s="19" cm="1">
        <f t="array" aca="1" ref="O34" ca="1">_FV(RTData[[#This Row],[Company Name]],"52 week high",TRUE)</f>
        <v>1341.15</v>
      </c>
      <c r="P34" s="23" cm="1">
        <f t="array" aca="1" ref="P34" ca="1">_FV(RTData[[#This Row],[Company Name]],"Volume")</f>
        <v>1371252</v>
      </c>
      <c r="Q34" s="23" cm="1">
        <f t="array" aca="1" ref="Q34" ca="1">_FV(RTData[[#This Row],[Company Name]],"Volume average",TRUE)</f>
        <v>3199894</v>
      </c>
      <c r="R34" s="19" cm="1">
        <f t="array" aca="1" ref="R34" ca="1">_FV(RTData[[#This Row],[Company Name]],"Beta")</f>
        <v>1.59</v>
      </c>
      <c r="T34" t="s">
        <v>20</v>
      </c>
      <c r="U34" t="str" cm="1">
        <f t="array" aca="1" ref="U34" ca="1">_FV(RTData[[#This Row],[Company Name]],"Exchange abbreviation",TRUE)</f>
        <v>XNAS</v>
      </c>
      <c r="V34" s="24">
        <f ca="1">IFERROR(RTData[[#This Row],[Volume]]/RTData[[#This Row],[Volume average]],1)</f>
        <v>0.42853044507099297</v>
      </c>
      <c r="W34" s="24"/>
      <c r="X34" s="108">
        <f ca="1">_xlfn.XLOOKUP(RTData[[#This Row],[Ticker symbol]],[2]Sheet2!$B$2:$B$95,[2]Sheet2!$E$2:$E$95)</f>
        <v>1350.316</v>
      </c>
      <c r="Y34" s="101">
        <f>_xlfn.LET(_xlpm.date,[2]Sheet2!F31,IF(_xlpm.date=0,"",_xlpm.date))</f>
        <v>45904</v>
      </c>
      <c r="Z34" s="101" t="str">
        <f>_xlfn.LET(_xlpm.date,[2]Sheet2!G31,IF(_xlpm.date=0,"",_xlpm.date))</f>
        <v>Oct 22, 2025</v>
      </c>
      <c r="AA34" s="102">
        <f>[2]Sheet2!$H31</f>
        <v>1.3099998999999999E-2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21.690573012939002</v>
      </c>
      <c r="AF34" s="105" t="str">
        <f ca="1">TEXT(RTData[[#This Row],[1YT]],"#,#0.00")&amp;" &lt; "&amp;RTData[[#This Row],[Old1YT]]</f>
        <v>1,350.32 &lt; 59.51</v>
      </c>
    </row>
    <row r="35" spans="1:33" x14ac:dyDescent="0.3">
      <c r="A35" s="15" t="str" cm="1">
        <f t="array" aca="1" ref="A35" ca="1">_xlfn.SINGLE(RTData[suffix])&amp;_FV(RTData[[#This Row],[Company Name]],"Ticker symbol",TRUE)</f>
        <v>NOTE</v>
      </c>
      <c r="B35" s="15">
        <f ca="1">D99</f>
        <v>0.85675119945167921</v>
      </c>
      <c r="C35" t="e" vm="34">
        <v>#VALUE!</v>
      </c>
      <c r="D35" s="17" t="str" cm="1">
        <f t="array" aca="1" ref="D35" ca="1">_FV(RTData[[#This Row],[Company Name]],"Currency")</f>
        <v>USD</v>
      </c>
      <c r="E35" s="18" cm="1">
        <f t="array" aca="1" ref="E35" ca="1">_FV(RTData[[#This Row],[Company Name]],"Last trade time",TRUE)</f>
        <v>45946.692295914065</v>
      </c>
      <c r="F35" s="19" cm="1">
        <f t="array" aca="1" ref="F35" ca="1">_FV(RTData[[#This Row],[Company Name]],"Previous close",TRUE)</f>
        <v>4.67</v>
      </c>
      <c r="G35" s="19" cm="1">
        <f t="array" aca="1" ref="G35" ca="1">_FV(RTData[[#This Row],[Company Name]],"Open")</f>
        <v>4.7050000000000001</v>
      </c>
      <c r="H35" s="19" cm="1">
        <f t="array" aca="1" ref="H35" ca="1">_FV(RTData[[#This Row],[Company Name]],"Price")</f>
        <v>4.42</v>
      </c>
      <c r="I35" s="19" cm="1">
        <f t="array" aca="1" ref="I35" ca="1">_FV(RTData[[#This Row],[Company Name]],"Low")</f>
        <v>4.42</v>
      </c>
      <c r="J35" s="19" cm="1">
        <f t="array" aca="1" ref="J35" ca="1">_FV(RTData[[#This Row],[Company Name]],"High")</f>
        <v>4.7705000000000002</v>
      </c>
      <c r="K35" s="20" cm="1">
        <f t="array" aca="1" ref="K35" ca="1">IFERROR(_FV(RTData[[#This Row],[Company Name]],"P/E",TRUE),99)</f>
        <v>0</v>
      </c>
      <c r="L35" s="21" cm="1">
        <f t="array" aca="1" ref="L35" ca="1">_FV(RTData[[#This Row],[Company Name]],"Change")</f>
        <v>-0.25</v>
      </c>
      <c r="M35" s="22" cm="1">
        <f t="array" aca="1" ref="M35" ca="1">_FV(RTData[[#This Row],[Company Name]],"Change (%)",TRUE)</f>
        <v>-5.3532999999999997E-2</v>
      </c>
      <c r="N35" s="19" cm="1">
        <f t="array" aca="1" ref="N35" ca="1">_FV(RTData[[#This Row],[Company Name]],"52 week low",TRUE)</f>
        <v>3.8</v>
      </c>
      <c r="O35" s="19" cm="1">
        <f t="array" aca="1" ref="O35" ca="1">_FV(RTData[[#This Row],[Company Name]],"52 week high",TRUE)</f>
        <v>24.36</v>
      </c>
      <c r="P35" s="23" cm="1">
        <f t="array" aca="1" ref="P35" ca="1">_FV(RTData[[#This Row],[Company Name]],"Volume")</f>
        <v>203243</v>
      </c>
      <c r="Q35" s="23" cm="1">
        <f t="array" aca="1" ref="Q35" ca="1">_FV(RTData[[#This Row],[Company Name]],"Volume average",TRUE)</f>
        <v>278476</v>
      </c>
      <c r="R35" s="19" cm="1">
        <f t="array" aca="1" ref="R35" ca="1">_FV(RTData[[#This Row],[Company Name]],"Beta")</f>
        <v>0.54510000000000003</v>
      </c>
      <c r="T35" t="s">
        <v>20</v>
      </c>
      <c r="U35" t="str" cm="1">
        <f t="array" aca="1" ref="U35" ca="1">_FV(RTData[[#This Row],[Company Name]],"Exchange abbreviation",TRUE)</f>
        <v>XNYS</v>
      </c>
      <c r="V35" s="24">
        <f ca="1">IFERROR(RTData[[#This Row],[Volume]]/RTData[[#This Row],[Volume average]],1)</f>
        <v>0.72984027348855918</v>
      </c>
      <c r="W35" s="24"/>
      <c r="X35" s="108">
        <f ca="1">_xlfn.XLOOKUP(RTData[[#This Row],[Ticker symbol]],[2]Sheet2!$B$2:$B$95,[2]Sheet2!$E$2:$E$95)</f>
        <v>31.501259999999998</v>
      </c>
      <c r="Y35" s="101" t="str">
        <f>_xlfn.LET(_xlpm.date,[2]Sheet2!F32,IF(_xlpm.date=0,"",_xlpm.date))</f>
        <v/>
      </c>
      <c r="Z35" s="101" t="str">
        <f>_xlfn.LET(_xlpm.date,[2]Sheet2!G32,IF(_xlpm.date=0,"",_xlpm.date))</f>
        <v>Oct 16,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-0.95878632545725728</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0.85675119945167921</v>
      </c>
      <c r="C36" t="e" vm="35">
        <v>#VALUE!</v>
      </c>
      <c r="D36" s="17" t="str" cm="1">
        <f t="array" aca="1" ref="D36" ca="1">_FV(RTData[[#This Row],[Company Name]],"Currency")</f>
        <v>USD</v>
      </c>
      <c r="E36" s="18" cm="1">
        <f t="array" aca="1" ref="E36" ca="1">_FV(RTData[[#This Row],[Company Name]],"Last trade time",TRUE)</f>
        <v>45946.692273738285</v>
      </c>
      <c r="F36" s="19" cm="1">
        <f t="array" aca="1" ref="F36" ca="1">_FV(RTData[[#This Row],[Company Name]],"Previous close",TRUE)</f>
        <v>41.01</v>
      </c>
      <c r="G36" s="19" cm="1">
        <f t="array" aca="1" ref="G36" ca="1">_FV(RTData[[#This Row],[Company Name]],"Open")</f>
        <v>41.6</v>
      </c>
      <c r="H36" s="19" cm="1">
        <f t="array" aca="1" ref="H36" ca="1">_FV(RTData[[#This Row],[Company Name]],"Price")</f>
        <v>42.04</v>
      </c>
      <c r="I36" s="19" cm="1">
        <f t="array" aca="1" ref="I36" ca="1">_FV(RTData[[#This Row],[Company Name]],"Low")</f>
        <v>40.930100000000003</v>
      </c>
      <c r="J36" s="19" cm="1">
        <f t="array" aca="1" ref="J36" ca="1">_FV(RTData[[#This Row],[Company Name]],"High")</f>
        <v>42.57</v>
      </c>
      <c r="K36" s="20" cm="1">
        <f t="array" aca="1" ref="K36" ca="1">IFERROR(_FV(RTData[[#This Row],[Company Name]],"P/E",TRUE),99)</f>
        <v>29.188400000000001</v>
      </c>
      <c r="L36" s="21" cm="1">
        <f t="array" aca="1" ref="L36" ca="1">_FV(RTData[[#This Row],[Company Name]],"Change")</f>
        <v>1.03</v>
      </c>
      <c r="M36" s="22" cm="1">
        <f t="array" aca="1" ref="M36" ca="1">_FV(RTData[[#This Row],[Company Name]],"Change (%)",TRUE)</f>
        <v>2.5115999999999999E-2</v>
      </c>
      <c r="N36" s="19" cm="1">
        <f t="array" aca="1" ref="N36" ca="1">_FV(RTData[[#This Row],[Company Name]],"52 week low",TRUE)</f>
        <v>19.8017</v>
      </c>
      <c r="O36" s="19" cm="1">
        <f t="array" aca="1" ref="O36" ca="1">_FV(RTData[[#This Row],[Company Name]],"52 week high",TRUE)</f>
        <v>42.57</v>
      </c>
      <c r="P36" s="23" cm="1">
        <f t="array" aca="1" ref="P36" ca="1">_FV(RTData[[#This Row],[Company Name]],"Volume")</f>
        <v>3778851</v>
      </c>
      <c r="Q36" s="23" cm="1">
        <f t="array" aca="1" ref="Q36" ca="1">_FV(RTData[[#This Row],[Company Name]],"Volume average",TRUE)</f>
        <v>7235041</v>
      </c>
      <c r="R36" s="19" cm="1">
        <f t="array" aca="1" ref="R36" ca="1">_FV(RTData[[#This Row],[Company Name]],"Beta")</f>
        <v>0.90049999999999997</v>
      </c>
      <c r="T36" t="s">
        <v>20</v>
      </c>
      <c r="U36" t="str" cm="1">
        <f t="array" aca="1" ref="U36" ca="1">_FV(RTData[[#This Row],[Company Name]],"Exchange abbreviation",TRUE)</f>
        <v>XNYS</v>
      </c>
      <c r="V36" s="24">
        <f ca="1">IFERROR(RTData[[#This Row],[Volume]]/RTData[[#This Row],[Volume average]],1)</f>
        <v>0.52229849146673801</v>
      </c>
      <c r="W36" s="24"/>
      <c r="X36" s="108">
        <f ca="1">_xlfn.XLOOKUP(RTData[[#This Row],[Ticker symbol]],[2]Sheet2!$B$2:$B$95,[2]Sheet2!$E$2:$E$95)</f>
        <v>37.375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0.18650793650793651</v>
      </c>
      <c r="AF36" s="105" t="str">
        <f ca="1">TEXT(RTData[[#This Row],[1YT]],"#,#0.00")&amp;" &lt; "&amp;RTData[[#This Row],[Old1YT]]</f>
        <v>37.38 &lt; 31.5</v>
      </c>
    </row>
    <row r="37" spans="1:33" x14ac:dyDescent="0.3">
      <c r="A37" s="15" t="str" cm="1">
        <f t="array" aca="1" ref="A37" ca="1">_xlfn.SINGLE(RTData[suffix])&amp;_FV(RTData[[#This Row],[Company Name]],"Ticker symbol",TRUE)</f>
        <v>PROF</v>
      </c>
      <c r="B37" s="15">
        <f ca="1">D99</f>
        <v>0.85675119945167921</v>
      </c>
      <c r="C37" t="e" vm="36">
        <v>#VALUE!</v>
      </c>
      <c r="D37" s="17" t="str" cm="1">
        <f t="array" aca="1" ref="D37" ca="1">_FV(RTData[[#This Row],[Company Name]],"Currency")</f>
        <v>USD</v>
      </c>
      <c r="E37" s="18" cm="1">
        <f t="array" aca="1" ref="E37" ca="1">_FV(RTData[[#This Row],[Company Name]],"Last trade time",TRUE)</f>
        <v>45946.69160391172</v>
      </c>
      <c r="F37" s="19" cm="1">
        <f t="array" aca="1" ref="F37" ca="1">_FV(RTData[[#This Row],[Company Name]],"Previous close",TRUE)</f>
        <v>5.76</v>
      </c>
      <c r="G37" s="19" cm="1">
        <f t="array" aca="1" ref="G37" ca="1">_FV(RTData[[#This Row],[Company Name]],"Open")</f>
        <v>5.77</v>
      </c>
      <c r="H37" s="19" cm="1">
        <f t="array" aca="1" ref="H37" ca="1">_FV(RTData[[#This Row],[Company Name]],"Price")</f>
        <v>5.66</v>
      </c>
      <c r="I37" s="19" cm="1">
        <f t="array" aca="1" ref="I37" ca="1">_FV(RTData[[#This Row],[Company Name]],"Low")</f>
        <v>5.6</v>
      </c>
      <c r="J37" s="19" cm="1">
        <f t="array" aca="1" ref="J37" ca="1">_FV(RTData[[#This Row],[Company Name]],"High")</f>
        <v>5.9</v>
      </c>
      <c r="K37" s="20" cm="1">
        <f t="array" aca="1" ref="K37" ca="1">IFERROR(_FV(RTData[[#This Row],[Company Name]],"P/E",TRUE),99)</f>
        <v>0</v>
      </c>
      <c r="L37" s="21" cm="1">
        <f t="array" aca="1" ref="L37" ca="1">_FV(RTData[[#This Row],[Company Name]],"Change")</f>
        <v>-0.1</v>
      </c>
      <c r="M37" s="22" cm="1">
        <f t="array" aca="1" ref="M37" ca="1">_FV(RTData[[#This Row],[Company Name]],"Change (%)",TRUE)</f>
        <v>-1.7361000000000001E-2</v>
      </c>
      <c r="N37" s="19" cm="1">
        <f t="array" aca="1" ref="N37" ca="1">_FV(RTData[[#This Row],[Company Name]],"52 week low",TRUE)</f>
        <v>3.76</v>
      </c>
      <c r="O37" s="19" cm="1">
        <f t="array" aca="1" ref="O37" ca="1">_FV(RTData[[#This Row],[Company Name]],"52 week high",TRUE)</f>
        <v>9.17</v>
      </c>
      <c r="P37" s="23" cm="1">
        <f t="array" aca="1" ref="P37" ca="1">_FV(RTData[[#This Row],[Company Name]],"Volume")</f>
        <v>21891</v>
      </c>
      <c r="Q37" s="23" cm="1">
        <f t="array" aca="1" ref="Q37" ca="1">_FV(RTData[[#This Row],[Company Name]],"Volume average",TRUE)</f>
        <v>153206</v>
      </c>
      <c r="R37" s="19" cm="1">
        <f t="array" aca="1" ref="R37" ca="1">_FV(RTData[[#This Row],[Company Name]],"Beta")</f>
        <v>0.34949999999999998</v>
      </c>
      <c r="T37" t="s">
        <v>20</v>
      </c>
      <c r="U37" t="str" cm="1">
        <f t="array" aca="1" ref="U37" ca="1">_FV(RTData[[#This Row],[Company Name]],"Exchange abbreviation",TRUE)</f>
        <v>XNAS</v>
      </c>
      <c r="V37" s="24">
        <f ca="1">IFERROR(RTData[[#This Row],[Volume]]/RTData[[#This Row],[Volume average]],1)</f>
        <v>0.14288604884926179</v>
      </c>
      <c r="W37" s="24"/>
      <c r="X37" s="108">
        <f ca="1">_xlfn.XLOOKUP(RTData[[#This Row],[Ticker symbol]],[2]Sheet2!$B$2:$B$95,[2]Sheet2!$E$2:$E$95)</f>
        <v>12.1</v>
      </c>
      <c r="Y37" s="101">
        <f>_xlfn.LET(_xlpm.date,[2]Sheet2!F34,IF(_xlpm.date=0,"",_xlpm.date))</f>
        <v>45887</v>
      </c>
      <c r="Z37" s="101" t="str">
        <f>_xlfn.LET(_xlpm.date,[2]Sheet2!G34,IF(_xlpm.date=0,"",_xlpm.date))</f>
        <v>Aug 6, 2025</v>
      </c>
      <c r="AA37" s="102">
        <f>[2]Sheet2!$H34</f>
        <v>1.3899999999999999E-2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0.85675119945167921</v>
      </c>
      <c r="C38" t="e" vm="37">
        <v>#VALUE!</v>
      </c>
      <c r="D38" s="17" t="str" cm="1">
        <f t="array" aca="1" ref="D38" ca="1">_FV(RTData[[#This Row],[Company Name]],"Currency")</f>
        <v>USD</v>
      </c>
      <c r="E38" s="18" cm="1">
        <f t="array" aca="1" ref="E38" ca="1">_FV(RTData[[#This Row],[Company Name]],"Last trade time",TRUE)</f>
        <v>45946.6922423375</v>
      </c>
      <c r="F38" s="19" cm="1">
        <f t="array" aca="1" ref="F38" ca="1">_FV(RTData[[#This Row],[Company Name]],"Previous close",TRUE)</f>
        <v>8.32</v>
      </c>
      <c r="G38" s="19" cm="1">
        <f t="array" aca="1" ref="G38" ca="1">_FV(RTData[[#This Row],[Company Name]],"Open")</f>
        <v>8.56</v>
      </c>
      <c r="H38" s="19" cm="1">
        <f t="array" aca="1" ref="H38" ca="1">_FV(RTData[[#This Row],[Company Name]],"Price")</f>
        <v>7.68</v>
      </c>
      <c r="I38" s="19" cm="1">
        <f t="array" aca="1" ref="I38" ca="1">_FV(RTData[[#This Row],[Company Name]],"Low")</f>
        <v>7.63</v>
      </c>
      <c r="J38" s="19" cm="1">
        <f t="array" aca="1" ref="J38" ca="1">_FV(RTData[[#This Row],[Company Name]],"High")</f>
        <v>8.84</v>
      </c>
      <c r="K38" s="20" cm="1">
        <f t="array" aca="1" ref="K38" ca="1">IFERROR(_FV(RTData[[#This Row],[Company Name]],"P/E",TRUE),99)</f>
        <v>0</v>
      </c>
      <c r="L38" s="21" cm="1">
        <f t="array" aca="1" ref="L38" ca="1">_FV(RTData[[#This Row],[Company Name]],"Change")</f>
        <v>-0.64</v>
      </c>
      <c r="M38" s="22" cm="1">
        <f t="array" aca="1" ref="M38" ca="1">_FV(RTData[[#This Row],[Company Name]],"Change (%)",TRUE)</f>
        <v>-7.6923000000000005E-2</v>
      </c>
      <c r="N38" s="19" cm="1">
        <f t="array" aca="1" ref="N38" ca="1">_FV(RTData[[#This Row],[Company Name]],"52 week low",TRUE)</f>
        <v>3.09</v>
      </c>
      <c r="O38" s="19" cm="1">
        <f t="array" aca="1" ref="O38" ca="1">_FV(RTData[[#This Row],[Company Name]],"52 week high",TRUE)</f>
        <v>9.41</v>
      </c>
      <c r="P38" s="23" cm="1">
        <f t="array" aca="1" ref="P38" ca="1">_FV(RTData[[#This Row],[Company Name]],"Volume")</f>
        <v>8281610</v>
      </c>
      <c r="Q38" s="23" cm="1">
        <f t="array" aca="1" ref="Q38" ca="1">_FV(RTData[[#This Row],[Company Name]],"Volume average",TRUE)</f>
        <v>11535939</v>
      </c>
      <c r="R38" s="19" cm="1">
        <f t="array" aca="1" ref="R38" ca="1">_FV(RTData[[#This Row],[Company Name]],"Beta")</f>
        <v>0.31669999999999998</v>
      </c>
      <c r="T38" t="s">
        <v>20</v>
      </c>
      <c r="U38" t="str" cm="1">
        <f t="array" aca="1" ref="U38" ca="1">_FV(RTData[[#This Row],[Company Name]],"Exchange abbreviation",TRUE)</f>
        <v>XNAS</v>
      </c>
      <c r="V38" s="24">
        <f ca="1">IFERROR(RTData[[#This Row],[Volume]]/RTData[[#This Row],[Volume average]],1)</f>
        <v>0.71789647986176075</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0.60938452163315049</v>
      </c>
      <c r="C39" t="e" vm="38">
        <v>#VALUE!</v>
      </c>
      <c r="D39" s="17" t="str" cm="1">
        <f t="array" aca="1" ref="D39" ca="1">_FV(RTData[[#This Row],[Company Name]],"Currency")</f>
        <v>USD</v>
      </c>
      <c r="E39" s="18" cm="1">
        <f t="array" aca="1" ref="E39" ca="1">_FV(RTData[[#This Row],[Company Name]],"Last trade time",TRUE)</f>
        <v>45946.686810103907</v>
      </c>
      <c r="F39" s="36" cm="1">
        <f t="array" aca="1" ref="F39" ca="1">_FV(RTData[[#This Row],[Company Name]],"Previous close",TRUE)</f>
        <v>0.91279999999999994</v>
      </c>
      <c r="G39" s="36" cm="1">
        <f t="array" aca="1" ref="G39" ca="1">_FV(RTData[[#This Row],[Company Name]],"Open")</f>
        <v>0.91</v>
      </c>
      <c r="H39" s="36" cm="1">
        <f t="array" aca="1" ref="H39" ca="1">_FV(RTData[[#This Row],[Company Name]],"Price")</f>
        <v>0.8921</v>
      </c>
      <c r="I39" s="36" cm="1">
        <f t="array" aca="1" ref="I39" ca="1">_FV(RTData[[#This Row],[Company Name]],"Low")</f>
        <v>0.88</v>
      </c>
      <c r="J39" s="36" cm="1">
        <f t="array" aca="1" ref="J39" ca="1">_FV(RTData[[#This Row],[Company Name]],"High")</f>
        <v>0.92279999999999995</v>
      </c>
      <c r="K39" s="20" cm="1">
        <f t="array" ref="K39">IFERROR(_FV(RTData[[#This Row],[Company Name]],"P/E",TRUE),99)</f>
        <v>99</v>
      </c>
      <c r="L39" s="21" cm="1">
        <f t="array" aca="1" ref="L39" ca="1">_FV(RTData[[#This Row],[Company Name]],"Change")</f>
        <v>-2.07E-2</v>
      </c>
      <c r="M39" s="22" cm="1">
        <f t="array" aca="1" ref="M39" ca="1">_FV(RTData[[#This Row],[Company Name]],"Change (%)",TRUE)</f>
        <v>-2.2676999999999999E-2</v>
      </c>
      <c r="N39" s="36" cm="1">
        <f t="array" aca="1" ref="N39" ca="1">_FV(RTData[[#This Row],[Company Name]],"52 week low",TRUE)</f>
        <v>0.82420000000000004</v>
      </c>
      <c r="O39" s="36" cm="1">
        <f t="array" aca="1" ref="O39" ca="1">_FV(RTData[[#This Row],[Company Name]],"52 week high",TRUE)</f>
        <v>2.59</v>
      </c>
      <c r="P39" s="23" cm="1">
        <f t="array" aca="1" ref="P39" ca="1">_FV(RTData[[#This Row],[Company Name]],"Volume")</f>
        <v>38990</v>
      </c>
      <c r="Q39" s="23" cm="1">
        <f t="array" aca="1" ref="Q39" ca="1">_FV(RTData[[#This Row],[Company Name]],"Volume average",TRUE)</f>
        <v>200020</v>
      </c>
      <c r="R39" s="19" cm="1">
        <f t="array" aca="1" ref="R39" ca="1">_FV(RTData[[#This Row],[Company Name]],"Beta")</f>
        <v>1.5988</v>
      </c>
      <c r="T39" t="s">
        <v>20</v>
      </c>
      <c r="U39" t="str" cm="1">
        <f t="array" aca="1" ref="U39" ca="1">_FV(RTData[[#This Row],[Company Name]],"Exchange abbreviation",TRUE)</f>
        <v>XNYS</v>
      </c>
      <c r="V39" s="24">
        <f ca="1">IFERROR(RTData[[#This Row],[Volume]]/RTData[[#This Row],[Volume average]],1)</f>
        <v>0.19493050694930508</v>
      </c>
      <c r="W39" s="24"/>
      <c r="X39" s="108">
        <f ca="1">_xlfn.XLOOKUP(RTData[[#This Row],[Ticker symbol]],[2]Sheet2!$B$2:$B$95,[2]Sheet2!$E$2:$E$95)</f>
        <v>0</v>
      </c>
      <c r="Y39" s="101" t="str">
        <f>_xlfn.LET(_xlpm.date,[2]Sheet2!F36,IF(_xlpm.date=0,"",_xlpm.date))</f>
        <v/>
      </c>
      <c r="Z39" s="101" t="str">
        <f>_xlfn.LET(_xlpm.date,[2]Sheet2!G36,IF(_xlpm.date=0,"",_xlpm.date))</f>
        <v>Aug 14,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0.85675119945167921</v>
      </c>
      <c r="C40" t="e" vm="39">
        <v>#VALUE!</v>
      </c>
      <c r="D40" s="17" t="str" cm="1">
        <f t="array" aca="1" ref="D40" ca="1">_FV(RTData[[#This Row],[Company Name]],"Currency")</f>
        <v>USD</v>
      </c>
      <c r="E40" s="18" cm="1">
        <f t="array" aca="1" ref="E40" ca="1">_FV(RTData[[#This Row],[Company Name]],"Last trade time",TRUE)</f>
        <v>45946.691877696096</v>
      </c>
      <c r="F40" s="19" cm="1">
        <f t="array" aca="1" ref="F40" ca="1">_FV(RTData[[#This Row],[Company Name]],"Previous close",TRUE)</f>
        <v>28.11</v>
      </c>
      <c r="G40" s="19" cm="1">
        <f t="array" aca="1" ref="G40" ca="1">_FV(RTData[[#This Row],[Company Name]],"Open")</f>
        <v>28.45</v>
      </c>
      <c r="H40" s="19" cm="1">
        <f t="array" aca="1" ref="H40" ca="1">_FV(RTData[[#This Row],[Company Name]],"Price")</f>
        <v>27.824999999999999</v>
      </c>
      <c r="I40" s="19" cm="1">
        <f t="array" aca="1" ref="I40" ca="1">_FV(RTData[[#This Row],[Company Name]],"Low")</f>
        <v>27.7</v>
      </c>
      <c r="J40" s="19" cm="1">
        <f t="array" aca="1" ref="J40" ca="1">_FV(RTData[[#This Row],[Company Name]],"High")</f>
        <v>28.45</v>
      </c>
      <c r="K40" s="20" cm="1">
        <f t="array" aca="1" ref="K40" ca="1">IFERROR(_FV(RTData[[#This Row],[Company Name]],"P/E",TRUE),99)</f>
        <v>5.1384999999999996</v>
      </c>
      <c r="L40" s="21" cm="1">
        <f t="array" aca="1" ref="L40" ca="1">_FV(RTData[[#This Row],[Company Name]],"Change")</f>
        <v>-0.28499999999999998</v>
      </c>
      <c r="M40" s="22" cm="1">
        <f t="array" aca="1" ref="M40" ca="1">_FV(RTData[[#This Row],[Company Name]],"Change (%)",TRUE)</f>
        <v>-1.0139E-2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161321</v>
      </c>
      <c r="Q40" s="23" cm="1">
        <f t="array" aca="1" ref="Q40" ca="1">_FV(RTData[[#This Row],[Company Name]],"Volume average",TRUE)</f>
        <v>644319</v>
      </c>
      <c r="R40" s="19" cm="1">
        <f t="array" aca="1" ref="R40" ca="1">_FV(RTData[[#This Row],[Company Name]],"Beta")</f>
        <v>1.2163999999999999</v>
      </c>
      <c r="T40" t="s">
        <v>20</v>
      </c>
      <c r="U40" t="str" cm="1">
        <f t="array" aca="1" ref="U40" ca="1">_FV(RTData[[#This Row],[Company Name]],"Exchange abbreviation",TRUE)</f>
        <v>XNAS</v>
      </c>
      <c r="V40" s="24">
        <f ca="1">IFERROR(RTData[[#This Row],[Volume]]/RTData[[#This Row],[Volume average]],1)</f>
        <v>0.25037442633229812</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0.85675119945167921</v>
      </c>
      <c r="C41" t="e" vm="40">
        <v>#VALUE!</v>
      </c>
      <c r="D41" s="17" t="str" cm="1">
        <f t="array" aca="1" ref="D41" ca="1">_FV(RTData[[#This Row],[Company Name]],"Currency")</f>
        <v>EUR</v>
      </c>
      <c r="E41" s="18" cm="1">
        <f t="array" aca="1" ref="E41" ca="1">_FV(RTData[[#This Row],[Company Name]],"Last trade time",TRUE)</f>
        <v>45946.681250000001</v>
      </c>
      <c r="F41" s="19" cm="1">
        <f t="array" aca="1" ref="F41" ca="1">_FV(RTData[[#This Row],[Company Name]],"Previous close",TRUE)</f>
        <v>40.770000000000003</v>
      </c>
      <c r="G41" s="19" cm="1">
        <f t="array" aca="1" ref="G41" ca="1">_FV(RTData[[#This Row],[Company Name]],"Open")</f>
        <v>40.85</v>
      </c>
      <c r="H41" s="19" cm="1">
        <f t="array" aca="1" ref="H41" ca="1">_FV(RTData[[#This Row],[Company Name]],"Price")</f>
        <v>41.47</v>
      </c>
      <c r="I41" s="19" cm="1">
        <f t="array" aca="1" ref="I41" ca="1">_FV(RTData[[#This Row],[Company Name]],"Low")</f>
        <v>40.85</v>
      </c>
      <c r="J41" s="19" cm="1">
        <f t="array" aca="1" ref="J41" ca="1">_FV(RTData[[#This Row],[Company Name]],"High")</f>
        <v>41.5</v>
      </c>
      <c r="K41" s="20" cm="1">
        <f t="array" aca="1" ref="K41" ca="1">IFERROR(_FV(RTData[[#This Row],[Company Name]],"P/E",TRUE),99)</f>
        <v>11.8825</v>
      </c>
      <c r="L41" s="21" cm="1">
        <f t="array" aca="1" ref="L41" ca="1">_FV(RTData[[#This Row],[Company Name]],"Change")</f>
        <v>0.7</v>
      </c>
      <c r="M41" s="22" cm="1">
        <f t="array" aca="1" ref="M41" ca="1">_FV(RTData[[#This Row],[Company Name]],"Change (%)",TRUE)</f>
        <v>1.7169E-2</v>
      </c>
      <c r="N41" s="19" cm="1">
        <f t="array" aca="1" ref="N41" ca="1">_FV(RTData[[#This Row],[Company Name]],"52 week low",TRUE)</f>
        <v>14.231</v>
      </c>
      <c r="O41" s="19" cm="1">
        <f t="array" aca="1" ref="O41" ca="1">_FV(RTData[[#This Row],[Company Name]],"52 week high",TRUE)</f>
        <v>44.03</v>
      </c>
      <c r="P41" s="23" cm="1">
        <f t="array" aca="1" ref="P41" ca="1">_FV(RTData[[#This Row],[Company Name]],"Volume")</f>
        <v>5885</v>
      </c>
      <c r="Q41" s="23" cm="1">
        <f t="array" aca="1" ref="Q41" ca="1">_FV(RTData[[#This Row],[Company Name]],"Volume average",TRUE)</f>
        <v>1950430</v>
      </c>
      <c r="R41" s="19" cm="1">
        <f t="array" aca="1" ref="R41" ca="1">_FV(RTData[[#This Row],[Company Name]],"Beta")</f>
        <v>0.51549999999999996</v>
      </c>
      <c r="T41" t="s">
        <v>20</v>
      </c>
      <c r="U41" t="str" cm="1">
        <f t="array" aca="1" ref="U41" ca="1">_FV(RTData[[#This Row],[Company Name]],"Exchange abbreviation",TRUE)</f>
        <v>XFRA</v>
      </c>
      <c r="V41" s="24">
        <f ca="1">IFERROR(RTData[[#This Row],[Volume]]/RTData[[#This Row],[Volume average]],1)</f>
        <v>3.0172833682828915E-3</v>
      </c>
      <c r="W41" s="24"/>
      <c r="X41" s="108">
        <f ca="1">_xlfn.XLOOKUP(RTData[[#This Row],[Ticker symbol]],[2]Sheet2!$B$2:$B$95,[2]Sheet2!$E$2:$E$95)</f>
        <v>43.26</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0.2821576763485476</v>
      </c>
      <c r="AF41" s="105" t="str">
        <f ca="1">TEXT(RTData[[#This Row],[1YT]],"#,#0.00")&amp;" &lt; "&amp;RTData[[#This Row],[Old1YT]]</f>
        <v>43.26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45946.65625</v>
      </c>
      <c r="F42" s="28" cm="1">
        <f t="array" aca="1" ref="F42" ca="1">_FV(RTData[[#This Row],[Company Name]],"Previous close",TRUE)</f>
        <v>234.2</v>
      </c>
      <c r="G42" s="28" cm="1">
        <f t="array" aca="1" ref="G42" ca="1">_FV(RTData[[#This Row],[Company Name]],"Open")</f>
        <v>231.2</v>
      </c>
      <c r="H42" s="28" cm="1">
        <f t="array" aca="1" ref="H42" ca="1">_FV(RTData[[#This Row],[Company Name]],"Price")</f>
        <v>233.2</v>
      </c>
      <c r="I42" s="28" cm="1">
        <f t="array" aca="1" ref="I42" ca="1">_FV(RTData[[#This Row],[Company Name]],"Low")</f>
        <v>230.35</v>
      </c>
      <c r="J42" s="28" cm="1">
        <f t="array" aca="1" ref="J42" ca="1">_FV(RTData[[#This Row],[Company Name]],"High")</f>
        <v>237.1</v>
      </c>
      <c r="K42" s="20" cm="1">
        <f t="array" aca="1" ref="K42" ca="1">IFERROR(_FV(RTData[[#This Row],[Company Name]],"P/E",TRUE),99)</f>
        <v>41.636899999999997</v>
      </c>
      <c r="L42" s="21" cm="1">
        <f t="array" aca="1" ref="L42" ca="1">_FV(RTData[[#This Row],[Company Name]],"Change")</f>
        <v>-1</v>
      </c>
      <c r="M42" s="22" cm="1">
        <f t="array" aca="1" ref="M42" ca="1">_FV(RTData[[#This Row],[Company Name]],"Change (%)",TRUE)</f>
        <v>-4.2699999999999995E-3</v>
      </c>
      <c r="N42" s="28" cm="1">
        <f t="array" aca="1" ref="N42" ca="1">_FV(RTData[[#This Row],[Company Name]],"52 week low",TRUE)</f>
        <v>208.7</v>
      </c>
      <c r="O42" s="28" cm="1">
        <f t="array" aca="1" ref="O42" ca="1">_FV(RTData[[#This Row],[Company Name]],"52 week high",TRUE)</f>
        <v>283.5</v>
      </c>
      <c r="P42" s="23" cm="1">
        <f t="array" aca="1" ref="P42" ca="1">_FV(RTData[[#This Row],[Company Name]],"Volume")</f>
        <v>1149922</v>
      </c>
      <c r="Q42" s="23" cm="1">
        <f t="array" aca="1" ref="Q42" ca="1">_FV(RTData[[#This Row],[Company Name]],"Volume average",TRUE)</f>
        <v>1126030</v>
      </c>
      <c r="R42" s="19" cm="1">
        <f t="array" aca="1" ref="R42" ca="1">_FV(RTData[[#This Row],[Company Name]],"Beta")</f>
        <v>0.99129999999999996</v>
      </c>
      <c r="T42" t="s">
        <v>20</v>
      </c>
      <c r="U42" t="str" cm="1">
        <f t="array" aca="1" ref="U42" ca="1">_FV(RTData[[#This Row],[Company Name]],"Exchange abbreviation",TRUE)</f>
        <v>XETR</v>
      </c>
      <c r="V42" s="24">
        <f ca="1">IFERROR(RTData[[#This Row],[Volume]]/RTData[[#This Row],[Volume average]],1)</f>
        <v>1.0212179071605552</v>
      </c>
      <c r="W42" s="24"/>
      <c r="X42" s="108">
        <f ca="1">_xlfn.XLOOKUP(RTData[[#This Row],[Ticker symbol]],[2]Sheet2!$B$2:$B$95,[2]Sheet2!$E$2:$E$95)</f>
        <v>291.91037</v>
      </c>
      <c r="Y42" s="101">
        <f>_xlfn.LET(_xlpm.date,[2]Sheet2!F39,IF(_xlpm.date=0,"",_xlpm.date))</f>
        <v>45779</v>
      </c>
      <c r="Z42" s="101" t="str">
        <f>_xlfn.LET(_xlpm.date,[2]Sheet2!G39,IF(_xlpm.date=0,"",_xlpm.date))</f>
        <v/>
      </c>
      <c r="AA42" s="102">
        <f>[2]Sheet2!$H39</f>
        <v>3.1400003000000003E-2</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6.587482758620691E-3</v>
      </c>
      <c r="AF42" s="105" t="str">
        <f ca="1">TEXT(RTData[[#This Row],[1YT]],"#,#0.00")&amp;" &lt; "&amp;RTData[[#This Row],[Old1YT]]</f>
        <v>291.91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45946.681621075782</v>
      </c>
      <c r="F43" s="28" cm="1">
        <f t="array" aca="1" ref="F43" ca="1">_FV(RTData[[#This Row],[Company Name]],"Previous close",TRUE)</f>
        <v>16.54</v>
      </c>
      <c r="G43" s="28" cm="1">
        <f t="array" aca="1" ref="G43" ca="1">_FV(RTData[[#This Row],[Company Name]],"Open")</f>
        <v>16.46</v>
      </c>
      <c r="H43" s="28" cm="1">
        <f t="array" aca="1" ref="H43" ca="1">_FV(RTData[[#This Row],[Company Name]],"Price")</f>
        <v>16.5</v>
      </c>
      <c r="I43" s="28" cm="1">
        <f t="array" aca="1" ref="I43" ca="1">_FV(RTData[[#This Row],[Company Name]],"Low")</f>
        <v>16.41</v>
      </c>
      <c r="J43" s="28" cm="1">
        <f t="array" aca="1" ref="J43" ca="1">_FV(RTData[[#This Row],[Company Name]],"High")</f>
        <v>16.54</v>
      </c>
      <c r="K43" s="20" cm="1">
        <f t="array" aca="1" ref="K43" ca="1">IFERROR(_FV(RTData[[#This Row],[Company Name]],"P/E",TRUE),99)</f>
        <v>0</v>
      </c>
      <c r="L43" s="21" cm="1">
        <f t="array" aca="1" ref="L43" ca="1">_FV(RTData[[#This Row],[Company Name]],"Change")</f>
        <v>-0.04</v>
      </c>
      <c r="M43" s="22" cm="1">
        <f t="array" aca="1" ref="M43" ca="1">_FV(RTData[[#This Row],[Company Name]],"Change (%)",TRUE)</f>
        <v>-2.418E-3</v>
      </c>
      <c r="N43" s="28" cm="1">
        <f t="array" aca="1" ref="N43" ca="1">_FV(RTData[[#This Row],[Company Name]],"52 week low",TRUE)</f>
        <v>11.88</v>
      </c>
      <c r="O43" s="28" cm="1">
        <f t="array" aca="1" ref="O43" ca="1">_FV(RTData[[#This Row],[Company Name]],"52 week high",TRUE)</f>
        <v>20.61</v>
      </c>
      <c r="P43" s="23" cm="1">
        <f t="array" aca="1" ref="P43" ca="1">_FV(RTData[[#This Row],[Company Name]],"Volume")</f>
        <v>357753</v>
      </c>
      <c r="Q43" s="23" cm="1">
        <f t="array" aca="1" ref="Q43" ca="1">_FV(RTData[[#This Row],[Company Name]],"Volume average",TRUE)</f>
        <v>8342700</v>
      </c>
      <c r="R43" s="28" cm="1">
        <f t="array" aca="1" ref="R43" ca="1">_FV(RTData[[#This Row],[Company Name]],"Beta")</f>
        <v>1.5262</v>
      </c>
      <c r="T43" t="s">
        <v>20</v>
      </c>
      <c r="U43" t="str" cm="1">
        <f t="array" aca="1" ref="U43" ca="1">_FV(RTData[[#This Row],[Company Name]],"Exchange abbreviation",TRUE)</f>
        <v>OTCM</v>
      </c>
      <c r="V43" s="24">
        <f ca="1">IFERROR(RTData[[#This Row],[Volume]]/RTData[[#This Row],[Volume average]],1)</f>
        <v>4.2882160451652343E-2</v>
      </c>
      <c r="W43" s="24"/>
      <c r="X43" s="108">
        <f ca="1">_xlfn.XLOOKUP(RTData[[#This Row],[Ticker symbol]],[2]Sheet2!$B$2:$B$95,[2]Sheet2!$E$2:$E$95)</f>
        <v>0</v>
      </c>
      <c r="Y43" s="101">
        <f>_xlfn.LET(_xlpm.date,[2]Sheet2!F40,IF(_xlpm.date=0,"",_xlpm.date))</f>
        <v>45791</v>
      </c>
      <c r="Z43" s="101" t="str">
        <f>_xlfn.LET(_xlpm.date,[2]Sheet2!G40,IF(_xlpm.date=0,"",_xlpm.date))</f>
        <v/>
      </c>
      <c r="AA43" s="102">
        <f>[2]Sheet2!$H40</f>
        <v>1.0299999000000001E-2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0.85675119945167921</v>
      </c>
      <c r="C44" t="e" vm="43">
        <v>#VALUE!</v>
      </c>
      <c r="D44" s="17" t="str" cm="1">
        <f t="array" aca="1" ref="D44" ca="1">_FV(RTData[[#This Row],[Company Name]],"Currency")</f>
        <v>USD</v>
      </c>
      <c r="E44" s="18" cm="1">
        <f t="array" aca="1" ref="E44" ca="1">_FV(RTData[[#This Row],[Company Name]],"Last trade time",TRUE)</f>
        <v>45946.692217974218</v>
      </c>
      <c r="F44" s="19" cm="1">
        <f t="array" aca="1" ref="F44" ca="1">_FV(RTData[[#This Row],[Company Name]],"Previous close",TRUE)</f>
        <v>11.54</v>
      </c>
      <c r="G44" s="19" cm="1">
        <f t="array" aca="1" ref="G44" ca="1">_FV(RTData[[#This Row],[Company Name]],"Open")</f>
        <v>11.86</v>
      </c>
      <c r="H44" s="19" cm="1">
        <f t="array" aca="1" ref="H44" ca="1">_FV(RTData[[#This Row],[Company Name]],"Price")</f>
        <v>11.6099</v>
      </c>
      <c r="I44" s="19" cm="1">
        <f t="array" aca="1" ref="I44" ca="1">_FV(RTData[[#This Row],[Company Name]],"Low")</f>
        <v>11.55</v>
      </c>
      <c r="J44" s="19" cm="1">
        <f t="array" aca="1" ref="J44" ca="1">_FV(RTData[[#This Row],[Company Name]],"High")</f>
        <v>12.2674</v>
      </c>
      <c r="K44" s="20" cm="1">
        <f t="array" aca="1" ref="K44" ca="1">IFERROR(_FV(RTData[[#This Row],[Company Name]],"P/E",TRUE),99)</f>
        <v>0</v>
      </c>
      <c r="L44" s="21" cm="1">
        <f t="array" aca="1" ref="L44" ca="1">_FV(RTData[[#This Row],[Company Name]],"Change")</f>
        <v>6.9900000000000004E-2</v>
      </c>
      <c r="M44" s="22" cm="1">
        <f t="array" aca="1" ref="M44" ca="1">_FV(RTData[[#This Row],[Company Name]],"Change (%)",TRUE)</f>
        <v>6.0569999999999999E-3</v>
      </c>
      <c r="N44" s="19" cm="1">
        <f t="array" aca="1" ref="N44" ca="1">_FV(RTData[[#This Row],[Company Name]],"52 week low",TRUE)</f>
        <v>6.92</v>
      </c>
      <c r="O44" s="19" cm="1">
        <f t="array" aca="1" ref="O44" ca="1">_FV(RTData[[#This Row],[Company Name]],"52 week high",TRUE)</f>
        <v>12.88</v>
      </c>
      <c r="P44" s="23" cm="1">
        <f t="array" aca="1" ref="P44" ca="1">_FV(RTData[[#This Row],[Company Name]],"Volume")</f>
        <v>753184</v>
      </c>
      <c r="Q44" s="23" cm="1">
        <f t="array" aca="1" ref="Q44" ca="1">_FV(RTData[[#This Row],[Company Name]],"Volume average",TRUE)</f>
        <v>980928</v>
      </c>
      <c r="R44" s="19" cm="1">
        <f t="array" aca="1" ref="R44" ca="1">_FV(RTData[[#This Row],[Company Name]],"Beta")</f>
        <v>1.6106</v>
      </c>
      <c r="T44" t="s">
        <v>20</v>
      </c>
      <c r="U44" t="str" cm="1">
        <f t="array" aca="1" ref="U44" ca="1">_FV(RTData[[#This Row],[Company Name]],"Exchange abbreviation",TRUE)</f>
        <v>XNAS</v>
      </c>
      <c r="V44" s="24">
        <f ca="1">IFERROR(RTData[[#This Row],[Volume]]/RTData[[#This Row],[Volume average]],1)</f>
        <v>0.76782801591961902</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2.47E-2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0.85675119945167921</v>
      </c>
      <c r="C45" t="e" vm="44">
        <v>#VALUE!</v>
      </c>
      <c r="D45" s="17" t="str" cm="1">
        <f t="array" aca="1" ref="D45" ca="1">_FV(RTData[[#This Row],[Company Name]],"Currency")</f>
        <v>USD</v>
      </c>
      <c r="E45" s="18" cm="1">
        <f t="array" aca="1" ref="E45" ca="1">_FV(RTData[[#This Row],[Company Name]],"Last trade time",TRUE)</f>
        <v>45946.692281145311</v>
      </c>
      <c r="F45" s="19" cm="1">
        <f t="array" aca="1" ref="F45" ca="1">_FV(RTData[[#This Row],[Company Name]],"Previous close",TRUE)</f>
        <v>435.15</v>
      </c>
      <c r="G45" s="19" cm="1">
        <f t="array" aca="1" ref="G45" ca="1">_FV(RTData[[#This Row],[Company Name]],"Open")</f>
        <v>434.75</v>
      </c>
      <c r="H45" s="19" cm="1">
        <f t="array" aca="1" ref="H45" ca="1">_FV(RTData[[#This Row],[Company Name]],"Price")</f>
        <v>427.59</v>
      </c>
      <c r="I45" s="19" cm="1">
        <f t="array" aca="1" ref="I45" ca="1">_FV(RTData[[#This Row],[Company Name]],"Low")</f>
        <v>425.81</v>
      </c>
      <c r="J45" s="19" cm="1">
        <f t="array" aca="1" ref="J45" ca="1">_FV(RTData[[#This Row],[Company Name]],"High")</f>
        <v>439.35</v>
      </c>
      <c r="K45" s="20" cm="1">
        <f t="array" aca="1" ref="K45" ca="1">IFERROR(_FV(RTData[[#This Row],[Company Name]],"P/E",TRUE),99)</f>
        <v>238.27809999999999</v>
      </c>
      <c r="L45" s="21" cm="1">
        <f t="array" aca="1" ref="L45" ca="1">_FV(RTData[[#This Row],[Company Name]],"Change")</f>
        <v>-7.56</v>
      </c>
      <c r="M45" s="22" cm="1">
        <f t="array" aca="1" ref="M45" ca="1">_FV(RTData[[#This Row],[Company Name]],"Change (%)",TRUE)</f>
        <v>-1.7373E-2</v>
      </c>
      <c r="N45" s="19" cm="1">
        <f t="array" aca="1" ref="N45" ca="1">_FV(RTData[[#This Row],[Company Name]],"52 week low",TRUE)</f>
        <v>212.11</v>
      </c>
      <c r="O45" s="19" cm="1">
        <f t="array" aca="1" ref="O45" ca="1">_FV(RTData[[#This Row],[Company Name]],"52 week high",TRUE)</f>
        <v>488.53989999999999</v>
      </c>
      <c r="P45" s="23" cm="1">
        <f t="array" aca="1" ref="P45" ca="1">_FV(RTData[[#This Row],[Company Name]],"Volume")</f>
        <v>39622725</v>
      </c>
      <c r="Q45" s="23" cm="1">
        <f t="array" aca="1" ref="Q45" ca="1">_FV(RTData[[#This Row],[Company Name]],"Volume average",TRUE)</f>
        <v>99519627</v>
      </c>
      <c r="R45" s="19" cm="1">
        <f t="array" aca="1" ref="R45" ca="1">_FV(RTData[[#This Row],[Company Name]],"Beta")</f>
        <v>2.0739000000000001</v>
      </c>
      <c r="T45" t="s">
        <v>20</v>
      </c>
      <c r="U45" t="str" cm="1">
        <f t="array" aca="1" ref="U45" ca="1">_FV(RTData[[#This Row],[Company Name]],"Exchange abbreviation",TRUE)</f>
        <v>XNAS</v>
      </c>
      <c r="V45" s="24">
        <f ca="1">IFERROR(RTData[[#This Row],[Volume]]/RTData[[#This Row],[Volume average]],1)</f>
        <v>0.39813980613090522</v>
      </c>
      <c r="W45" s="24"/>
      <c r="X45" s="108">
        <f ca="1">_xlfn.XLOOKUP(RTData[[#This Row],[Ticker symbol]],[2]Sheet2!$B$2:$B$95,[2]Sheet2!$E$2:$E$95)</f>
        <v>310.53410000000002</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25.316449152542372</v>
      </c>
      <c r="AF45" s="105" t="str">
        <f ca="1">TEXT(RTData[[#This Row],[1YT]],"#,#0.00")&amp;" &lt; "&amp;RTData[[#This Row],[Old1YT]]</f>
        <v>310.53 &lt; 11.8</v>
      </c>
      <c r="AG45" s="51"/>
    </row>
    <row r="46" spans="1:33" x14ac:dyDescent="0.3">
      <c r="A46" s="15" t="str" cm="1">
        <f t="array" aca="1" ref="A46" ca="1">_xlfn.SINGLE(RTData[suffix])&amp;_FV(RTData[[#This Row],[Company Name]],"Ticker symbol",TRUE)</f>
        <v>TSM</v>
      </c>
      <c r="B46" s="15">
        <f ca="1">D99</f>
        <v>0.85675119945167921</v>
      </c>
      <c r="C46" t="e" vm="45">
        <v>#VALUE!</v>
      </c>
      <c r="D46" s="17" t="str" cm="1">
        <f t="array" aca="1" ref="D46" ca="1">_FV(RTData[[#This Row],[Company Name]],"Currency")</f>
        <v>USD</v>
      </c>
      <c r="E46" s="18" cm="1">
        <f t="array" aca="1" ref="E46" ca="1">_FV(RTData[[#This Row],[Company Name]],"Last trade time",TRUE)</f>
        <v>45946.692298367969</v>
      </c>
      <c r="F46" s="19" cm="1">
        <f t="array" aca="1" ref="F46" ca="1">_FV(RTData[[#This Row],[Company Name]],"Previous close",TRUE)</f>
        <v>304.70999999999998</v>
      </c>
      <c r="G46" s="19" cm="1">
        <f t="array" aca="1" ref="G46" ca="1">_FV(RTData[[#This Row],[Company Name]],"Open")</f>
        <v>311</v>
      </c>
      <c r="H46" s="19" cm="1">
        <f t="array" aca="1" ref="H46" ca="1">_FV(RTData[[#This Row],[Company Name]],"Price")</f>
        <v>298.56</v>
      </c>
      <c r="I46" s="19" cm="1">
        <f t="array" aca="1" ref="I46" ca="1">_FV(RTData[[#This Row],[Company Name]],"Low")</f>
        <v>297.49</v>
      </c>
      <c r="J46" s="19" cm="1">
        <f t="array" aca="1" ref="J46" ca="1">_FV(RTData[[#This Row],[Company Name]],"High")</f>
        <v>311.36849999999998</v>
      </c>
      <c r="K46" s="20" cm="1">
        <f t="array" aca="1" ref="K46" ca="1">IFERROR(_FV(RTData[[#This Row],[Company Name]],"P/E",TRUE),99)</f>
        <v>30.9498</v>
      </c>
      <c r="L46" s="21" cm="1">
        <f t="array" aca="1" ref="L46" ca="1">_FV(RTData[[#This Row],[Company Name]],"Change")</f>
        <v>-6.15</v>
      </c>
      <c r="M46" s="22" cm="1">
        <f t="array" aca="1" ref="M46" ca="1">_FV(RTData[[#This Row],[Company Name]],"Change (%)",TRUE)</f>
        <v>-2.0183E-2</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18073289</v>
      </c>
      <c r="Q46" s="23" cm="1">
        <f t="array" aca="1" ref="Q46" ca="1">_FV(RTData[[#This Row],[Company Name]],"Volume average",TRUE)</f>
        <v>13312896</v>
      </c>
      <c r="R46" s="19" cm="1">
        <f t="array" aca="1" ref="R46" ca="1">_FV(RTData[[#This Row],[Company Name]],"Beta")</f>
        <v>1.2997000000000001</v>
      </c>
      <c r="T46" t="s">
        <v>20</v>
      </c>
      <c r="U46" t="str" cm="1">
        <f t="array" aca="1" ref="U46" ca="1">_FV(RTData[[#This Row],[Company Name]],"Exchange abbreviation",TRUE)</f>
        <v>XNYS</v>
      </c>
      <c r="V46" s="24">
        <f ca="1">IFERROR(RTData[[#This Row],[Volume]]/RTData[[#This Row],[Volume average]],1)</f>
        <v>1.3575775698991415</v>
      </c>
      <c r="W46" s="24"/>
      <c r="X46" s="108">
        <f ca="1">_xlfn.XLOOKUP(RTData[[#This Row],[Ticker symbol]],[2]Sheet2!$B$2:$B$95,[2]Sheet2!$E$2:$E$95)</f>
        <v>274.15667999999999</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0.31087635076981934</v>
      </c>
      <c r="AF46" s="105" t="str">
        <f ca="1">TEXT(RTData[[#This Row],[1YT]],"#,#0.00")&amp;" &lt; "&amp;RTData[[#This Row],[Old1YT]]</f>
        <v>274.16 &lt; 209.14</v>
      </c>
    </row>
    <row r="47" spans="1:33" x14ac:dyDescent="0.3">
      <c r="A47" s="15" t="str" cm="1">
        <f t="array" aca="1" ref="A47" ca="1">_xlfn.SINGLE(RTData[suffix])&amp;_FV(RTData[[#This Row],[Company Name]],"Ticker symbol",TRUE)</f>
        <v>UN0</v>
      </c>
      <c r="B47" s="15">
        <f ca="1">D99</f>
        <v>0.85675119945167921</v>
      </c>
      <c r="C47" t="e" vm="46">
        <v>#VALUE!</v>
      </c>
      <c r="D47" s="17" t="str" cm="1">
        <f t="array" aca="1" ref="D47" ca="1">_FV(RTData[[#This Row],[Company Name]],"Currency")</f>
        <v>EUR</v>
      </c>
      <c r="E47" s="18" cm="1">
        <f t="array" aca="1" ref="E47" ca="1">_FV(RTData[[#This Row],[Company Name]],"Last trade time",TRUE)</f>
        <v>45946.679861111108</v>
      </c>
      <c r="F47" s="19" cm="1">
        <f t="array" aca="1" ref="F47" ca="1">_FV(RTData[[#This Row],[Company Name]],"Previous close",TRUE)</f>
        <v>31.6</v>
      </c>
      <c r="G47" s="19" cm="1">
        <f t="array" aca="1" ref="G47" ca="1">_FV(RTData[[#This Row],[Company Name]],"Open")</f>
        <v>31.7</v>
      </c>
      <c r="H47" s="19" cm="1">
        <f t="array" aca="1" ref="H47" ca="1">_FV(RTData[[#This Row],[Company Name]],"Price")</f>
        <v>31.75</v>
      </c>
      <c r="I47" s="19" cm="1">
        <f t="array" aca="1" ref="I47" ca="1">_FV(RTData[[#This Row],[Company Name]],"Low")</f>
        <v>31.2</v>
      </c>
      <c r="J47" s="19" cm="1">
        <f t="array" aca="1" ref="J47" ca="1">_FV(RTData[[#This Row],[Company Name]],"High")</f>
        <v>31.75</v>
      </c>
      <c r="K47" s="20" cm="1">
        <f t="array" ref="K47">IFERROR(_FV(RTData[[#This Row],[Company Name]],"P/E",TRUE),99)</f>
        <v>99</v>
      </c>
      <c r="L47" s="21" cm="1">
        <f t="array" aca="1" ref="L47" ca="1">_FV(RTData[[#This Row],[Company Name]],"Change")</f>
        <v>0.15</v>
      </c>
      <c r="M47" s="22" cm="1">
        <f t="array" aca="1" ref="M47" ca="1">_FV(RTData[[#This Row],[Company Name]],"Change (%)",TRUE)</f>
        <v>4.7470000000000004E-3</v>
      </c>
      <c r="N47" s="19" cm="1">
        <f t="array" aca="1" ref="N47" ca="1">_FV(RTData[[#This Row],[Company Name]],"52 week low",TRUE)</f>
        <v>2.1</v>
      </c>
      <c r="O47" s="19" cm="1">
        <f t="array" aca="1" ref="O47" ca="1">_FV(RTData[[#This Row],[Company Name]],"52 week high",TRUE)</f>
        <v>73.5</v>
      </c>
      <c r="P47" s="23" cm="1">
        <f t="array" aca="1" ref="P47" ca="1">_FV(RTData[[#This Row],[Company Name]],"Volume")</f>
        <v>70</v>
      </c>
      <c r="Q47" s="23" cm="1">
        <f t="array" aca="1" ref="Q47" ca="1">_FV(RTData[[#This Row],[Company Name]],"Volume average",TRUE)</f>
        <v>5500</v>
      </c>
      <c r="R47" s="19" cm="1">
        <f t="array" aca="1" ref="R47" ca="1">_FV(RTData[[#This Row],[Company Name]],"Beta")</f>
        <v>1.0704</v>
      </c>
      <c r="T47" t="s">
        <v>20</v>
      </c>
      <c r="U47" t="str" cm="1">
        <f t="array" aca="1" ref="U47" ca="1">_FV(RTData[[#This Row],[Company Name]],"Exchange abbreviation",TRUE)</f>
        <v>XFRA</v>
      </c>
      <c r="V47" s="24">
        <f ca="1">IFERROR(RTData[[#This Row],[Volume]]/RTData[[#This Row],[Volume average]],1)</f>
        <v>1.2727272727272728E-2</v>
      </c>
      <c r="W47" s="24"/>
      <c r="X47" s="108">
        <f ca="1">_xlfn.XLOOKUP(RTData[[#This Row],[Ticker symbol]],[2]Sheet2!$B$2:$B$95,[2]Sheet2!$E$2:$E$95)</f>
        <v>0</v>
      </c>
      <c r="Y47" s="101">
        <f>_xlfn.LET(_xlpm.date,[2]Sheet2!F44,IF(_xlpm.date=0,"",_xlpm.date))</f>
        <v>45916</v>
      </c>
      <c r="Z47" s="101" t="str">
        <f>_xlfn.LET(_xlpm.date,[2]Sheet2!G44,IF(_xlpm.date=0,"",_xlpm.date))</f>
        <v>Oct 16, 2025</v>
      </c>
      <c r="AA47" s="102">
        <f>[2]Sheet2!$H44</f>
        <v>1.37E-2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45946.692235647657</v>
      </c>
      <c r="F48" s="28" cm="1">
        <f t="array" aca="1" ref="F48" ca="1">_FV(RTData[[#This Row],[Company Name]],"Previous close",TRUE)</f>
        <v>5.72</v>
      </c>
      <c r="G48" s="28" cm="1">
        <f t="array" aca="1" ref="G48" ca="1">_FV(RTData[[#This Row],[Company Name]],"Open")</f>
        <v>5.76</v>
      </c>
      <c r="H48" s="28" cm="1">
        <f t="array" aca="1" ref="H48" ca="1">_FV(RTData[[#This Row],[Company Name]],"Price")</f>
        <v>5.6275000000000004</v>
      </c>
      <c r="I48" s="28" cm="1">
        <f t="array" aca="1" ref="I48" ca="1">_FV(RTData[[#This Row],[Company Name]],"Low")</f>
        <v>5.6050000000000004</v>
      </c>
      <c r="J48" s="28" cm="1">
        <f t="array" aca="1" ref="J48" ca="1">_FV(RTData[[#This Row],[Company Name]],"High")</f>
        <v>5.91</v>
      </c>
      <c r="K48" s="20" cm="1">
        <f t="array" aca="1" ref="K48" ca="1">IFERROR(_FV(RTData[[#This Row],[Company Name]],"P/E",TRUE),99)</f>
        <v>23.654900000000001</v>
      </c>
      <c r="L48" s="21" cm="1">
        <f t="array" aca="1" ref="L48" ca="1">_FV(RTData[[#This Row],[Company Name]],"Change")</f>
        <v>-9.2499999999999999E-2</v>
      </c>
      <c r="M48" s="22" cm="1">
        <f t="array" aca="1" ref="M48" ca="1">_FV(RTData[[#This Row],[Company Name]],"Change (%)",TRUE)</f>
        <v>-1.6171000000000001E-2</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778604</v>
      </c>
      <c r="Q48" s="23" cm="1">
        <f t="array" aca="1" ref="Q48" ca="1">_FV(RTData[[#This Row],[Company Name]],"Volume average",TRUE)</f>
        <v>2892229</v>
      </c>
      <c r="R48" s="28" cm="1">
        <f t="array" aca="1" ref="R48" ca="1">_FV(RTData[[#This Row],[Company Name]],"Beta")</f>
        <v>1.5410999999999999</v>
      </c>
      <c r="T48" t="s">
        <v>20</v>
      </c>
      <c r="U48" t="str" cm="1">
        <f t="array" aca="1" ref="U48" ca="1">_FV(RTData[[#This Row],[Company Name]],"Exchange abbreviation",TRUE)</f>
        <v>XNAS</v>
      </c>
      <c r="V48" s="24">
        <f ca="1">IFERROR(RTData[[#This Row],[Volume]]/RTData[[#This Row],[Volume average]],1)</f>
        <v>0.26920551588411568</v>
      </c>
      <c r="W48" s="24"/>
      <c r="X48" s="108">
        <f ca="1">_xlfn.XLOOKUP(RTData[[#This Row],[Ticker symbol]],[2]Sheet2!$B$2:$B$95,[2]Sheet2!$E$2:$E$95)</f>
        <v>8.2502700000000004</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-0.80495815602836873</v>
      </c>
      <c r="AF48" s="105" t="str">
        <f ca="1">TEXT(RTData[[#This Row],[1YT]],"#,#0.00")&amp;" &lt; "&amp;RTData[[#This Row],[Old1YT]]</f>
        <v>8.25 &lt; 42.3</v>
      </c>
    </row>
    <row r="49" spans="1:34" x14ac:dyDescent="0.3">
      <c r="A49" s="15" t="str" cm="1">
        <f t="array" aca="1" ref="A49" ca="1">_xlfn.SINGLE(RTData[suffix])&amp;_FV(RTData[[#This Row],[Company Name]],"Ticker symbol",TRUE)</f>
        <v>VLVLY</v>
      </c>
      <c r="B49" s="15">
        <f ca="1">D99</f>
        <v>0.85675119945167921</v>
      </c>
      <c r="C49" t="e" vm="48">
        <v>#VALUE!</v>
      </c>
      <c r="D49" s="17" t="str" cm="1">
        <f t="array" aca="1" ref="D49" ca="1">_FV(RTData[[#This Row],[Company Name]],"Currency")</f>
        <v>USD</v>
      </c>
      <c r="E49" s="18" cm="1">
        <f t="array" aca="1" ref="E49" ca="1">_FV(RTData[[#This Row],[Company Name]],"Last trade time",TRUE)</f>
        <v>45946.681150346878</v>
      </c>
      <c r="F49" s="19" cm="1">
        <f t="array" aca="1" ref="F49" ca="1">_FV(RTData[[#This Row],[Company Name]],"Previous close",TRUE)</f>
        <v>27.81</v>
      </c>
      <c r="G49" s="19" cm="1">
        <f t="array" aca="1" ref="G49" ca="1">_FV(RTData[[#This Row],[Company Name]],"Open")</f>
        <v>28.114999999999998</v>
      </c>
      <c r="H49" s="19" cm="1">
        <f t="array" aca="1" ref="H49" ca="1">_FV(RTData[[#This Row],[Company Name]],"Price")</f>
        <v>28.41</v>
      </c>
      <c r="I49" s="19" cm="1">
        <f t="array" aca="1" ref="I49" ca="1">_FV(RTData[[#This Row],[Company Name]],"Low")</f>
        <v>28.02</v>
      </c>
      <c r="J49" s="19" cm="1">
        <f t="array" aca="1" ref="J49" ca="1">_FV(RTData[[#This Row],[Company Name]],"High")</f>
        <v>28.44</v>
      </c>
      <c r="K49" s="20" cm="1">
        <f t="array" aca="1" ref="K49" ca="1">IFERROR(_FV(RTData[[#This Row],[Company Name]],"P/E",TRUE),99)</f>
        <v>0</v>
      </c>
      <c r="L49" s="21" cm="1">
        <f t="array" aca="1" ref="L49" ca="1">_FV(RTData[[#This Row],[Company Name]],"Change")</f>
        <v>0.6</v>
      </c>
      <c r="M49" s="22" cm="1">
        <f t="array" aca="1" ref="M49" ca="1">_FV(RTData[[#This Row],[Company Name]],"Change (%)",TRUE)</f>
        <v>2.1575E-2</v>
      </c>
      <c r="N49" s="19" cm="1">
        <f t="array" aca="1" ref="N49" ca="1">_FV(RTData[[#This Row],[Company Name]],"52 week low",TRUE)</f>
        <v>22.55</v>
      </c>
      <c r="O49" s="19" cm="1">
        <f t="array" aca="1" ref="O49" ca="1">_FV(RTData[[#This Row],[Company Name]],"52 week high",TRUE)</f>
        <v>33.33</v>
      </c>
      <c r="P49" s="23" cm="1">
        <f t="array" aca="1" ref="P49" ca="1">_FV(RTData[[#This Row],[Company Name]],"Volume")</f>
        <v>23495</v>
      </c>
      <c r="Q49" s="23" cm="1">
        <f t="array" aca="1" ref="Q49" ca="1">_FV(RTData[[#This Row],[Company Name]],"Volume average",TRUE)</f>
        <v>3223610</v>
      </c>
      <c r="R49" s="19" cm="1">
        <f t="array" aca="1" ref="R49" ca="1">_FV(RTData[[#This Row],[Company Name]],"Beta")</f>
        <v>0.9264</v>
      </c>
      <c r="T49" t="s">
        <v>20</v>
      </c>
      <c r="U49" t="str" cm="1">
        <f t="array" aca="1" ref="U49" ca="1">_FV(RTData[[#This Row],[Company Name]],"Exchange abbreviation",TRUE)</f>
        <v>OTCM</v>
      </c>
      <c r="V49" s="24">
        <f ca="1">IFERROR(RTData[[#This Row],[Volume]]/RTData[[#This Row],[Volume average]],1)</f>
        <v>7.2884126801939439E-3</v>
      </c>
      <c r="W49" s="24"/>
      <c r="X49" s="108">
        <f ca="1">_xlfn.XLOOKUP(RTData[[#This Row],[Ticker symbol]],[2]Sheet2!$B$2:$B$95,[2]Sheet2!$E$2:$E$95)</f>
        <v>36</v>
      </c>
      <c r="Y49" s="101">
        <f>_xlfn.LET(_xlpm.date,[2]Sheet2!F48,IF(_xlpm.date=0,"",_xlpm.date))</f>
        <v>45751</v>
      </c>
      <c r="Z49" s="101" t="str">
        <f>_xlfn.LET(_xlpm.date,[2]Sheet2!G48,IF(_xlpm.date=0,"",_xlpm.date))</f>
        <v/>
      </c>
      <c r="AA49" s="102">
        <f>[2]Sheet2!$H48</f>
        <v>2.7099999999999999E-2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1.0780508840017249</v>
      </c>
      <c r="C50" t="e" vm="49">
        <v>#VALUE!</v>
      </c>
      <c r="D50" s="17" t="str" cm="1">
        <f t="array" aca="1" ref="D50" ca="1">_FV(RTData[[#This Row],[Company Name]],"Currency")</f>
        <v>CHF</v>
      </c>
      <c r="E50" s="18" cm="1">
        <f t="array" aca="1" ref="E50" ca="1">_FV(RTData[[#This Row],[Company Name]],"Last trade time",TRUE)</f>
        <v>45946.652777777781</v>
      </c>
      <c r="F50" s="37" cm="1">
        <f t="array" aca="1" ref="F50" ca="1">_FV(RTData[[#This Row],[Company Name]],"Previous close",TRUE)</f>
        <v>60.2</v>
      </c>
      <c r="G50" s="37" cm="1">
        <f t="array" aca="1" ref="G50" ca="1">_FV(RTData[[#This Row],[Company Name]],"Open")</f>
        <v>60.5</v>
      </c>
      <c r="H50" s="37" cm="1">
        <f t="array" aca="1" ref="H50" ca="1">_FV(RTData[[#This Row],[Company Name]],"Price")</f>
        <v>59.8</v>
      </c>
      <c r="I50" s="38" cm="1">
        <f t="array" aca="1" ref="I50" ca="1">_FV(RTData[[#This Row],[Company Name]],"Low")</f>
        <v>59.6</v>
      </c>
      <c r="J50" s="38" cm="1">
        <f t="array" aca="1" ref="J50" ca="1">_FV(RTData[[#This Row],[Company Name]],"High")</f>
        <v>60.5</v>
      </c>
      <c r="K50" s="20" cm="1">
        <f t="array" aca="1" ref="K50" ca="1">IFERROR(_FV(RTData[[#This Row],[Company Name]],"P/E",TRUE),99)</f>
        <v>13.498900000000001</v>
      </c>
      <c r="L50" s="21" cm="1">
        <f t="array" aca="1" ref="L50" ca="1">_FV(RTData[[#This Row],[Company Name]],"Change")</f>
        <v>-0.4</v>
      </c>
      <c r="M50" s="39" cm="1">
        <f t="array" aca="1" ref="M50" ca="1">_FV(RTData[[#This Row],[Company Name]],"Change (%)",TRUE)</f>
        <v>-6.6449999999999999E-3</v>
      </c>
      <c r="N50" s="38" cm="1">
        <f t="array" aca="1" ref="N50" ca="1">_FV(RTData[[#This Row],[Company Name]],"52 week low",TRUE)</f>
        <v>51.1</v>
      </c>
      <c r="O50" s="38" cm="1">
        <f t="array" aca="1" ref="O50" ca="1">_FV(RTData[[#This Row],[Company Name]],"52 week high",TRUE)</f>
        <v>69.5</v>
      </c>
      <c r="P50" s="23" cm="1">
        <f t="array" aca="1" ref="P50" ca="1">_FV(RTData[[#This Row],[Company Name]],"Volume")</f>
        <v>21698</v>
      </c>
      <c r="Q50" s="23" cm="1">
        <f t="array" aca="1" ref="Q50" ca="1">_FV(RTData[[#This Row],[Company Name]],"Volume average",TRUE)</f>
        <v>36860</v>
      </c>
      <c r="R50" s="19" cm="1">
        <f t="array" aca="1" ref="R50" ca="1">_FV(RTData[[#This Row],[Company Name]],"Beta")</f>
        <v>1.0192000000000001</v>
      </c>
      <c r="T50" t="s">
        <v>20</v>
      </c>
      <c r="U50" t="str" cm="1">
        <f t="array" aca="1" ref="U50" ca="1">_FV(RTData[[#This Row],[Company Name]],"Exchange abbreviation",TRUE)</f>
        <v>XSWX</v>
      </c>
      <c r="V50" s="24">
        <f ca="1">IFERROR(RTData[[#This Row],[Volume]]/RTData[[#This Row],[Volume average]],1)</f>
        <v>0.58865979381443301</v>
      </c>
      <c r="W50" s="24"/>
      <c r="X50" s="108">
        <f ca="1">_xlfn.XLOOKUP(RTData[[#This Row],[Ticker symbol]],[2]Sheet2!$B$2:$B$95,[2]Sheet2!$E$2:$E$95)</f>
        <v>63.325000000000003</v>
      </c>
      <c r="Y50" s="101">
        <f>_xlfn.LET(_xlpm.date,[2]Sheet2!F49,IF(_xlpm.date=0,"",_xlpm.date))</f>
        <v>45751</v>
      </c>
      <c r="Z50" s="101" t="str">
        <f>_xlfn.LET(_xlpm.date,[2]Sheet2!G49,IF(_xlpm.date=0,"",_xlpm.date))</f>
        <v>Jul 24, 2025</v>
      </c>
      <c r="AA50" s="102">
        <f>[2]Sheet2!$H49</f>
        <v>4.8800003000000002E-2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3.8114754098360702E-2</v>
      </c>
      <c r="AF50" s="105" t="str">
        <f ca="1">TEXT(RTData[[#This Row],[1YT]],"#,#0.00")&amp;" &lt; "&amp;RTData[[#This Row],[Old1YT]]</f>
        <v>63.33 &lt; 61/57</v>
      </c>
    </row>
    <row r="51" spans="1:34" x14ac:dyDescent="0.3">
      <c r="A51" s="15" t="str" cm="1">
        <f t="array" aca="1" ref="A51" ca="1">_xlfn.SINGLE(RTData[suffix])&amp;_FV(RTData[[#This Row],[Company Name]],"Ticker symbol",TRUE)</f>
        <v>VTRS</v>
      </c>
      <c r="B51" s="15">
        <f ca="1">D99</f>
        <v>0.85675119945167921</v>
      </c>
      <c r="C51" t="e" vm="50">
        <v>#VALUE!</v>
      </c>
      <c r="D51" s="17" t="str" cm="1">
        <f t="array" aca="1" ref="D51" ca="1">_FV(RTData[[#This Row],[Company Name]],"Currency")</f>
        <v>USD</v>
      </c>
      <c r="E51" s="18" cm="1">
        <f t="array" aca="1" ref="E51" ca="1">_FV(RTData[[#This Row],[Company Name]],"Last trade time",TRUE)</f>
        <v>45946.692235555471</v>
      </c>
      <c r="F51" s="19" cm="1">
        <f t="array" aca="1" ref="F51" ca="1">_FV(RTData[[#This Row],[Company Name]],"Previous close",TRUE)</f>
        <v>9.98</v>
      </c>
      <c r="G51" s="19" cm="1">
        <f t="array" aca="1" ref="G51" ca="1">_FV(RTData[[#This Row],[Company Name]],"Open")</f>
        <v>10.08</v>
      </c>
      <c r="H51" s="19" cm="1">
        <f t="array" aca="1" ref="H51" ca="1">_FV(RTData[[#This Row],[Company Name]],"Price")</f>
        <v>10.095000000000001</v>
      </c>
      <c r="I51" s="19" cm="1">
        <f t="array" aca="1" ref="I51" ca="1">_FV(RTData[[#This Row],[Company Name]],"Low")</f>
        <v>10.0419</v>
      </c>
      <c r="J51" s="19" cm="1">
        <f t="array" aca="1" ref="J51" ca="1">_FV(RTData[[#This Row],[Company Name]],"High")</f>
        <v>10.199299999999999</v>
      </c>
      <c r="K51" s="20" cm="1">
        <f t="array" aca="1" ref="K51" ca="1">IFERROR(_FV(RTData[[#This Row],[Company Name]],"P/E",TRUE),99)</f>
        <v>0</v>
      </c>
      <c r="L51" s="21" cm="1">
        <f t="array" aca="1" ref="L51" ca="1">_FV(RTData[[#This Row],[Company Name]],"Change")</f>
        <v>0.115</v>
      </c>
      <c r="M51" s="22" cm="1">
        <f t="array" aca="1" ref="M51" ca="1">_FV(RTData[[#This Row],[Company Name]],"Change (%)",TRUE)</f>
        <v>1.1523E-2</v>
      </c>
      <c r="N51" s="19" cm="1">
        <f t="array" aca="1" ref="N51" ca="1">_FV(RTData[[#This Row],[Company Name]],"52 week low",TRUE)</f>
        <v>6.85</v>
      </c>
      <c r="O51" s="19" cm="1">
        <f t="array" aca="1" ref="O51" ca="1">_FV(RTData[[#This Row],[Company Name]],"52 week high",TRUE)</f>
        <v>13.55</v>
      </c>
      <c r="P51" s="23" cm="1">
        <f t="array" aca="1" ref="P51" ca="1">_FV(RTData[[#This Row],[Company Name]],"Volume")</f>
        <v>2240110</v>
      </c>
      <c r="Q51" s="23" cm="1">
        <f t="array" aca="1" ref="Q51" ca="1">_FV(RTData[[#This Row],[Company Name]],"Volume average",TRUE)</f>
        <v>10787470</v>
      </c>
      <c r="R51" s="19" cm="1">
        <f t="array" aca="1" ref="R51" ca="1">_FV(RTData[[#This Row],[Company Name]],"Beta")</f>
        <v>0.89259999999999995</v>
      </c>
      <c r="T51" t="s">
        <v>20</v>
      </c>
      <c r="U51" t="str" cm="1">
        <f t="array" aca="1" ref="U51" ca="1">_FV(RTData[[#This Row],[Company Name]],"Exchange abbreviation",TRUE)</f>
        <v>XNAS</v>
      </c>
      <c r="V51" s="24">
        <f ca="1">IFERROR(RTData[[#This Row],[Volume]]/RTData[[#This Row],[Volume average]],1)</f>
        <v>0.20765851492518636</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4.5700002000000003E-2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0.85675119945167921</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0.85675119945167921</v>
      </c>
      <c r="C53" t="e" vm="52">
        <v>#VALUE!</v>
      </c>
      <c r="D53" s="17" t="str" cm="1">
        <f t="array" aca="1" ref="D53" ca="1">_FV(RTData[[#This Row],[Company Name]],"Currency")</f>
        <v>USD</v>
      </c>
      <c r="E53" s="18" cm="1">
        <f t="array" aca="1" ref="E53" ca="1">_FV(RTData[[#This Row],[Company Name]],"Last trade time",TRUE)</f>
        <v>45946.692253900001</v>
      </c>
      <c r="F53" s="19" cm="1">
        <f t="array" aca="1" ref="F53" ca="1">_FV(RTData[[#This Row],[Company Name]],"Previous close",TRUE)</f>
        <v>111.61</v>
      </c>
      <c r="G53" s="19" cm="1">
        <f t="array" aca="1" ref="G53" ca="1">_FV(RTData[[#This Row],[Company Name]],"Open")</f>
        <v>111.85</v>
      </c>
      <c r="H53" s="19" cm="1">
        <f t="array" aca="1" ref="H53" ca="1">_FV(RTData[[#This Row],[Company Name]],"Price")</f>
        <v>111.2201</v>
      </c>
      <c r="I53" s="19" cm="1">
        <f t="array" aca="1" ref="I53" ca="1">_FV(RTData[[#This Row],[Company Name]],"Low")</f>
        <v>111.12</v>
      </c>
      <c r="J53" s="19" cm="1">
        <f t="array" aca="1" ref="J53" ca="1">_FV(RTData[[#This Row],[Company Name]],"High")</f>
        <v>112.19</v>
      </c>
      <c r="K53" s="20" cm="1">
        <f t="array" aca="1" ref="K53" ca="1">IFERROR(_FV(RTData[[#This Row],[Company Name]],"P/E",TRUE),99)</f>
        <v>15.781499999999999</v>
      </c>
      <c r="L53" s="21" cm="1">
        <f t="array" aca="1" ref="L53" ca="1">_FV(RTData[[#This Row],[Company Name]],"Change")</f>
        <v>-0.38990000000000002</v>
      </c>
      <c r="M53" s="22" cm="1">
        <f t="array" aca="1" ref="M53" ca="1">_FV(RTData[[#This Row],[Company Name]],"Change (%)",TRUE)</f>
        <v>-3.493E-3</v>
      </c>
      <c r="N53" s="19" cm="1">
        <f t="array" aca="1" ref="N53" ca="1">_FV(RTData[[#This Row],[Company Name]],"52 week low",TRUE)</f>
        <v>97.8</v>
      </c>
      <c r="O53" s="19" cm="1">
        <f t="array" aca="1" ref="O53" ca="1">_FV(RTData[[#This Row],[Company Name]],"52 week high",TRUE)</f>
        <v>123.21</v>
      </c>
      <c r="P53" s="23" cm="1">
        <f t="array" aca="1" ref="P53" ca="1">_FV(RTData[[#This Row],[Company Name]],"Volume")</f>
        <v>3261516</v>
      </c>
      <c r="Q53" s="23" cm="1">
        <f t="array" aca="1" ref="Q53" ca="1">_FV(RTData[[#This Row],[Company Name]],"Volume average",TRUE)</f>
        <v>15333339</v>
      </c>
      <c r="R53" s="19" cm="1">
        <f t="array" aca="1" ref="R53" ca="1">_FV(RTData[[#This Row],[Company Name]],"Beta")</f>
        <v>0.46949999999999997</v>
      </c>
      <c r="T53" t="s">
        <v>20</v>
      </c>
      <c r="U53" t="str" cm="1">
        <f t="array" aca="1" ref="U53" ca="1">_FV(RTData[[#This Row],[Company Name]],"Exchange abbreviation",TRUE)</f>
        <v>XNYS</v>
      </c>
      <c r="V53" s="24">
        <f ca="1">IFERROR(RTData[[#This Row],[Volume]]/RTData[[#This Row],[Volume average]],1)</f>
        <v>0.21270748660810276</v>
      </c>
      <c r="W53" s="24"/>
      <c r="X53" s="108">
        <f ca="1">_xlfn.XLOOKUP(RTData[[#This Row],[Ticker symbol]],[2]Sheet2!$B$2:$B$95,[2]Sheet2!$E$2:$E$95)</f>
        <v>124.79167</v>
      </c>
      <c r="Y53" s="101">
        <f>_xlfn.LET(_xlpm.date,[2]Sheet2!F52,IF(_xlpm.date=0,"",_xlpm.date))</f>
        <v>45884</v>
      </c>
      <c r="Z53" s="101" t="str">
        <f>_xlfn.LET(_xlpm.date,[2]Sheet2!G52,IF(_xlpm.date=0,"",_xlpm.date))</f>
        <v>Oct 31, 2025</v>
      </c>
      <c r="AA53" s="102">
        <f>[2]Sheet2!$H52</f>
        <v>3.6299999999999999E-2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-6.0869431065623113E-2</v>
      </c>
      <c r="AF53" s="105" t="str">
        <f ca="1">TEXT(RTData[[#This Row],[1YT]],"#,#0.00")&amp;" &lt; "&amp;RTData[[#This Row],[Old1YT]]</f>
        <v>124.79 &lt; 132.88</v>
      </c>
    </row>
    <row r="54" spans="1:34" x14ac:dyDescent="0.3">
      <c r="A54" s="15" t="str" cm="1">
        <f t="array" aca="1" ref="A54" ca="1">_xlfn.SINGLE(RTData[suffix])&amp;_FV(RTData[[#This Row],[Company Name]],"Ticker symbol",TRUE)</f>
        <v>XPER</v>
      </c>
      <c r="B54" s="15">
        <f ca="1">D99</f>
        <v>0.85675119945167921</v>
      </c>
      <c r="C54" t="e" vm="53">
        <v>#VALUE!</v>
      </c>
      <c r="D54" s="17" t="str" cm="1">
        <f t="array" aca="1" ref="D54" ca="1">_FV(RTData[[#This Row],[Company Name]],"Currency")</f>
        <v>USD</v>
      </c>
      <c r="E54" s="18" cm="1">
        <f t="array" aca="1" ref="E54" ca="1">_FV(RTData[[#This Row],[Company Name]],"Last trade time",TRUE)</f>
        <v>45946.691555508594</v>
      </c>
      <c r="F54" s="19" cm="1">
        <f t="array" aca="1" ref="F54" ca="1">_FV(RTData[[#This Row],[Company Name]],"Previous close",TRUE)</f>
        <v>6.76</v>
      </c>
      <c r="G54" s="19" cm="1">
        <f t="array" aca="1" ref="G54" ca="1">_FV(RTData[[#This Row],[Company Name]],"Open")</f>
        <v>6.87</v>
      </c>
      <c r="H54" s="19" cm="1">
        <f t="array" aca="1" ref="H54" ca="1">_FV(RTData[[#This Row],[Company Name]],"Price")</f>
        <v>6.7050000000000001</v>
      </c>
      <c r="I54" s="19" cm="1">
        <f t="array" aca="1" ref="I54" ca="1">_FV(RTData[[#This Row],[Company Name]],"Low")</f>
        <v>6.68</v>
      </c>
      <c r="J54" s="19" cm="1">
        <f t="array" aca="1" ref="J54" ca="1">_FV(RTData[[#This Row],[Company Name]],"High")</f>
        <v>6.9</v>
      </c>
      <c r="K54" s="20" cm="1">
        <f t="array" aca="1" ref="K54" ca="1">IFERROR(_FV(RTData[[#This Row],[Company Name]],"P/E",TRUE),99)</f>
        <v>0</v>
      </c>
      <c r="L54" s="21" cm="1">
        <f t="array" aca="1" ref="L54" ca="1">_FV(RTData[[#This Row],[Company Name]],"Change")</f>
        <v>-5.5E-2</v>
      </c>
      <c r="M54" s="22" cm="1">
        <f t="array" aca="1" ref="M54" ca="1">_FV(RTData[[#This Row],[Company Name]],"Change (%)",TRUE)</f>
        <v>-8.1359999999999991E-3</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197487</v>
      </c>
      <c r="Q54" s="23" cm="1">
        <f t="array" aca="1" ref="Q54" ca="1">_FV(RTData[[#This Row],[Company Name]],"Volume average",TRUE)</f>
        <v>502694</v>
      </c>
      <c r="R54" s="19" cm="1">
        <f t="array" aca="1" ref="R54" ca="1">_FV(RTData[[#This Row],[Company Name]],"Beta")</f>
        <v>1.1379999999999999</v>
      </c>
      <c r="T54" t="s">
        <v>20</v>
      </c>
      <c r="U54" t="str" cm="1">
        <f t="array" aca="1" ref="U54" ca="1">_FV(RTData[[#This Row],[Company Name]],"Exchange abbreviation",TRUE)</f>
        <v>XNYS</v>
      </c>
      <c r="V54" s="24">
        <f ca="1">IFERROR(RTData[[#This Row],[Volume]]/RTData[[#This Row],[Volume average]],1)</f>
        <v>0.39285728494869643</v>
      </c>
      <c r="W54" s="24"/>
      <c r="X54" s="108">
        <f ca="1">_xlfn.XLOOKUP(RTData[[#This Row],[Ticker symbol]],[2]Sheet2!$B$2:$B$95,[2]Sheet2!$E$2:$E$95)</f>
        <v>11</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-0.41333333333333333</v>
      </c>
      <c r="AF54" s="105" t="str">
        <f ca="1">TEXT(RTData[[#This Row],[1YT]],"#,#0.00")&amp;" &lt; "&amp;RTData[[#This Row],[Old1YT]]</f>
        <v>11.00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45946.666666666664</v>
      </c>
      <c r="F55" s="68" cm="1">
        <f t="array" aca="1" ref="F55" ca="1">_FV(RTData[[#This Row],[Company Name]],"Previous close",TRUE)</f>
        <v>0.83799999999999997</v>
      </c>
      <c r="G55" s="68" cm="1">
        <f t="array" aca="1" ref="G55" ca="1">_FV(RTData[[#This Row],[Company Name]],"Open")</f>
        <v>0.82</v>
      </c>
      <c r="H55" s="68" cm="1">
        <f t="array" aca="1" ref="H55" ca="1">_FV(RTData[[#This Row],[Company Name]],"Price")</f>
        <v>0.83</v>
      </c>
      <c r="I55" s="68" cm="1">
        <f t="array" aca="1" ref="I55" ca="1">_FV(RTData[[#This Row],[Company Name]],"Low")</f>
        <v>0.81</v>
      </c>
      <c r="J55" s="68" cm="1">
        <f t="array" aca="1" ref="J55" ca="1">_FV(RTData[[#This Row],[Company Name]],"High")</f>
        <v>0.83399999999999996</v>
      </c>
      <c r="K55" s="63" cm="1">
        <f t="array" aca="1" ref="K55" ca="1">IFERROR(_FV(RTData[[#This Row],[Company Name]],"P/E",TRUE),99)</f>
        <v>0</v>
      </c>
      <c r="L55" s="64" cm="1">
        <f t="array" aca="1" ref="L55" ca="1">_FV(RTData[[#This Row],[Company Name]],"Change")</f>
        <v>-8.0000000000000002E-3</v>
      </c>
      <c r="M55" s="65" cm="1">
        <f t="array" aca="1" ref="M55" ca="1">_FV(RTData[[#This Row],[Company Name]],"Change (%)",TRUE)</f>
        <v>-9.5469999999999999E-3</v>
      </c>
      <c r="N55" s="68" cm="1">
        <f t="array" aca="1" ref="N55" ca="1">_FV(RTData[[#This Row],[Company Name]],"52 week low",TRUE)</f>
        <v>0.65</v>
      </c>
      <c r="O55" s="68" cm="1">
        <f t="array" aca="1" ref="O55" ca="1">_FV(RTData[[#This Row],[Company Name]],"52 week high",TRUE)</f>
        <v>1.53</v>
      </c>
      <c r="P55" s="66" cm="1">
        <f t="array" aca="1" ref="P55" ca="1">_FV(RTData[[#This Row],[Company Name]],"Volume")</f>
        <v>1032</v>
      </c>
      <c r="Q55" s="66" cm="1">
        <f t="array" aca="1" ref="Q55" ca="1">_FV(RTData[[#This Row],[Company Name]],"Volume average",TRUE)</f>
        <v>2620</v>
      </c>
      <c r="R55" s="61" cm="1">
        <f t="array" aca="1" ref="R55" ca="1">_FV(RTData[[#This Row],[Company Name]],"Beta")</f>
        <v>1.0415000000000001</v>
      </c>
      <c r="S55" s="67" t="s">
        <v>23</v>
      </c>
      <c r="T55" s="67" t="s">
        <v>20</v>
      </c>
      <c r="U55" s="67" t="str" cm="1">
        <f t="array" aca="1" ref="U55" ca="1">_FV(RTData[[#This Row],[Company Name]],"Exchange abbreviation",TRUE)</f>
        <v>XPAR</v>
      </c>
      <c r="V55" s="94">
        <f ca="1">IFERROR(RTData[[#This Row],[Volume]]/RTData[[#This Row],[Volume average]],1)</f>
        <v>0.39389312977099239</v>
      </c>
      <c r="W55" s="94"/>
      <c r="X55" s="108">
        <f ca="1">_xlfn.XLOOKUP(RTData[[#This Row],[Ticker symbol]],[2]Sheet2!$B$2:$B$95,[2]Sheet2!$E$2:$E$95)</f>
        <v>1.5333300000000001</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0.85675119945167921</v>
      </c>
      <c r="C56" t="e" vm="15">
        <v>#VALUE!</v>
      </c>
      <c r="D56" s="61" t="str" cm="1">
        <f t="array" aca="1" ref="D56" ca="1">_FV(RTData[[#This Row],[Company Name]],"Currency")</f>
        <v>USD</v>
      </c>
      <c r="E56" s="62" cm="1">
        <f t="array" aca="1" ref="E56" ca="1">_FV(RTData[[#This Row],[Company Name]],"Last trade time",TRUE)</f>
        <v>45946.6922442125</v>
      </c>
      <c r="F56" s="61" cm="1">
        <f t="array" aca="1" ref="F56" ca="1">_FV(RTData[[#This Row],[Company Name]],"Previous close",TRUE)</f>
        <v>3.27</v>
      </c>
      <c r="G56" s="61" cm="1">
        <f t="array" aca="1" ref="G56" ca="1">_FV(RTData[[#This Row],[Company Name]],"Open")</f>
        <v>3.32</v>
      </c>
      <c r="H56" s="61" cm="1">
        <f t="array" aca="1" ref="H56" ca="1">_FV(RTData[[#This Row],[Company Name]],"Price")</f>
        <v>3.33</v>
      </c>
      <c r="I56" s="61" cm="1">
        <f t="array" aca="1" ref="I56" ca="1">_FV(RTData[[#This Row],[Company Name]],"Low")</f>
        <v>3.29</v>
      </c>
      <c r="J56" s="61" cm="1">
        <f t="array" aca="1" ref="J56" ca="1">_FV(RTData[[#This Row],[Company Name]],"High")</f>
        <v>3.5497000000000001</v>
      </c>
      <c r="K56" s="63" cm="1">
        <f t="array" aca="1" ref="K56" ca="1">IFERROR(_FV(RTData[[#This Row],[Company Name]],"P/E",TRUE),99)</f>
        <v>0</v>
      </c>
      <c r="L56" s="64" cm="1">
        <f t="array" aca="1" ref="L56" ca="1">_FV(RTData[[#This Row],[Company Name]],"Change")</f>
        <v>0.06</v>
      </c>
      <c r="M56" s="65" cm="1">
        <f t="array" aca="1" ref="M56" ca="1">_FV(RTData[[#This Row],[Company Name]],"Change (%)",TRUE)</f>
        <v>1.8349000000000001E-2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3347244</v>
      </c>
      <c r="Q56" s="66" cm="1">
        <f t="array" aca="1" ref="Q56" ca="1">_FV(RTData[[#This Row],[Company Name]],"Volume average",TRUE)</f>
        <v>4484637</v>
      </c>
      <c r="R56" s="61" cm="1">
        <f t="array" aca="1" ref="R56" ca="1">_FV(RTData[[#This Row],[Company Name]],"Beta")</f>
        <v>2.1697000000000002</v>
      </c>
      <c r="S56" s="67" t="s">
        <v>23</v>
      </c>
      <c r="T56" s="67" t="s">
        <v>24</v>
      </c>
      <c r="U56" s="67" t="str" cm="1">
        <f t="array" aca="1" ref="U56" ca="1">_FV(RTData[[#This Row],[Company Name]],"Exchange abbreviation",TRUE)</f>
        <v>XNYS</v>
      </c>
      <c r="V56" s="94">
        <f ca="1">IFERROR(RTData[[#This Row],[Volume]]/RTData[[#This Row],[Volume average]],1)</f>
        <v>0.74638014180411927</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45946.666666666664</v>
      </c>
      <c r="F57" s="68" cm="1">
        <f t="array" aca="1" ref="F57" ca="1">_FV(RTData[[#This Row],[Company Name]],"Previous close",TRUE)</f>
        <v>28.88</v>
      </c>
      <c r="G57" s="68" cm="1">
        <f t="array" aca="1" ref="G57" ca="1">_FV(RTData[[#This Row],[Company Name]],"Open")</f>
        <v>28.83</v>
      </c>
      <c r="H57" s="68" cm="1">
        <f t="array" aca="1" ref="H57" ca="1">_FV(RTData[[#This Row],[Company Name]],"Price")</f>
        <v>29.38</v>
      </c>
      <c r="I57" s="68" cm="1">
        <f t="array" aca="1" ref="I57" ca="1">_FV(RTData[[#This Row],[Company Name]],"Low")</f>
        <v>28.72</v>
      </c>
      <c r="J57" s="68" cm="1">
        <f t="array" aca="1" ref="J57" ca="1">_FV(RTData[[#This Row],[Company Name]],"High")</f>
        <v>29.44</v>
      </c>
      <c r="K57" s="63" cm="1">
        <f t="array" aca="1" ref="K57" ca="1">IFERROR(_FV(RTData[[#This Row],[Company Name]],"P/E",TRUE),99)</f>
        <v>33.758499999999998</v>
      </c>
      <c r="L57" s="64" cm="1">
        <f t="array" aca="1" ref="L57" ca="1">_FV(RTData[[#This Row],[Company Name]],"Change")</f>
        <v>0.5</v>
      </c>
      <c r="M57" s="65" cm="1">
        <f t="array" aca="1" ref="M57" ca="1">_FV(RTData[[#This Row],[Company Name]],"Change (%)",TRUE)</f>
        <v>1.7313000000000002E-2</v>
      </c>
      <c r="N57" s="68" cm="1">
        <f t="array" aca="1" ref="N57" ca="1">_FV(RTData[[#This Row],[Company Name]],"52 week low",TRUE)</f>
        <v>26.25</v>
      </c>
      <c r="O57" s="68" cm="1">
        <f t="array" aca="1" ref="O57" ca="1">_FV(RTData[[#This Row],[Company Name]],"52 week high",TRUE)</f>
        <v>41.17</v>
      </c>
      <c r="P57" s="66" cm="1">
        <f t="array" aca="1" ref="P57" ca="1">_FV(RTData[[#This Row],[Company Name]],"Volume")</f>
        <v>1427587</v>
      </c>
      <c r="Q57" s="66" cm="1">
        <f t="array" aca="1" ref="Q57" ca="1">_FV(RTData[[#This Row],[Company Name]],"Volume average",TRUE)</f>
        <v>1461880</v>
      </c>
      <c r="R57" s="61" cm="1">
        <f t="array" aca="1" ref="R57" ca="1">_FV(RTData[[#This Row],[Company Name]],"Beta")</f>
        <v>0.67320000000000002</v>
      </c>
      <c r="S57" s="67" t="s">
        <v>23</v>
      </c>
      <c r="T57" s="67" t="s">
        <v>24</v>
      </c>
      <c r="U57" s="67" t="str" cm="1">
        <f t="array" aca="1" ref="U57" ca="1">_FV(RTData[[#This Row],[Company Name]],"Exchange abbreviation",TRUE)</f>
        <v>XPAR</v>
      </c>
      <c r="V57" s="94">
        <f ca="1">IFERROR(RTData[[#This Row],[Volume]]/RTData[[#This Row],[Volume average]],1)</f>
        <v>0.9765418502202643</v>
      </c>
      <c r="W57" s="94"/>
      <c r="X57" s="108">
        <f ca="1">_xlfn.XLOOKUP(RTData[[#This Row],[Ticker symbol]],[2]Sheet2!$B$2:$B$95,[2]Sheet2!$E$2:$E$95)</f>
        <v>35.563890000000001</v>
      </c>
      <c r="Y57" s="101">
        <f>_xlfn.LET(_xlpm.date,[2]Sheet2!F56,IF(_xlpm.date=0,"",_xlpm.date))</f>
        <v>45803</v>
      </c>
      <c r="Z57" s="101" t="str">
        <f>_xlfn.LET(_xlpm.date,[2]Sheet2!G56,IF(_xlpm.date=0,"",_xlpm.date))</f>
        <v/>
      </c>
      <c r="AA57" s="102">
        <f>AA19</f>
        <v>9.7000000000000003E-3</v>
      </c>
      <c r="AB57" s="103">
        <f>AB19</f>
        <v>0</v>
      </c>
      <c r="AC57" s="104">
        <f>AC19</f>
        <v>3.0000000000000001E-3</v>
      </c>
      <c r="AD57" s="90" t="str">
        <f>AD19</f>
        <v>37.97/38.13/38.23</v>
      </c>
      <c r="AE57" s="105">
        <f ca="1">AE19</f>
        <v>3.042665262048986</v>
      </c>
      <c r="AF57" s="105" t="str">
        <f ca="1">TEXT(RTData[[#This Row],[1YT]],"#,#0.00")&amp;" &lt; "&amp;RTData[[#This Row],[Old1YT]]</f>
        <v>35.56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45946.673611111109</v>
      </c>
      <c r="F58" s="68" cm="1">
        <f t="array" aca="1" ref="F58" ca="1">_FV(RTData[[#This Row],[Company Name]],"Previous close",TRUE)</f>
        <v>16.2</v>
      </c>
      <c r="G58" s="68" cm="1">
        <f t="array" aca="1" ref="G58" ca="1">_FV(RTData[[#This Row],[Company Name]],"Open")</f>
        <v>16.239999999999998</v>
      </c>
      <c r="H58" s="68" cm="1">
        <f t="array" aca="1" ref="H58" ca="1">_FV(RTData[[#This Row],[Company Name]],"Price")</f>
        <v>16.27</v>
      </c>
      <c r="I58" s="68" cm="1">
        <f t="array" aca="1" ref="I58" ca="1">_FV(RTData[[#This Row],[Company Name]],"Low")</f>
        <v>16.13</v>
      </c>
      <c r="J58" s="68" cm="1">
        <f t="array" aca="1" ref="J58" ca="1">_FV(RTData[[#This Row],[Company Name]],"High")</f>
        <v>16.305</v>
      </c>
      <c r="K58" s="63" cm="1">
        <f t="array" aca="1" ref="K58" ca="1">IFERROR(_FV(RTData[[#This Row],[Company Name]],"P/E",TRUE),99)</f>
        <v>13.446300000000001</v>
      </c>
      <c r="L58" s="64" cm="1">
        <f t="array" aca="1" ref="L58" ca="1">_FV(RTData[[#This Row],[Company Name]],"Change")</f>
        <v>7.0000000000000007E-2</v>
      </c>
      <c r="M58" s="65" cm="1">
        <f t="array" aca="1" ref="M58" ca="1">_FV(RTData[[#This Row],[Company Name]],"Change (%)",TRUE)</f>
        <v>4.3210000000000002E-3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5764</v>
      </c>
      <c r="Q58" s="66" cm="1">
        <f t="array" aca="1" ref="Q58" ca="1">_FV(RTData[[#This Row],[Company Name]],"Volume average",TRUE)</f>
        <v>3019760</v>
      </c>
      <c r="R58" s="61" cm="1">
        <f t="array" aca="1" ref="R58" ca="1">_FV(RTData[[#This Row],[Company Name]],"Beta")</f>
        <v>0.72060000000000002</v>
      </c>
      <c r="S58" s="67" t="s">
        <v>23</v>
      </c>
      <c r="T58" s="67" t="s">
        <v>24</v>
      </c>
      <c r="U58" s="67" t="str" cm="1">
        <f t="array" aca="1" ref="U58" ca="1">_FV(RTData[[#This Row],[Company Name]],"Exchange abbreviation",TRUE)</f>
        <v>XFRA</v>
      </c>
      <c r="V58" s="94">
        <f ca="1">IFERROR(RTData[[#This Row],[Volume]]/RTData[[#This Row],[Volume average]],1)</f>
        <v>1.9087609611359844E-3</v>
      </c>
      <c r="W58" s="94"/>
      <c r="X58" s="108">
        <f ca="1">_xlfn.XLOOKUP(RTData[[#This Row],[Ticker symbol]],[2]Sheet2!$B$2:$B$95,[2]Sheet2!$E$2:$E$95)</f>
        <v>16.88824</v>
      </c>
      <c r="Y58" s="101">
        <f>_xlfn.LET(_xlpm.date,[2]Sheet2!F57,IF(_xlpm.date=0,"",_xlpm.date))</f>
        <v>45793</v>
      </c>
      <c r="Z58" s="101" t="str">
        <f>_xlfn.LET(_xlpm.date,[2]Sheet2!G57,IF(_xlpm.date=0,"",_xlpm.date))</f>
        <v/>
      </c>
      <c r="AA58" s="102">
        <f>[2]Sheet2!$H57</f>
        <v>3.6199997999999997E-2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0.14109729729729723</v>
      </c>
      <c r="AF58" s="105" t="str">
        <f ca="1">TEXT(RTData[[#This Row],[1YT]],"#,#0.00")&amp;" &lt; "&amp;RTData[[#This Row],[Old1YT]]</f>
        <v>16.89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45946.666666666664</v>
      </c>
      <c r="F59" s="68" cm="1">
        <f t="array" aca="1" ref="F59" ca="1">_FV(RTData[[#This Row],[Company Name]],"Previous close",TRUE)</f>
        <v>14.722</v>
      </c>
      <c r="G59" s="68" cm="1">
        <f t="array" aca="1" ref="G59" ca="1">_FV(RTData[[#This Row],[Company Name]],"Open")</f>
        <v>14.78</v>
      </c>
      <c r="H59" s="68" cm="1">
        <f t="array" aca="1" ref="H59" ca="1">_FV(RTData[[#This Row],[Company Name]],"Price")</f>
        <v>14.766</v>
      </c>
      <c r="I59" s="68" cm="1">
        <f t="array" aca="1" ref="I59" ca="1">_FV(RTData[[#This Row],[Company Name]],"Low")</f>
        <v>14.747999999999999</v>
      </c>
      <c r="J59" s="68" cm="1">
        <f t="array" aca="1" ref="J59" ca="1">_FV(RTData[[#This Row],[Company Name]],"High")</f>
        <v>14.846</v>
      </c>
      <c r="K59" s="63" cm="1">
        <f t="array" aca="1" ref="K59" ca="1">IFERROR(_FV(RTData[[#This Row],[Company Name]],"P/E",TRUE),99)</f>
        <v>18.4483</v>
      </c>
      <c r="L59" s="64" cm="1">
        <f t="array" aca="1" ref="L59" ca="1">_FV(RTData[[#This Row],[Company Name]],"Change")</f>
        <v>4.3999999999999997E-2</v>
      </c>
      <c r="M59" s="65" cm="1">
        <f t="array" aca="1" ref="M59" ca="1">_FV(RTData[[#This Row],[Company Name]],"Change (%)",TRUE)</f>
        <v>2.9889999999999999E-3</v>
      </c>
      <c r="N59" s="68" cm="1">
        <f t="array" aca="1" ref="N59" ca="1">_FV(RTData[[#This Row],[Company Name]],"52 week low",TRUE)</f>
        <v>11.01</v>
      </c>
      <c r="O59" s="68" cm="1">
        <f t="array" aca="1" ref="O59" ca="1">_FV(RTData[[#This Row],[Company Name]],"52 week high",TRUE)</f>
        <v>15.53</v>
      </c>
      <c r="P59" s="66" cm="1">
        <f t="array" aca="1" ref="P59" ca="1">_FV(RTData[[#This Row],[Company Name]],"Volume")</f>
        <v>6870097</v>
      </c>
      <c r="Q59" s="66" cm="1">
        <f t="array" aca="1" ref="Q59" ca="1">_FV(RTData[[#This Row],[Company Name]],"Volume average",TRUE)</f>
        <v>11073440</v>
      </c>
      <c r="R59" s="61" cm="1">
        <f t="array" aca="1" ref="R59" ca="1">_FV(RTData[[#This Row],[Company Name]],"Beta")</f>
        <v>1.0819000000000001</v>
      </c>
      <c r="S59" s="67" t="s">
        <v>23</v>
      </c>
      <c r="T59" s="67" t="s">
        <v>24</v>
      </c>
      <c r="U59" s="67" t="str" cm="1">
        <f t="array" aca="1" ref="U59" ca="1">_FV(RTData[[#This Row],[Company Name]],"Exchange abbreviation",TRUE)</f>
        <v>XMIL</v>
      </c>
      <c r="V59" s="94">
        <f ca="1">IFERROR(RTData[[#This Row],[Volume]]/RTData[[#This Row],[Volume average]],1)</f>
        <v>0.62041217543961047</v>
      </c>
      <c r="W59" s="94"/>
      <c r="X59" s="108">
        <f ca="1">_xlfn.XLOOKUP(RTData[[#This Row],[Ticker symbol]],[2]Sheet2!$B$2:$B$95,[2]Sheet2!$E$2:$E$95)</f>
        <v>15.5</v>
      </c>
      <c r="Y59" s="101">
        <f>_xlfn.LET(_xlpm.date,[2]Sheet2!F58,IF(_xlpm.date=0,"",_xlpm.date))</f>
        <v>45985</v>
      </c>
      <c r="Z59" s="101" t="str">
        <f>_xlfn.LET(_xlpm.date,[2]Sheet2!G58,IF(_xlpm.date=0,"",_xlpm.date))</f>
        <v/>
      </c>
      <c r="AA59" s="102">
        <f t="shared" ref="AA59:AD59" si="0">AA75</f>
        <v>7.1100003999999994E-2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5.3704962610469011E-2</v>
      </c>
      <c r="AF59" s="105" t="str">
        <f ca="1">TEXT(RTData[[#This Row],[1YT]],"#,#0.00")&amp;" &lt; "&amp;RTData[[#This Row],[Old1YT]]</f>
        <v>15.50 &lt; 14.71/14.81/16.46</v>
      </c>
    </row>
    <row r="60" spans="1:34" x14ac:dyDescent="0.3">
      <c r="A60" s="58" t="str" cm="1">
        <f t="array" aca="1" ref="A60" ca="1">_xlfn.SINGLE(RTData[suffix])&amp;_FV(RTData[[#This Row],[Company Name]],"Ticker symbol",TRUE)</f>
        <v>MVEEPIX</v>
      </c>
      <c r="B60" s="58">
        <f ca="1">D99</f>
        <v>0.85675119945167921</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0</v>
      </c>
      <c r="Y60" s="101">
        <f>_xlfn.LET(_xlpm.date,[2]Sheet2!F59,IF(_xlpm.date=0,"",_xlpm.date))</f>
        <v>45894</v>
      </c>
      <c r="Z60" s="101" t="str">
        <f>_xlfn.LET(_xlpm.date,[2]Sheet2!G59,IF(_xlpm.date=0,"",_xlpm.date))</f>
        <v>Aug 7,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45946.666666666664</v>
      </c>
      <c r="F61" s="68" cm="1">
        <f t="array" aca="1" ref="F61" ca="1">_FV(RTData[[#This Row],[Company Name]],"Previous close",TRUE)</f>
        <v>55.56</v>
      </c>
      <c r="G61" s="68" cm="1">
        <f t="array" aca="1" ref="G61" ca="1">_FV(RTData[[#This Row],[Company Name]],"Open")</f>
        <v>55.42</v>
      </c>
      <c r="H61" s="68" cm="1">
        <f t="array" aca="1" ref="H61" ca="1">_FV(RTData[[#This Row],[Company Name]],"Price")</f>
        <v>56.52</v>
      </c>
      <c r="I61" s="68" cm="1">
        <f t="array" aca="1" ref="I61" ca="1">_FV(RTData[[#This Row],[Company Name]],"Low")</f>
        <v>54.88</v>
      </c>
      <c r="J61" s="68" cm="1">
        <f t="array" aca="1" ref="J61" ca="1">_FV(RTData[[#This Row],[Company Name]],"High")</f>
        <v>56.74</v>
      </c>
      <c r="K61" s="63" cm="1">
        <f t="array" aca="1" ref="K61" ca="1">IFERROR(_FV(RTData[[#This Row],[Company Name]],"P/E",TRUE),99)</f>
        <v>9.4662000000000006</v>
      </c>
      <c r="L61" s="64" cm="1">
        <f t="array" aca="1" ref="L61" ca="1">_FV(RTData[[#This Row],[Company Name]],"Change")</f>
        <v>0.96</v>
      </c>
      <c r="M61" s="65" cm="1">
        <f t="array" aca="1" ref="M61" ca="1">_FV(RTData[[#This Row],[Company Name]],"Change (%)",TRUE)</f>
        <v>1.7278999999999999E-2</v>
      </c>
      <c r="N61" s="68" cm="1">
        <f t="array" aca="1" ref="N61" ca="1">_FV(RTData[[#This Row],[Company Name]],"52 week low",TRUE)</f>
        <v>22.87</v>
      </c>
      <c r="O61" s="68" cm="1">
        <f t="array" aca="1" ref="O61" ca="1">_FV(RTData[[#This Row],[Company Name]],"52 week high",TRUE)</f>
        <v>59.42</v>
      </c>
      <c r="P61" s="66" cm="1">
        <f t="array" aca="1" ref="P61" ca="1">_FV(RTData[[#This Row],[Company Name]],"Volume")</f>
        <v>2290116</v>
      </c>
      <c r="Q61" s="66" cm="1">
        <f t="array" aca="1" ref="Q61" ca="1">_FV(RTData[[#This Row],[Company Name]],"Volume average",TRUE)</f>
        <v>2105370</v>
      </c>
      <c r="R61" s="61" cm="1">
        <f t="array" aca="1" ref="R61" ca="1">_FV(RTData[[#This Row],[Company Name]],"Beta")</f>
        <v>1.5998000000000001</v>
      </c>
      <c r="S61" s="67" t="s">
        <v>23</v>
      </c>
      <c r="T61" s="67" t="s">
        <v>24</v>
      </c>
      <c r="U61" s="67" t="str" cm="1">
        <f t="array" aca="1" ref="U61" ca="1">_FV(RTData[[#This Row],[Company Name]],"Exchange abbreviation",TRUE)</f>
        <v>XPAR</v>
      </c>
      <c r="V61" s="94">
        <f ca="1">IFERROR(RTData[[#This Row],[Volume]]/RTData[[#This Row],[Volume average]],1)</f>
        <v>1.0877498966927428</v>
      </c>
      <c r="W61" s="94"/>
      <c r="X61" s="108">
        <f ca="1">_xlfn.XLOOKUP(RTData[[#This Row],[Ticker symbol]],[2]Sheet2!$B$2:$B$95,[2]Sheet2!$E$2:$E$95)</f>
        <v>61.800559999999997</v>
      </c>
      <c r="Y61" s="101">
        <f>_xlfn.LET(_xlpm.date,[2]Sheet2!F60,IF(_xlpm.date=0,"",_xlpm.date))</f>
        <v>45937</v>
      </c>
      <c r="Z61" s="101" t="str">
        <f>_xlfn.LET(_xlpm.date,[2]Sheet2!G60,IF(_xlpm.date=0,"",_xlpm.date))</f>
        <v>Oct 30, 2025</v>
      </c>
      <c r="AA61" s="102">
        <f t="shared" ref="AA61:AD61" si="1">AA78</f>
        <v>3.2099999999999997E-2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3.3972896101723174E-2</v>
      </c>
      <c r="AF61" s="105" t="str">
        <f ca="1">TEXT(RTData[[#This Row],[1YT]],"#,#0.00")&amp;" &lt; "&amp;RTData[[#This Row],[Old1YT]]</f>
        <v>61.80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45946.666666666664</v>
      </c>
      <c r="F62" s="68" cm="1">
        <f t="array" aca="1" ref="F62" ca="1">_FV(RTData[[#This Row],[Company Name]],"Previous close",TRUE)</f>
        <v>14.015000000000001</v>
      </c>
      <c r="G62" s="68" cm="1">
        <f t="array" aca="1" ref="G62" ca="1">_FV(RTData[[#This Row],[Company Name]],"Open")</f>
        <v>13.98</v>
      </c>
      <c r="H62" s="68" cm="1">
        <f t="array" aca="1" ref="H62" ca="1">_FV(RTData[[#This Row],[Company Name]],"Price")</f>
        <v>14.085000000000001</v>
      </c>
      <c r="I62" s="68" cm="1">
        <f t="array" aca="1" ref="I62" ca="1">_FV(RTData[[#This Row],[Company Name]],"Low")</f>
        <v>13.815</v>
      </c>
      <c r="J62" s="68" cm="1">
        <f t="array" aca="1" ref="J62" ca="1">_FV(RTData[[#This Row],[Company Name]],"High")</f>
        <v>14.135</v>
      </c>
      <c r="K62" s="63" cm="1">
        <f t="array" aca="1" ref="K62" ca="1">IFERROR(_FV(RTData[[#This Row],[Company Name]],"P/E",TRUE),99)</f>
        <v>44.488300000000002</v>
      </c>
      <c r="L62" s="64" cm="1">
        <f t="array" aca="1" ref="L62" ca="1">_FV(RTData[[#This Row],[Company Name]],"Change")</f>
        <v>7.0000000000000007E-2</v>
      </c>
      <c r="M62" s="65" cm="1">
        <f t="array" aca="1" ref="M62" ca="1">_FV(RTData[[#This Row],[Company Name]],"Change (%)",TRUE)</f>
        <v>4.9950000000000003E-3</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3147289</v>
      </c>
      <c r="Q62" s="66" cm="1">
        <f t="array" aca="1" ref="Q62" ca="1">_FV(RTData[[#This Row],[Company Name]],"Volume average",TRUE)</f>
        <v>3786590</v>
      </c>
      <c r="R62" s="61" cm="1">
        <f t="array" aca="1" ref="R62" ca="1">_FV(RTData[[#This Row],[Company Name]],"Beta")</f>
        <v>0.30769999999999997</v>
      </c>
      <c r="S62" s="67" t="s">
        <v>23</v>
      </c>
      <c r="T62" s="67" t="s">
        <v>24</v>
      </c>
      <c r="U62" s="67" t="str" cm="1">
        <f t="array" aca="1" ref="U62" ca="1">_FV(RTData[[#This Row],[Company Name]],"Exchange abbreviation",TRUE)</f>
        <v>XPAR</v>
      </c>
      <c r="V62" s="94">
        <f ca="1">IFERROR(RTData[[#This Row],[Volume]]/RTData[[#This Row],[Volume average]],1)</f>
        <v>0.83116709229148122</v>
      </c>
      <c r="W62" s="94"/>
      <c r="X62" s="108">
        <f ca="1">_xlfn.XLOOKUP(RTData[[#This Row],[Ticker symbol]],[2]Sheet2!$B$2:$B$95,[2]Sheet2!$E$2:$E$95)</f>
        <v>14.994440000000001</v>
      </c>
      <c r="Y62" s="101">
        <f>_xlfn.LET(_xlpm.date,[2]Sheet2!F61,IF(_xlpm.date=0,"",_xlpm.date))</f>
        <v>45993</v>
      </c>
      <c r="Z62" s="101" t="str">
        <f>_xlfn.LET(_xlpm.date,[2]Sheet2!G61,IF(_xlpm.date=0,"",_xlpm.date))</f>
        <v/>
      </c>
      <c r="AA62" s="102">
        <f t="shared" ref="AA62:AD62" si="2">AA86</f>
        <v>5.5E-2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1.1088334457181444E-2</v>
      </c>
      <c r="AF62" s="105" t="str">
        <f ca="1">TEXT(RTData[[#This Row],[1YT]],"#,#0.00")&amp;" &lt; "&amp;RTData[[#This Row],[Old1YT]]</f>
        <v>14.99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45946.681250000001</v>
      </c>
      <c r="F63" s="68" cm="1">
        <f t="array" aca="1" ref="F63" ca="1">_FV(RTData[[#This Row],[Company Name]],"Previous close",TRUE)</f>
        <v>40.770000000000003</v>
      </c>
      <c r="G63" s="68" cm="1">
        <f t="array" aca="1" ref="G63" ca="1">_FV(RTData[[#This Row],[Company Name]],"Open")</f>
        <v>40.85</v>
      </c>
      <c r="H63" s="68" cm="1">
        <f t="array" aca="1" ref="H63" ca="1">_FV(RTData[[#This Row],[Company Name]],"Price")</f>
        <v>41.47</v>
      </c>
      <c r="I63" s="68" cm="1">
        <f t="array" aca="1" ref="I63" ca="1">_FV(RTData[[#This Row],[Company Name]],"Low")</f>
        <v>40.85</v>
      </c>
      <c r="J63" s="68" cm="1">
        <f t="array" aca="1" ref="J63" ca="1">_FV(RTData[[#This Row],[Company Name]],"High")</f>
        <v>41.5</v>
      </c>
      <c r="K63" s="63" cm="1">
        <f t="array" aca="1" ref="K63" ca="1">IFERROR(_FV(RTData[[#This Row],[Company Name]],"P/E",TRUE),99)</f>
        <v>11.8825</v>
      </c>
      <c r="L63" s="64" cm="1">
        <f t="array" aca="1" ref="L63" ca="1">_FV(RTData[[#This Row],[Company Name]],"Change")</f>
        <v>0.7</v>
      </c>
      <c r="M63" s="65" cm="1">
        <f t="array" aca="1" ref="M63" ca="1">_FV(RTData[[#This Row],[Company Name]],"Change (%)",TRUE)</f>
        <v>1.7169E-2</v>
      </c>
      <c r="N63" s="68" cm="1">
        <f t="array" aca="1" ref="N63" ca="1">_FV(RTData[[#This Row],[Company Name]],"52 week low",TRUE)</f>
        <v>14.231</v>
      </c>
      <c r="O63" s="68" cm="1">
        <f t="array" aca="1" ref="O63" ca="1">_FV(RTData[[#This Row],[Company Name]],"52 week high",TRUE)</f>
        <v>44.03</v>
      </c>
      <c r="P63" s="66" cm="1">
        <f t="array" aca="1" ref="P63" ca="1">_FV(RTData[[#This Row],[Company Name]],"Volume")</f>
        <v>5885</v>
      </c>
      <c r="Q63" s="66" cm="1">
        <f t="array" aca="1" ref="Q63" ca="1">_FV(RTData[[#This Row],[Company Name]],"Volume average",TRUE)</f>
        <v>1950430</v>
      </c>
      <c r="R63" s="61" cm="1">
        <f t="array" aca="1" ref="R63" ca="1">_FV(RTData[[#This Row],[Company Name]],"Beta")</f>
        <v>0.51549999999999996</v>
      </c>
      <c r="S63" s="67" t="s">
        <v>23</v>
      </c>
      <c r="T63" s="67" t="s">
        <v>24</v>
      </c>
      <c r="U63" s="67" t="str" cm="1">
        <f t="array" aca="1" ref="U63" ca="1">_FV(RTData[[#This Row],[Company Name]],"Exchange abbreviation",TRUE)</f>
        <v>XFRA</v>
      </c>
      <c r="V63" s="94">
        <f ca="1">IFERROR(RTData[[#This Row],[Volume]]/RTData[[#This Row],[Volume average]],1)</f>
        <v>3.0172833682828915E-3</v>
      </c>
      <c r="W63" s="94"/>
      <c r="X63" s="108">
        <f ca="1">_xlfn.XLOOKUP(RTData[[#This Row],[Ticker symbol]],[2]Sheet2!$B$2:$B$95,[2]Sheet2!$E$2:$E$95)</f>
        <v>43.26</v>
      </c>
      <c r="Y63" s="101">
        <f>_xlfn.LET(_xlpm.date,[2]Sheet2!F62,IF(_xlpm.date=0,"",_xlpm.date))</f>
        <v>45779</v>
      </c>
      <c r="Z63" s="101" t="str">
        <f>_xlfn.LET(_xlpm.date,[2]Sheet2!G62,IF(_xlpm.date=0,"",_xlpm.date))</f>
        <v/>
      </c>
      <c r="AA63" s="102">
        <f>[2]Sheet2!$H62</f>
        <v>3.1400003000000003E-2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-2.5675675675675691E-2</v>
      </c>
      <c r="AF63" s="105" t="str">
        <f ca="1">TEXT(RTData[[#This Row],[1YT]],"#,#0.00")&amp;" &lt; "&amp;RTData[[#This Row],[Old1YT]]</f>
        <v>43.26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45946.65625</v>
      </c>
      <c r="F64" s="68" cm="1">
        <f t="array" aca="1" ref="F64" ca="1">_FV(RTData[[#This Row],[Company Name]],"Previous close",TRUE)</f>
        <v>234.2</v>
      </c>
      <c r="G64" s="68" cm="1">
        <f t="array" aca="1" ref="G64" ca="1">_FV(RTData[[#This Row],[Company Name]],"Open")</f>
        <v>231.2</v>
      </c>
      <c r="H64" s="68" cm="1">
        <f t="array" aca="1" ref="H64" ca="1">_FV(RTData[[#This Row],[Company Name]],"Price")</f>
        <v>233.2</v>
      </c>
      <c r="I64" s="68" cm="1">
        <f t="array" aca="1" ref="I64" ca="1">_FV(RTData[[#This Row],[Company Name]],"Low")</f>
        <v>230.35</v>
      </c>
      <c r="J64" s="68" cm="1">
        <f t="array" aca="1" ref="J64" ca="1">_FV(RTData[[#This Row],[Company Name]],"High")</f>
        <v>237.1</v>
      </c>
      <c r="K64" s="63" cm="1">
        <f t="array" aca="1" ref="K64" ca="1">IFERROR(_FV(RTData[[#This Row],[Company Name]],"P/E",TRUE),99)</f>
        <v>41.636899999999997</v>
      </c>
      <c r="L64" s="64" cm="1">
        <f t="array" aca="1" ref="L64" ca="1">_FV(RTData[[#This Row],[Company Name]],"Change")</f>
        <v>-1</v>
      </c>
      <c r="M64" s="65" cm="1">
        <f t="array" aca="1" ref="M64" ca="1">_FV(RTData[[#This Row],[Company Name]],"Change (%)",TRUE)</f>
        <v>-4.2699999999999995E-3</v>
      </c>
      <c r="N64" s="68" cm="1">
        <f t="array" aca="1" ref="N64" ca="1">_FV(RTData[[#This Row],[Company Name]],"52 week low",TRUE)</f>
        <v>208.7</v>
      </c>
      <c r="O64" s="68" cm="1">
        <f t="array" aca="1" ref="O64" ca="1">_FV(RTData[[#This Row],[Company Name]],"52 week high",TRUE)</f>
        <v>283.5</v>
      </c>
      <c r="P64" s="66" cm="1">
        <f t="array" aca="1" ref="P64" ca="1">_FV(RTData[[#This Row],[Company Name]],"Volume")</f>
        <v>1149922</v>
      </c>
      <c r="Q64" s="66" cm="1">
        <f t="array" aca="1" ref="Q64" ca="1">_FV(RTData[[#This Row],[Company Name]],"Volume average",TRUE)</f>
        <v>1126030</v>
      </c>
      <c r="R64" s="68" cm="1">
        <f t="array" aca="1" ref="R64" ca="1">_FV(RTData[[#This Row],[Company Name]],"Beta")</f>
        <v>0.99129999999999996</v>
      </c>
      <c r="S64" s="67" t="s">
        <v>23</v>
      </c>
      <c r="T64" s="67" t="s">
        <v>24</v>
      </c>
      <c r="U64" s="67" t="str" cm="1">
        <f t="array" aca="1" ref="U64" ca="1">_FV(RTData[[#This Row],[Company Name]],"Exchange abbreviation",TRUE)</f>
        <v>XETR</v>
      </c>
      <c r="V64" s="94">
        <f ca="1">IFERROR(RTData[[#This Row],[Volume]]/RTData[[#This Row],[Volume average]],1)</f>
        <v>1.0212179071605552</v>
      </c>
      <c r="W64" s="94"/>
      <c r="X64" s="108">
        <f ca="1">_xlfn.XLOOKUP(RTData[[#This Row],[Ticker symbol]],[2]Sheet2!$B$2:$B$95,[2]Sheet2!$E$2:$E$95)</f>
        <v>291.91037</v>
      </c>
      <c r="Y64" s="101">
        <f>_xlfn.LET(_xlpm.date,[2]Sheet2!F63,IF(_xlpm.date=0,"",_xlpm.date))</f>
        <v>45791</v>
      </c>
      <c r="Z64" s="101" t="str">
        <f>_xlfn.LET(_xlpm.date,[2]Sheet2!G63,IF(_xlpm.date=0,"",_xlpm.date))</f>
        <v/>
      </c>
      <c r="AA64" s="102">
        <f>[2]Sheet2!$H63</f>
        <v>1.0299999000000001E-2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-6.6543969045791837E-2</v>
      </c>
      <c r="AF64" s="105" t="str">
        <f ca="1">TEXT(RTData[[#This Row],[1YT]],"#,#0.00")&amp;" &lt; "&amp;RTData[[#This Row],[Old1YT]]</f>
        <v>291.91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45946.679861111108</v>
      </c>
      <c r="F65" s="68" cm="1">
        <f t="array" aca="1" ref="F65" ca="1">_FV(RTData[[#This Row],[Company Name]],"Previous close",TRUE)</f>
        <v>31.6</v>
      </c>
      <c r="G65" s="68" cm="1">
        <f t="array" aca="1" ref="G65" ca="1">_FV(RTData[[#This Row],[Company Name]],"Open")</f>
        <v>31.7</v>
      </c>
      <c r="H65" s="68" cm="1">
        <f t="array" aca="1" ref="H65" ca="1">_FV(RTData[[#This Row],[Company Name]],"Price")</f>
        <v>31.75</v>
      </c>
      <c r="I65" s="68" cm="1">
        <f t="array" aca="1" ref="I65" ca="1">_FV(RTData[[#This Row],[Company Name]],"Low")</f>
        <v>31.2</v>
      </c>
      <c r="J65" s="68" cm="1">
        <f t="array" aca="1" ref="J65" ca="1">_FV(RTData[[#This Row],[Company Name]],"High")</f>
        <v>31.75</v>
      </c>
      <c r="K65" s="63" cm="1">
        <f t="array" ref="K65">IFERROR(_FV(RTData[[#This Row],[Company Name]],"P/E",TRUE),99)</f>
        <v>99</v>
      </c>
      <c r="L65" s="64" cm="1">
        <f t="array" aca="1" ref="L65" ca="1">_FV(RTData[[#This Row],[Company Name]],"Change")</f>
        <v>0.15</v>
      </c>
      <c r="M65" s="65" cm="1">
        <f t="array" aca="1" ref="M65" ca="1">_FV(RTData[[#This Row],[Company Name]],"Change (%)",TRUE)</f>
        <v>4.7470000000000004E-3</v>
      </c>
      <c r="N65" s="68" cm="1">
        <f t="array" aca="1" ref="N65" ca="1">_FV(RTData[[#This Row],[Company Name]],"52 week low",TRUE)</f>
        <v>2.1</v>
      </c>
      <c r="O65" s="68" cm="1">
        <f t="array" aca="1" ref="O65" ca="1">_FV(RTData[[#This Row],[Company Name]],"52 week high",TRUE)</f>
        <v>73.5</v>
      </c>
      <c r="P65" s="66" cm="1">
        <f t="array" aca="1" ref="P65" ca="1">_FV(RTData[[#This Row],[Company Name]],"Volume")</f>
        <v>70</v>
      </c>
      <c r="Q65" s="66" cm="1">
        <f t="array" aca="1" ref="Q65" ca="1">_FV(RTData[[#This Row],[Company Name]],"Volume average",TRUE)</f>
        <v>5500</v>
      </c>
      <c r="R65" s="61" cm="1">
        <f t="array" aca="1" ref="R65" ca="1">_FV(RTData[[#This Row],[Company Name]],"Beta")</f>
        <v>1.0704</v>
      </c>
      <c r="S65" s="67" t="s">
        <v>23</v>
      </c>
      <c r="T65" s="67" t="s">
        <v>24</v>
      </c>
      <c r="U65" s="67" t="str" cm="1">
        <f t="array" aca="1" ref="U65" ca="1">_FV(RTData[[#This Row],[Company Name]],"Exchange abbreviation",TRUE)</f>
        <v>XFRA</v>
      </c>
      <c r="V65" s="94">
        <f ca="1">IFERROR(RTData[[#This Row],[Volume]]/RTData[[#This Row],[Volume average]],1)</f>
        <v>1.2727272727272728E-2</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0.85675119945167921</v>
      </c>
      <c r="C66" t="e" vm="1">
        <v>#VALUE!</v>
      </c>
      <c r="D66" s="17" t="str" cm="1">
        <f t="array" aca="1" ref="D66" ca="1">_FV(RTData[[#This Row],[Company Name]],"Currency")</f>
        <v>USD</v>
      </c>
      <c r="E66" s="18" cm="1">
        <f t="array" aca="1" ref="E66" ca="1">_FV(RTData[[#This Row],[Company Name]],"Last trade time",TRUE)</f>
        <v>45946.692287580467</v>
      </c>
      <c r="F66" s="19" cm="1">
        <f t="array" aca="1" ref="F66" ca="1">_FV(RTData[[#This Row],[Company Name]],"Previous close",TRUE)</f>
        <v>249.34</v>
      </c>
      <c r="G66" s="19" cm="1">
        <f t="array" aca="1" ref="G66" ca="1">_FV(RTData[[#This Row],[Company Name]],"Open")</f>
        <v>248.17</v>
      </c>
      <c r="H66" s="19" cm="1">
        <f t="array" aca="1" ref="H66" ca="1">_FV(RTData[[#This Row],[Company Name]],"Price")</f>
        <v>246.8</v>
      </c>
      <c r="I66" s="19" cm="1">
        <f t="array" aca="1" ref="I66" ca="1">_FV(RTData[[#This Row],[Company Name]],"Low")</f>
        <v>246.18</v>
      </c>
      <c r="J66" s="19" cm="1">
        <f t="array" aca="1" ref="J66" ca="1">_FV(RTData[[#This Row],[Company Name]],"High")</f>
        <v>249.04</v>
      </c>
      <c r="K66" s="20" cm="1">
        <f t="array" aca="1" ref="K66" ca="1">IFERROR(_FV(RTData[[#This Row],[Company Name]],"P/E",TRUE),99)</f>
        <v>34.04</v>
      </c>
      <c r="L66" s="21" cm="1">
        <f t="array" aca="1" ref="L66" ca="1">_FV(RTData[[#This Row],[Company Name]],"Change")</f>
        <v>-2.54</v>
      </c>
      <c r="M66" s="22" cm="1">
        <f t="array" aca="1" ref="M66" ca="1">_FV(RTData[[#This Row],[Company Name]],"Change (%)",TRUE)</f>
        <v>-1.0187E-2</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18430983</v>
      </c>
      <c r="Q66" s="23" cm="1">
        <f t="array" aca="1" ref="Q66" ca="1">_FV(RTData[[#This Row],[Company Name]],"Volume average",TRUE)</f>
        <v>52612446</v>
      </c>
      <c r="R66" s="19" cm="1">
        <f t="array" aca="1" ref="R66" ca="1">_FV(RTData[[#This Row],[Company Name]],"Beta")</f>
        <v>1.0864</v>
      </c>
      <c r="S66" t="s">
        <v>25</v>
      </c>
      <c r="T66" t="s">
        <v>26</v>
      </c>
      <c r="U66" t="str" cm="1">
        <f t="array" aca="1" ref="U66" ca="1">_FV(RTData[[#This Row],[Company Name]],"Exchange abbreviation",TRUE)</f>
        <v>XNAS</v>
      </c>
      <c r="V66" s="24">
        <f ca="1">IFERROR(RTData[[#This Row],[Volume]]/RTData[[#This Row],[Volume average]],1)</f>
        <v>0.35031602598366174</v>
      </c>
      <c r="W66" s="24"/>
      <c r="X66" s="108">
        <f ca="1">_xlfn.XLOOKUP(RTData[[#This Row],[Ticker symbol]],[2]Sheet2!$B$2:$B$95,[2]Sheet2!$E$2:$E$95)</f>
        <v>235.52553</v>
      </c>
      <c r="Y66" s="101">
        <f>_xlfn.LET(_xlpm.date,[2]Sheet2!F65,IF(_xlpm.date=0,"",_xlpm.date))</f>
        <v>45880</v>
      </c>
      <c r="Z66" s="101" t="str">
        <f>_xlfn.LET(_xlpm.date,[2]Sheet2!G65,IF(_xlpm.date=0,"",_xlpm.date))</f>
        <v>Oct 30, 2025</v>
      </c>
      <c r="AA66" s="102">
        <f>[2]Sheet2!$H65</f>
        <v>4.3E-3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0.13462534926293471</v>
      </c>
      <c r="AF66" s="105" t="str">
        <f ca="1">TEXT(RTData[[#This Row],[1YT]],"#,#0.00")&amp;" &lt; "&amp;RTData[[#This Row],[Old1YT]]</f>
        <v>235.53 &lt; 207.58</v>
      </c>
    </row>
    <row r="67" spans="1:32" x14ac:dyDescent="0.3">
      <c r="A67" s="40" t="str" cm="1">
        <f t="array" aca="1" ref="A67" ca="1">_xlfn.SINGLE(RTData[suffix])&amp;_FV(RTData[[#This Row],[Company Name]],"Ticker symbol",TRUE)</f>
        <v>SAFAMZN</v>
      </c>
      <c r="B67" s="40">
        <f ca="1">D99</f>
        <v>0.85675119945167921</v>
      </c>
      <c r="C67" t="e" vm="4">
        <v>#VALUE!</v>
      </c>
      <c r="D67" s="17" t="str" cm="1">
        <f t="array" aca="1" ref="D67" ca="1">_FV(RTData[[#This Row],[Company Name]],"Currency")</f>
        <v>USD</v>
      </c>
      <c r="E67" s="18" cm="1">
        <f t="array" aca="1" ref="E67" ca="1">_FV(RTData[[#This Row],[Company Name]],"Last trade time",TRUE)</f>
        <v>45946.692285485937</v>
      </c>
      <c r="F67" s="19" cm="1">
        <f t="array" aca="1" ref="F67" ca="1">_FV(RTData[[#This Row],[Company Name]],"Previous close",TRUE)</f>
        <v>215.57</v>
      </c>
      <c r="G67" s="19" cm="1">
        <f t="array" aca="1" ref="G67" ca="1">_FV(RTData[[#This Row],[Company Name]],"Open")</f>
        <v>215.59</v>
      </c>
      <c r="H67" s="19" cm="1">
        <f t="array" aca="1" ref="H67" ca="1">_FV(RTData[[#This Row],[Company Name]],"Price")</f>
        <v>214.958</v>
      </c>
      <c r="I67" s="19" cm="1">
        <f t="array" aca="1" ref="I67" ca="1">_FV(RTData[[#This Row],[Company Name]],"Low")</f>
        <v>214.38</v>
      </c>
      <c r="J67" s="19" cm="1">
        <f t="array" aca="1" ref="J67" ca="1">_FV(RTData[[#This Row],[Company Name]],"High")</f>
        <v>218.59</v>
      </c>
      <c r="K67" s="20" cm="1">
        <f t="array" aca="1" ref="K67" ca="1">IFERROR(_FV(RTData[[#This Row],[Company Name]],"P/E",TRUE),99)</f>
        <v>32.802</v>
      </c>
      <c r="L67" s="21" cm="1">
        <f t="array" aca="1" ref="L67" ca="1">_FV(RTData[[#This Row],[Company Name]],"Change")</f>
        <v>-0.61199999999999999</v>
      </c>
      <c r="M67" s="22" cm="1">
        <f t="array" aca="1" ref="M67" ca="1">_FV(RTData[[#This Row],[Company Name]],"Change (%)",TRUE)</f>
        <v>-2.8389999999999999E-3</v>
      </c>
      <c r="N67" s="19" cm="1">
        <f t="array" aca="1" ref="N67" ca="1">_FV(RTData[[#This Row],[Company Name]],"52 week low",TRUE)</f>
        <v>161.38</v>
      </c>
      <c r="O67" s="19" cm="1">
        <f t="array" aca="1" ref="O67" ca="1">_FV(RTData[[#This Row],[Company Name]],"52 week high",TRUE)</f>
        <v>242.52</v>
      </c>
      <c r="P67" s="23" cm="1">
        <f t="array" aca="1" ref="P67" ca="1">_FV(RTData[[#This Row],[Company Name]],"Volume")</f>
        <v>17530394</v>
      </c>
      <c r="Q67" s="23" cm="1">
        <f t="array" aca="1" ref="Q67" ca="1">_FV(RTData[[#This Row],[Company Name]],"Volume average",TRUE)</f>
        <v>47103929</v>
      </c>
      <c r="R67" s="19" cm="1">
        <f t="array" aca="1" ref="R67" ca="1">_FV(RTData[[#This Row],[Company Name]],"Beta")</f>
        <v>1.2847</v>
      </c>
      <c r="S67" t="s">
        <v>25</v>
      </c>
      <c r="T67" t="s">
        <v>26</v>
      </c>
      <c r="U67" t="str" cm="1">
        <f t="array" aca="1" ref="U67" ca="1">_FV(RTData[[#This Row],[Company Name]],"Exchange abbreviation",TRUE)</f>
        <v>XNAS</v>
      </c>
      <c r="V67" s="24">
        <f ca="1">IFERROR(RTData[[#This Row],[Volume]]/RTData[[#This Row],[Volume average]],1)</f>
        <v>0.37216415641251499</v>
      </c>
      <c r="W67" s="24"/>
      <c r="X67" s="108">
        <f ca="1">_xlfn.XLOOKUP(RTData[[#This Row],[Ticker symbol]],[2]Sheet2!$B$2:$B$95,[2]Sheet2!$E$2:$E$95)</f>
        <v>263.18033000000003</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0.15887419638925598</v>
      </c>
      <c r="AF67" s="105" t="str">
        <f ca="1">TEXT(RTData[[#This Row],[1YT]],"#,#0.00")&amp;" &lt; "&amp;RTData[[#This Row],[Old1YT]]</f>
        <v>263.18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45946.666666666664</v>
      </c>
      <c r="F68" s="28" cm="1">
        <f t="array" aca="1" ref="F68" ca="1">_FV(RTData[[#This Row],[Company Name]],"Previous close",TRUE)</f>
        <v>873</v>
      </c>
      <c r="G68" s="28" cm="1">
        <f t="array" aca="1" ref="G68" ca="1">_FV(RTData[[#This Row],[Company Name]],"Open")</f>
        <v>883.7</v>
      </c>
      <c r="H68" s="28" cm="1">
        <f t="array" aca="1" ref="H68" ca="1">_FV(RTData[[#This Row],[Company Name]],"Price")</f>
        <v>877.4</v>
      </c>
      <c r="I68" s="28" cm="1">
        <f t="array" aca="1" ref="I68" ca="1">_FV(RTData[[#This Row],[Company Name]],"Low")</f>
        <v>874</v>
      </c>
      <c r="J68" s="28" cm="1">
        <f t="array" aca="1" ref="J68" ca="1">_FV(RTData[[#This Row],[Company Name]],"High")</f>
        <v>900.5</v>
      </c>
      <c r="K68" s="20" cm="1">
        <f t="array" aca="1" ref="K68" ca="1">IFERROR(_FV(RTData[[#This Row],[Company Name]],"P/E",TRUE),99)</f>
        <v>33.689</v>
      </c>
      <c r="L68" s="21" cm="1">
        <f t="array" aca="1" ref="L68" ca="1">_FV(RTData[[#This Row],[Company Name]],"Change")</f>
        <v>4.4000000000000004</v>
      </c>
      <c r="M68" s="22" cm="1">
        <f t="array" aca="1" ref="M68" ca="1">_FV(RTData[[#This Row],[Company Name]],"Change (%)",TRUE)</f>
        <v>5.0400000000000002E-3</v>
      </c>
      <c r="N68" s="28" cm="1">
        <f t="array" aca="1" ref="N68" ca="1">_FV(RTData[[#This Row],[Company Name]],"52 week low",TRUE)</f>
        <v>508.4</v>
      </c>
      <c r="O68" s="28" cm="1">
        <f t="array" aca="1" ref="O68" ca="1">_FV(RTData[[#This Row],[Company Name]],"52 week high",TRUE)</f>
        <v>905.1</v>
      </c>
      <c r="P68" s="23" cm="1">
        <f t="array" aca="1" ref="P68" ca="1">_FV(RTData[[#This Row],[Company Name]],"Volume")</f>
        <v>703225</v>
      </c>
      <c r="Q68" s="23" cm="1">
        <f t="array" aca="1" ref="Q68" ca="1">_FV(RTData[[#This Row],[Company Name]],"Volume average",TRUE)</f>
        <v>804760</v>
      </c>
      <c r="R68" s="19" cm="1">
        <f t="array" aca="1" ref="R68" ca="1">_FV(RTData[[#This Row],[Company Name]],"Beta")</f>
        <v>1.9593</v>
      </c>
      <c r="S68" t="s">
        <v>25</v>
      </c>
      <c r="T68" t="s">
        <v>26</v>
      </c>
      <c r="U68" t="str" cm="1">
        <f t="array" aca="1" ref="U68" ca="1">_FV(RTData[[#This Row],[Company Name]],"Exchange abbreviation",TRUE)</f>
        <v>XAMS</v>
      </c>
      <c r="V68" s="24">
        <f ca="1">IFERROR(RTData[[#This Row],[Volume]]/RTData[[#This Row],[Volume average]],1)</f>
        <v>0.87383194989810631</v>
      </c>
      <c r="W68" s="24"/>
      <c r="X68" s="108">
        <f ca="1">_xlfn.XLOOKUP(RTData[[#This Row],[Ticker symbol]],[2]Sheet2!$B$2:$B$95,[2]Sheet2!$E$2:$E$95)</f>
        <v>758</v>
      </c>
      <c r="Y68" s="101">
        <f>_xlfn.LET(_xlpm.date,[2]Sheet2!F67,IF(_xlpm.date=0,"",_xlpm.date))</f>
        <v>45866</v>
      </c>
      <c r="Z68" s="101" t="str">
        <f>_xlfn.LET(_xlpm.date,[2]Sheet2!G67,IF(_xlpm.date=0,"",_xlpm.date))</f>
        <v/>
      </c>
      <c r="AA68" s="102">
        <f>[2]Sheet2!$H67</f>
        <v>9.7999999999999997E-3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-0.28035697332194054</v>
      </c>
      <c r="AF68" s="105" t="str">
        <f ca="1">TEXT(RTData[[#This Row],[1YT]],"#,#0.00")&amp;" &lt; "&amp;RTData[[#This Row],[Old1YT]]</f>
        <v>758.00 &lt; 1053.3</v>
      </c>
    </row>
    <row r="69" spans="1:32" ht="22" customHeight="1" x14ac:dyDescent="0.3">
      <c r="A69" s="40" t="str" cm="1">
        <f t="array" aca="1" ref="A69" ca="1">_xlfn.SINGLE(RTData[suffix])&amp;_FV(RTData[[#This Row],[Company Name]],"Ticker symbol",TRUE)</f>
        <v>SAFDDD</v>
      </c>
      <c r="B69" s="40">
        <f ca="1">D99</f>
        <v>0.85675119945167921</v>
      </c>
      <c r="C69" t="e" vm="15">
        <v>#VALUE!</v>
      </c>
      <c r="D69" s="17" t="str" cm="1">
        <f t="array" aca="1" ref="D69" ca="1">_FV(RTData[[#This Row],[Company Name]],"Currency")</f>
        <v>USD</v>
      </c>
      <c r="E69" s="18" cm="1">
        <f t="array" aca="1" ref="E69" ca="1">_FV(RTData[[#This Row],[Company Name]],"Last trade time",TRUE)</f>
        <v>45946.6922442125</v>
      </c>
      <c r="F69" s="19" cm="1">
        <f t="array" aca="1" ref="F69" ca="1">_FV(RTData[[#This Row],[Company Name]],"Previous close",TRUE)</f>
        <v>3.27</v>
      </c>
      <c r="G69" s="19" cm="1">
        <f t="array" aca="1" ref="G69" ca="1">_FV(RTData[[#This Row],[Company Name]],"Open")</f>
        <v>3.32</v>
      </c>
      <c r="H69" s="19" cm="1">
        <f t="array" aca="1" ref="H69" ca="1">_FV(RTData[[#This Row],[Company Name]],"Price")</f>
        <v>3.33</v>
      </c>
      <c r="I69" s="19" cm="1">
        <f t="array" aca="1" ref="I69" ca="1">_FV(RTData[[#This Row],[Company Name]],"Low")</f>
        <v>3.29</v>
      </c>
      <c r="J69" s="19" cm="1">
        <f t="array" aca="1" ref="J69" ca="1">_FV(RTData[[#This Row],[Company Name]],"High")</f>
        <v>3.5497000000000001</v>
      </c>
      <c r="K69" s="20" cm="1">
        <f t="array" aca="1" ref="K69" ca="1">IFERROR(_FV(RTData[[#This Row],[Company Name]],"P/E",TRUE),99)</f>
        <v>0</v>
      </c>
      <c r="L69" s="21" cm="1">
        <f t="array" aca="1" ref="L69" ca="1">_FV(RTData[[#This Row],[Company Name]],"Change")</f>
        <v>0.06</v>
      </c>
      <c r="M69" s="22" cm="1">
        <f t="array" aca="1" ref="M69" ca="1">_FV(RTData[[#This Row],[Company Name]],"Change (%)",TRUE)</f>
        <v>1.8349000000000001E-2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3347244</v>
      </c>
      <c r="Q69" s="23" cm="1">
        <f t="array" aca="1" ref="Q69" ca="1">_FV(RTData[[#This Row],[Company Name]],"Volume average",TRUE)</f>
        <v>4484637</v>
      </c>
      <c r="R69" s="19" cm="1">
        <f t="array" aca="1" ref="R69" ca="1">_FV(RTData[[#This Row],[Company Name]],"Beta")</f>
        <v>2.1697000000000002</v>
      </c>
      <c r="S69" t="s">
        <v>25</v>
      </c>
      <c r="T69" t="s">
        <v>26</v>
      </c>
      <c r="U69" t="str" cm="1">
        <f t="array" aca="1" ref="U69" ca="1">_FV(RTData[[#This Row],[Company Name]],"Exchange abbreviation",TRUE)</f>
        <v>XNYS</v>
      </c>
      <c r="V69" s="24">
        <f ca="1">IFERROR(RTData[[#This Row],[Volume]]/RTData[[#This Row],[Volume average]],1)</f>
        <v>0.74638014180411927</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0.85675119945167921</v>
      </c>
      <c r="C70" t="e" vm="16">
        <v>#VALUE!</v>
      </c>
      <c r="D70" s="17" t="str" cm="1">
        <f t="array" aca="1" ref="D70" ca="1">_FV(RTData[[#This Row],[Company Name]],"Currency")</f>
        <v>USD</v>
      </c>
      <c r="E70" s="18" cm="1">
        <f t="array" aca="1" ref="E70" ca="1">_FV(RTData[[#This Row],[Company Name]],"Last trade time",TRUE)</f>
        <v>45946.692288263279</v>
      </c>
      <c r="F70" s="19" cm="1">
        <f t="array" aca="1" ref="F70" ca="1">_FV(RTData[[#This Row],[Company Name]],"Previous close",TRUE)</f>
        <v>111.71</v>
      </c>
      <c r="G70" s="19" cm="1">
        <f t="array" aca="1" ref="G70" ca="1">_FV(RTData[[#This Row],[Company Name]],"Open")</f>
        <v>111.86499999999999</v>
      </c>
      <c r="H70" s="19" cm="1">
        <f t="array" aca="1" ref="H70" ca="1">_FV(RTData[[#This Row],[Company Name]],"Price")</f>
        <v>110.31</v>
      </c>
      <c r="I70" s="19" cm="1">
        <f t="array" aca="1" ref="I70" ca="1">_FV(RTData[[#This Row],[Company Name]],"Low")</f>
        <v>110.1</v>
      </c>
      <c r="J70" s="19" cm="1">
        <f t="array" aca="1" ref="J70" ca="1">_FV(RTData[[#This Row],[Company Name]],"High")</f>
        <v>112.08499999999999</v>
      </c>
      <c r="K70" s="20" cm="1">
        <f t="array" aca="1" ref="K70" ca="1">IFERROR(_FV(RTData[[#This Row],[Company Name]],"P/E",TRUE),99)</f>
        <v>17.2943</v>
      </c>
      <c r="L70" s="21" cm="1">
        <f t="array" aca="1" ref="L70" ca="1">_FV(RTData[[#This Row],[Company Name]],"Change")</f>
        <v>-1.4</v>
      </c>
      <c r="M70" s="22" cm="1">
        <f t="array" aca="1" ref="M70" ca="1">_FV(RTData[[#This Row],[Company Name]],"Change (%)",TRUE)</f>
        <v>-1.2532000000000001E-2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2331256</v>
      </c>
      <c r="Q70" s="23" cm="1">
        <f t="array" aca="1" ref="Q70" ca="1">_FV(RTData[[#This Row],[Company Name]],"Volume average",TRUE)</f>
        <v>8856647</v>
      </c>
      <c r="R70" s="19" cm="1">
        <f t="array" aca="1" ref="R70" ca="1">_FV(RTData[[#This Row],[Company Name]],"Beta")</f>
        <v>1.5543</v>
      </c>
      <c r="S70" t="s">
        <v>25</v>
      </c>
      <c r="T70" t="s">
        <v>26</v>
      </c>
      <c r="U70" t="str" cm="1">
        <f t="array" aca="1" ref="U70" ca="1">_FV(RTData[[#This Row],[Company Name]],"Exchange abbreviation",TRUE)</f>
        <v>XNYS</v>
      </c>
      <c r="V70" s="24">
        <f ca="1">IFERROR(RTData[[#This Row],[Volume]]/RTData[[#This Row],[Volume average]],1)</f>
        <v>0.26322105871443224</v>
      </c>
      <c r="W70" s="24"/>
      <c r="X70" s="108">
        <f ca="1">_xlfn.XLOOKUP(RTData[[#This Row],[Ticker symbol]],[2]Sheet2!$B$2:$B$95,[2]Sheet2!$E$2:$E$95)</f>
        <v>132.22594000000001</v>
      </c>
      <c r="Y70" s="101">
        <f>_xlfn.LET(_xlpm.date,[2]Sheet2!F69,IF(_xlpm.date=0,"",_xlpm.date))</f>
        <v>45832</v>
      </c>
      <c r="Z70" s="101" t="str">
        <f>_xlfn.LET(_xlpm.date,[2]Sheet2!G69,IF(_xlpm.date=0,"",_xlpm.date))</f>
        <v>Aug 6, 2025</v>
      </c>
      <c r="AA70" s="102">
        <f>[2]Sheet2!$H69</f>
        <v>8.5000000000000006E-3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5.9927374749499066E-2</v>
      </c>
      <c r="AF70" s="105" t="str">
        <f ca="1">TEXT(RTData[[#This Row],[1YT]],"#,#0.00")&amp;" &lt; "&amp;RTData[[#This Row],[Old1YT]]</f>
        <v>132.23 &lt; 124.75</v>
      </c>
    </row>
    <row r="71" spans="1:32" x14ac:dyDescent="0.3">
      <c r="A71" s="40" t="str" cm="1">
        <f t="array" aca="1" ref="A71" ca="1">_xlfn.SINGLE(RTData[suffix])&amp;_FV(RTData[[#This Row],[Company Name]],"Ticker symbol",TRUE)</f>
        <v>SAFGM</v>
      </c>
      <c r="B71" s="40">
        <f ca="1">D99</f>
        <v>0.85675119945167921</v>
      </c>
      <c r="C71" t="e" vm="22">
        <v>#VALUE!</v>
      </c>
      <c r="D71" s="17" t="str" cm="1">
        <f t="array" aca="1" ref="D71" ca="1">_FV(RTData[[#This Row],[Company Name]],"Currency")</f>
        <v>USD</v>
      </c>
      <c r="E71" s="18" cm="1">
        <f t="array" aca="1" ref="E71" ca="1">_FV(RTData[[#This Row],[Company Name]],"Last trade time",TRUE)</f>
        <v>45946.692254640628</v>
      </c>
      <c r="F71" s="19" cm="1">
        <f t="array" aca="1" ref="F71" ca="1">_FV(RTData[[#This Row],[Company Name]],"Previous close",TRUE)</f>
        <v>57.8</v>
      </c>
      <c r="G71" s="19" cm="1">
        <f t="array" aca="1" ref="G71" ca="1">_FV(RTData[[#This Row],[Company Name]],"Open")</f>
        <v>58</v>
      </c>
      <c r="H71" s="19" cm="1">
        <f t="array" aca="1" ref="H71" ca="1">_FV(RTData[[#This Row],[Company Name]],"Price")</f>
        <v>57.252800000000001</v>
      </c>
      <c r="I71" s="19" cm="1">
        <f t="array" aca="1" ref="I71" ca="1">_FV(RTData[[#This Row],[Company Name]],"Low")</f>
        <v>57.17</v>
      </c>
      <c r="J71" s="19" cm="1">
        <f t="array" aca="1" ref="J71" ca="1">_FV(RTData[[#This Row],[Company Name]],"High")</f>
        <v>58.4</v>
      </c>
      <c r="K71" s="20" cm="1">
        <f t="array" aca="1" ref="K71" ca="1">IFERROR(_FV(RTData[[#This Row],[Company Name]],"P/E",TRUE),99)</f>
        <v>8.2524999999999995</v>
      </c>
      <c r="L71" s="21" cm="1">
        <f t="array" aca="1" ref="L71" ca="1">_FV(RTData[[#This Row],[Company Name]],"Change")</f>
        <v>-0.54720000000000002</v>
      </c>
      <c r="M71" s="22" cm="1">
        <f t="array" aca="1" ref="M71" ca="1">_FV(RTData[[#This Row],[Company Name]],"Change (%)",TRUE)</f>
        <v>-9.4669999999999997E-3</v>
      </c>
      <c r="N71" s="19" cm="1">
        <f t="array" aca="1" ref="N71" ca="1">_FV(RTData[[#This Row],[Company Name]],"52 week low",TRUE)</f>
        <v>41.6</v>
      </c>
      <c r="O71" s="19" cm="1">
        <f t="array" aca="1" ref="O71" ca="1">_FV(RTData[[#This Row],[Company Name]],"52 week high",TRUE)</f>
        <v>62.14</v>
      </c>
      <c r="P71" s="23" cm="1">
        <f t="array" aca="1" ref="P71" ca="1">_FV(RTData[[#This Row],[Company Name]],"Volume")</f>
        <v>2144598</v>
      </c>
      <c r="Q71" s="23" cm="1">
        <f t="array" aca="1" ref="Q71" ca="1">_FV(RTData[[#This Row],[Company Name]],"Volume average",TRUE)</f>
        <v>7992644</v>
      </c>
      <c r="R71" s="19" cm="1">
        <f t="array" aca="1" ref="R71" ca="1">_FV(RTData[[#This Row],[Company Name]],"Beta")</f>
        <v>1.4107000000000001</v>
      </c>
      <c r="S71" t="s">
        <v>25</v>
      </c>
      <c r="T71" t="s">
        <v>26</v>
      </c>
      <c r="U71" t="str" cm="1">
        <f t="array" aca="1" ref="U71" ca="1">_FV(RTData[[#This Row],[Company Name]],"Exchange abbreviation",TRUE)</f>
        <v>XNYS</v>
      </c>
      <c r="V71" s="24">
        <f ca="1">IFERROR(RTData[[#This Row],[Volume]]/RTData[[#This Row],[Volume average]],1)</f>
        <v>0.26832147159312986</v>
      </c>
      <c r="W71" s="24"/>
      <c r="X71" s="108">
        <f ca="1">_xlfn.XLOOKUP(RTData[[#This Row],[Ticker symbol]],[2]Sheet2!$B$2:$B$95,[2]Sheet2!$E$2:$E$95)</f>
        <v>57.2</v>
      </c>
      <c r="Y71" s="101">
        <f>_xlfn.LET(_xlpm.date,[2]Sheet2!F70,IF(_xlpm.date=0,"",_xlpm.date))</f>
        <v>45905</v>
      </c>
      <c r="Z71" s="101" t="str">
        <f>_xlfn.LET(_xlpm.date,[2]Sheet2!G70,IF(_xlpm.date=0,"",_xlpm.date))</f>
        <v>Oct 21, 2025</v>
      </c>
      <c r="AA71" s="102">
        <f>[2]Sheet2!$H70</f>
        <v>1.0299999000000001E-2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5.80836108028117E-2</v>
      </c>
      <c r="AF71" s="105" t="str">
        <f ca="1">TEXT(RTData[[#This Row],[1YT]],"#,#0.00")&amp;" &lt; "&amp;RTData[[#This Row],[Old1YT]]</f>
        <v>57.20 &lt; 54.06</v>
      </c>
    </row>
    <row r="72" spans="1:32" x14ac:dyDescent="0.3">
      <c r="A72" s="40" t="str" cm="1">
        <f t="array" aca="1" ref="A72" ca="1">_xlfn.SINGLE(RTData[suffix])&amp;_FV(RTData[[#This Row],[Company Name]],"Ticker symbol",TRUE)</f>
        <v>SAFIAG</v>
      </c>
      <c r="B72" s="40">
        <f ca="1">D101/100</f>
        <v>1.1495574203931486E-2</v>
      </c>
      <c r="C72" t="e" vm="25">
        <v>#VALUE!</v>
      </c>
      <c r="D72" s="17" t="str" cm="1">
        <f t="array" aca="1" ref="D72" ca="1">_FV(RTData[[#This Row],[Company Name]],"Currency")</f>
        <v>GBp</v>
      </c>
      <c r="E72" s="18" cm="1">
        <f t="array" aca="1" ref="E72" ca="1">_FV(RTData[[#This Row],[Company Name]],"Last trade time",TRUE)</f>
        <v>45946.630590277775</v>
      </c>
      <c r="F72" s="19" cm="1">
        <f t="array" aca="1" ref="F72" ca="1">_FV(RTData[[#This Row],[Company Name]],"Previous close",TRUE)</f>
        <v>407.5</v>
      </c>
      <c r="G72" s="19" cm="1">
        <f t="array" aca="1" ref="G72" ca="1">_FV(RTData[[#This Row],[Company Name]],"Open")</f>
        <v>409.9</v>
      </c>
      <c r="H72" s="19" cm="1">
        <f t="array" aca="1" ref="H72" ca="1">_FV(RTData[[#This Row],[Company Name]],"Price")</f>
        <v>406.3</v>
      </c>
      <c r="I72" s="19" cm="1">
        <f t="array" aca="1" ref="I72" ca="1">_FV(RTData[[#This Row],[Company Name]],"Low")</f>
        <v>398.9</v>
      </c>
      <c r="J72" s="19" cm="1">
        <f t="array" aca="1" ref="J72" ca="1">_FV(RTData[[#This Row],[Company Name]],"High")</f>
        <v>411.9</v>
      </c>
      <c r="K72" s="20" cm="1">
        <f t="array" aca="1" ref="K72" ca="1">IFERROR(_FV(RTData[[#This Row],[Company Name]],"P/E",TRUE),99)</f>
        <v>7.3193999999999999</v>
      </c>
      <c r="L72" s="21" cm="1">
        <f t="array" aca="1" ref="L72" ca="1">_FV(RTData[[#This Row],[Company Name]],"Change")</f>
        <v>-1.2</v>
      </c>
      <c r="M72" s="22" cm="1">
        <f t="array" aca="1" ref="M72" ca="1">_FV(RTData[[#This Row],[Company Name]],"Change (%)",TRUE)</f>
        <v>-2.9449999999999997E-3</v>
      </c>
      <c r="N72" s="19" cm="1">
        <f t="array" aca="1" ref="N72" ca="1">_FV(RTData[[#This Row],[Company Name]],"52 week low",TRUE)</f>
        <v>195.738</v>
      </c>
      <c r="O72" s="19" cm="1">
        <f t="array" aca="1" ref="O72" ca="1">_FV(RTData[[#This Row],[Company Name]],"52 week high",TRUE)</f>
        <v>416</v>
      </c>
      <c r="P72" s="23" cm="1">
        <f t="array" aca="1" ref="P72" ca="1">_FV(RTData[[#This Row],[Company Name]],"Volume")</f>
        <v>9228028</v>
      </c>
      <c r="Q72" s="23" cm="1">
        <f t="array" aca="1" ref="Q72" ca="1">_FV(RTData[[#This Row],[Company Name]],"Volume average",TRUE)</f>
        <v>13923050</v>
      </c>
      <c r="R72" s="19" cm="1">
        <f t="array" aca="1" ref="R72" ca="1">_FV(RTData[[#This Row],[Company Name]],"Beta")</f>
        <v>2.8873000000000002</v>
      </c>
      <c r="S72" t="s">
        <v>25</v>
      </c>
      <c r="T72" t="s">
        <v>26</v>
      </c>
      <c r="U72" t="str" cm="1">
        <f t="array" aca="1" ref="U72" ca="1">_FV(RTData[[#This Row],[Company Name]],"Exchange abbreviation",TRUE)</f>
        <v>XLON</v>
      </c>
      <c r="V72" s="24">
        <f ca="1">IFERROR(RTData[[#This Row],[Volume]]/RTData[[#This Row],[Volume average]],1)</f>
        <v>0.66278782307037609</v>
      </c>
      <c r="W72" s="24"/>
      <c r="X72" s="108">
        <f ca="1">_xlfn.XLOOKUP(RTData[[#This Row],[Ticker symbol]],[2]Sheet2!$B$2:$B$95,[2]Sheet2!$E$2:$E$95)</f>
        <v>435.83789999999999</v>
      </c>
      <c r="Y72" s="101">
        <f>_xlfn.LET(_xlpm.date,[2]Sheet2!F71,IF(_xlpm.date=0,"",_xlpm.date))</f>
        <v>45834</v>
      </c>
      <c r="Z72" s="101" t="str">
        <f>_xlfn.LET(_xlpm.date,[2]Sheet2!G71,IF(_xlpm.date=0,"",_xlpm.date))</f>
        <v/>
      </c>
      <c r="AA72" s="102">
        <f>[2]Sheet2!$H71</f>
        <v>1.9599999999999999E-2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0.4837034893617021</v>
      </c>
      <c r="AF72" s="105" t="str">
        <f ca="1">TEXT(RTData[[#This Row],[1YT]],"#,#0.00")&amp;" &lt; "&amp;RTData[[#This Row],[Old1YT]]</f>
        <v>435.84 &lt; 293.75</v>
      </c>
    </row>
    <row r="73" spans="1:32" x14ac:dyDescent="0.3">
      <c r="A73" s="40" t="str" cm="1">
        <f t="array" aca="1" ref="A73" ca="1">_xlfn.SINGLE(RTData[suffix])&amp;_FV(RTData[[#This Row],[Company Name]],"Ticker symbol",TRUE)</f>
        <v>SAFMRNA</v>
      </c>
      <c r="B73" s="40">
        <f ca="1">D99</f>
        <v>0.85675119945167921</v>
      </c>
      <c r="C73" t="e" vm="29">
        <v>#VALUE!</v>
      </c>
      <c r="D73" s="17" t="str" cm="1">
        <f t="array" aca="1" ref="D73" ca="1">_FV(RTData[[#This Row],[Company Name]],"Currency")</f>
        <v>USD</v>
      </c>
      <c r="E73" s="18" cm="1">
        <f t="array" aca="1" ref="E73" ca="1">_FV(RTData[[#This Row],[Company Name]],"Last trade time",TRUE)</f>
        <v>45946.692222325779</v>
      </c>
      <c r="F73" s="19" cm="1">
        <f t="array" aca="1" ref="F73" ca="1">_FV(RTData[[#This Row],[Company Name]],"Previous close",TRUE)</f>
        <v>27.72</v>
      </c>
      <c r="G73" s="19" cm="1">
        <f t="array" aca="1" ref="G73" ca="1">_FV(RTData[[#This Row],[Company Name]],"Open")</f>
        <v>27.94</v>
      </c>
      <c r="H73" s="19" cm="1">
        <f t="array" aca="1" ref="H73" ca="1">_FV(RTData[[#This Row],[Company Name]],"Price")</f>
        <v>27.855</v>
      </c>
      <c r="I73" s="19" cm="1">
        <f t="array" aca="1" ref="I73" ca="1">_FV(RTData[[#This Row],[Company Name]],"Low")</f>
        <v>27.4</v>
      </c>
      <c r="J73" s="19" cm="1">
        <f t="array" aca="1" ref="J73" ca="1">_FV(RTData[[#This Row],[Company Name]],"High")</f>
        <v>28.48</v>
      </c>
      <c r="K73" s="20" cm="1">
        <f t="array" aca="1" ref="K73" ca="1">IFERROR(_FV(RTData[[#This Row],[Company Name]],"P/E",TRUE),99)</f>
        <v>0</v>
      </c>
      <c r="L73" s="21" cm="1">
        <f t="array" aca="1" ref="L73" ca="1">_FV(RTData[[#This Row],[Company Name]],"Change")</f>
        <v>0.13500000000000001</v>
      </c>
      <c r="M73" s="22" cm="1">
        <f t="array" aca="1" ref="M73" ca="1">_FV(RTData[[#This Row],[Company Name]],"Change (%)",TRUE)</f>
        <v>4.8700000000000002E-3</v>
      </c>
      <c r="N73" s="19" cm="1">
        <f t="array" aca="1" ref="N73" ca="1">_FV(RTData[[#This Row],[Company Name]],"52 week low",TRUE)</f>
        <v>23.15</v>
      </c>
      <c r="O73" s="19" cm="1">
        <f t="array" aca="1" ref="O73" ca="1">_FV(RTData[[#This Row],[Company Name]],"52 week high",TRUE)</f>
        <v>58.45</v>
      </c>
      <c r="P73" s="23" cm="1">
        <f t="array" aca="1" ref="P73" ca="1">_FV(RTData[[#This Row],[Company Name]],"Volume")</f>
        <v>3765208</v>
      </c>
      <c r="Q73" s="23" cm="1">
        <f t="array" aca="1" ref="Q73" ca="1">_FV(RTData[[#This Row],[Company Name]],"Volume average",TRUE)</f>
        <v>11519986</v>
      </c>
      <c r="R73" s="19" cm="1">
        <f t="array" aca="1" ref="R73" ca="1">_FV(RTData[[#This Row],[Company Name]],"Beta")</f>
        <v>2.0034000000000001</v>
      </c>
      <c r="S73" t="s">
        <v>25</v>
      </c>
      <c r="T73" t="s">
        <v>26</v>
      </c>
      <c r="U73" t="str" cm="1">
        <f t="array" aca="1" ref="U73" ca="1">_FV(RTData[[#This Row],[Company Name]],"Exchange abbreviation",TRUE)</f>
        <v>XNAS</v>
      </c>
      <c r="V73" s="24">
        <f ca="1">IFERROR(RTData[[#This Row],[Volume]]/RTData[[#This Row],[Volume average]],1)</f>
        <v>0.32684136942527536</v>
      </c>
      <c r="W73" s="24"/>
      <c r="X73" s="108">
        <f ca="1">_xlfn.XLOOKUP(RTData[[#This Row],[Ticker symbol]],[2]Sheet2!$B$2:$B$95,[2]Sheet2!$E$2:$E$95)</f>
        <v>44.25</v>
      </c>
      <c r="Y73" s="101" t="str">
        <f>_xlfn.LET(_xlpm.date,[2]Sheet2!F72,IF(_xlpm.date=0,"",_xlpm.date))</f>
        <v/>
      </c>
      <c r="Z73" s="101" t="str">
        <f>_xlfn.LET(_xlpm.date,[2]Sheet2!G72,IF(_xlpm.date=0,"",_xlpm.date))</f>
        <v>Aug 1,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-0.55674646899729541</v>
      </c>
      <c r="AF73" s="105" t="str">
        <f ca="1">TEXT(RTData[[#This Row],[1YT]],"#,#0.00")&amp;" &lt; "&amp;RTData[[#This Row],[Old1YT]]</f>
        <v>44.25 &lt; 99.83</v>
      </c>
    </row>
    <row r="74" spans="1:32" x14ac:dyDescent="0.3">
      <c r="A74" s="40" t="str" cm="1">
        <f t="array" aca="1" ref="A74" ca="1">_xlfn.SINGLE(RTData[suffix])&amp;_FV(RTData[[#This Row],[Company Name]],"Ticker symbol",TRUE)</f>
        <v>BLNK</v>
      </c>
      <c r="B74" s="40">
        <f ca="1">D99</f>
        <v>0.85675119945167921</v>
      </c>
      <c r="C74" t="e" vm="57">
        <v>#VALUE!</v>
      </c>
      <c r="D74" s="17" t="str" cm="1">
        <f t="array" aca="1" ref="D74" ca="1">_FV(RTData[[#This Row],[Company Name]],"Currency")</f>
        <v>USD</v>
      </c>
      <c r="E74" s="18" cm="1">
        <f t="array" aca="1" ref="E74" ca="1">_FV(RTData[[#This Row],[Company Name]],"Last trade time",TRUE)</f>
        <v>45946.692179953126</v>
      </c>
      <c r="F74" s="19" cm="1">
        <f t="array" aca="1" ref="F74" ca="1">_FV(RTData[[#This Row],[Company Name]],"Previous close",TRUE)</f>
        <v>2.16</v>
      </c>
      <c r="G74" s="19" cm="1">
        <f t="array" aca="1" ref="G74" ca="1">_FV(RTData[[#This Row],[Company Name]],"Open")</f>
        <v>2.13</v>
      </c>
      <c r="H74" s="19" cm="1">
        <f t="array" aca="1" ref="H74" ca="1">_FV(RTData[[#This Row],[Company Name]],"Price")</f>
        <v>1.9198999999999999</v>
      </c>
      <c r="I74" s="19" cm="1">
        <f t="array" aca="1" ref="I74" ca="1">_FV(RTData[[#This Row],[Company Name]],"Low")</f>
        <v>1.89</v>
      </c>
      <c r="J74" s="19" cm="1">
        <f t="array" aca="1" ref="J74" ca="1">_FV(RTData[[#This Row],[Company Name]],"High")</f>
        <v>2.15</v>
      </c>
      <c r="K74" s="20" cm="1">
        <f t="array" aca="1" ref="K74" ca="1">IFERROR(_FV(RTData[[#This Row],[Company Name]],"P/E",TRUE),99)</f>
        <v>0</v>
      </c>
      <c r="L74" s="21" cm="1">
        <f t="array" aca="1" ref="L74" ca="1">_FV(RTData[[#This Row],[Company Name]],"Change")</f>
        <v>-0.24010000000000001</v>
      </c>
      <c r="M74" s="22" cm="1">
        <f t="array" aca="1" ref="M74" ca="1">_FV(RTData[[#This Row],[Company Name]],"Change (%)",TRUE)</f>
        <v>-0.11115700000000001</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4781563</v>
      </c>
      <c r="Q74" s="23" cm="1">
        <f t="array" aca="1" ref="Q74" ca="1">_FV(RTData[[#This Row],[Company Name]],"Volume average",TRUE)</f>
        <v>6746214</v>
      </c>
      <c r="R74" s="19" cm="1">
        <f t="array" aca="1" ref="R74" ca="1">_FV(RTData[[#This Row],[Company Name]],"Beta")</f>
        <v>3.4558</v>
      </c>
      <c r="T74" t="s">
        <v>26</v>
      </c>
      <c r="U74" t="str" cm="1">
        <f t="array" aca="1" ref="U74" ca="1">_FV(RTData[[#This Row],[Company Name]],"Exchange abbreviation",TRUE)</f>
        <v>XNAS</v>
      </c>
      <c r="V74" s="24">
        <f ca="1">IFERROR(RTData[[#This Row],[Volume]]/RTData[[#This Row],[Volume average]],1)</f>
        <v>0.70877724898735794</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45946.666666666664</v>
      </c>
      <c r="F75" s="28" cm="1">
        <f t="array" aca="1" ref="F75" ca="1">_FV(RTData[[#This Row],[Company Name]],"Previous close",TRUE)</f>
        <v>14.722</v>
      </c>
      <c r="G75" s="28" cm="1">
        <f t="array" aca="1" ref="G75" ca="1">_FV(RTData[[#This Row],[Company Name]],"Open")</f>
        <v>14.78</v>
      </c>
      <c r="H75" s="28" cm="1">
        <f t="array" aca="1" ref="H75" ca="1">_FV(RTData[[#This Row],[Company Name]],"Price")</f>
        <v>14.766</v>
      </c>
      <c r="I75" s="28" cm="1">
        <f t="array" aca="1" ref="I75" ca="1">_FV(RTData[[#This Row],[Company Name]],"Low")</f>
        <v>14.747999999999999</v>
      </c>
      <c r="J75" s="28" cm="1">
        <f t="array" aca="1" ref="J75" ca="1">_FV(RTData[[#This Row],[Company Name]],"High")</f>
        <v>14.846</v>
      </c>
      <c r="K75" s="20" cm="1">
        <f t="array" aca="1" ref="K75" ca="1">IFERROR(_FV(RTData[[#This Row],[Company Name]],"P/E",TRUE),99)</f>
        <v>18.4483</v>
      </c>
      <c r="L75" s="21" cm="1">
        <f t="array" aca="1" ref="L75" ca="1">_FV(RTData[[#This Row],[Company Name]],"Change")</f>
        <v>4.3999999999999997E-2</v>
      </c>
      <c r="M75" s="22" cm="1">
        <f t="array" aca="1" ref="M75" ca="1">_FV(RTData[[#This Row],[Company Name]],"Change (%)",TRUE)</f>
        <v>2.9889999999999999E-3</v>
      </c>
      <c r="N75" s="28" cm="1">
        <f t="array" aca="1" ref="N75" ca="1">_FV(RTData[[#This Row],[Company Name]],"52 week low",TRUE)</f>
        <v>11.01</v>
      </c>
      <c r="O75" s="28" cm="1">
        <f t="array" aca="1" ref="O75" ca="1">_FV(RTData[[#This Row],[Company Name]],"52 week high",TRUE)</f>
        <v>15.53</v>
      </c>
      <c r="P75" s="23" cm="1">
        <f t="array" aca="1" ref="P75" ca="1">_FV(RTData[[#This Row],[Company Name]],"Volume")</f>
        <v>6870097</v>
      </c>
      <c r="Q75" s="23" cm="1">
        <f t="array" aca="1" ref="Q75" ca="1">_FV(RTData[[#This Row],[Company Name]],"Volume average",TRUE)</f>
        <v>11073440</v>
      </c>
      <c r="R75" s="19" cm="1">
        <f t="array" aca="1" ref="R75" ca="1">_FV(RTData[[#This Row],[Company Name]],"Beta")</f>
        <v>1.0819000000000001</v>
      </c>
      <c r="T75" t="s">
        <v>26</v>
      </c>
      <c r="U75" t="str" cm="1">
        <f t="array" aca="1" ref="U75" ca="1">_FV(RTData[[#This Row],[Company Name]],"Exchange abbreviation",TRUE)</f>
        <v>XMIL</v>
      </c>
      <c r="V75" s="24">
        <f ca="1">IFERROR(RTData[[#This Row],[Volume]]/RTData[[#This Row],[Volume average]],1)</f>
        <v>0.62041217543961047</v>
      </c>
      <c r="W75" s="24"/>
      <c r="X75" s="108">
        <f ca="1">_xlfn.XLOOKUP(RTData[[#This Row],[Ticker symbol]],[2]Sheet2!$B$2:$B$95,[2]Sheet2!$E$2:$E$95)</f>
        <v>15.5</v>
      </c>
      <c r="Y75" s="101">
        <f>_xlfn.LET(_xlpm.date,[2]Sheet2!F74,IF(_xlpm.date=0,"",_xlpm.date))</f>
        <v>45985</v>
      </c>
      <c r="Z75" s="101" t="str">
        <f>_xlfn.LET(_xlpm.date,[2]Sheet2!G74,IF(_xlpm.date=0,"",_xlpm.date))</f>
        <v/>
      </c>
      <c r="AA75" s="102">
        <f>[2]Sheet2!$H74</f>
        <v>7.1100003999999994E-2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5.3704962610469011E-2</v>
      </c>
      <c r="AF75" s="105" t="str">
        <f ca="1">TEXT(RTData[[#This Row],[1YT]],"#,#0.00")&amp;" &lt; "&amp;RTData[[#This Row],[Old1YT]]</f>
        <v>15.50 &lt; 14.71/14.81/16.46</v>
      </c>
    </row>
    <row r="76" spans="1:32" ht="22" customHeight="1" x14ac:dyDescent="0.3">
      <c r="A76" s="40" t="str" cm="1">
        <f t="array" aca="1" ref="A76" ca="1">_xlfn.SINGLE(RTData[suffix])&amp;_FV(RTData[[#This Row],[Company Name]],"Ticker symbol",TRUE)</f>
        <v>EZJ</v>
      </c>
      <c r="B76" s="15">
        <f ca="1">D101/100</f>
        <v>1.1495574203931486E-2</v>
      </c>
      <c r="C76" t="e" vm="58">
        <v>#VALUE!</v>
      </c>
      <c r="D76" s="17" t="str" cm="1">
        <f t="array" aca="1" ref="D76" ca="1">_FV(RTData[[#This Row],[Company Name]],"Currency")</f>
        <v>GBp</v>
      </c>
      <c r="E76" s="18" cm="1">
        <f t="array" aca="1" ref="E76" ca="1">_FV(RTData[[#This Row],[Company Name]],"Last trade time",TRUE)</f>
        <v>45946.633465242972</v>
      </c>
      <c r="F76" s="19" cm="1">
        <f t="array" aca="1" ref="F76" ca="1">_FV(RTData[[#This Row],[Company Name]],"Previous close",TRUE)</f>
        <v>480.7</v>
      </c>
      <c r="G76" s="19" cm="1">
        <f t="array" aca="1" ref="G76" ca="1">_FV(RTData[[#This Row],[Company Name]],"Open")</f>
        <v>481.3</v>
      </c>
      <c r="H76" s="19" cm="1">
        <f t="array" aca="1" ref="H76" ca="1">_FV(RTData[[#This Row],[Company Name]],"Price")</f>
        <v>489.7</v>
      </c>
      <c r="I76" s="19" cm="1">
        <f t="array" aca="1" ref="I76" ca="1">_FV(RTData[[#This Row],[Company Name]],"Low")</f>
        <v>478.2</v>
      </c>
      <c r="J76" s="19" cm="1">
        <f t="array" aca="1" ref="J76" ca="1">_FV(RTData[[#This Row],[Company Name]],"High")</f>
        <v>490.7</v>
      </c>
      <c r="K76" s="20" cm="1">
        <f t="array" aca="1" ref="K76" ca="1">IFERROR(_FV(RTData[[#This Row],[Company Name]],"P/E",TRUE),99)</f>
        <v>8.8225999999999996</v>
      </c>
      <c r="L76" s="21" cm="1">
        <f t="array" aca="1" ref="L76" ca="1">_FV(RTData[[#This Row],[Company Name]],"Change")</f>
        <v>9</v>
      </c>
      <c r="M76" s="22" cm="1">
        <f t="array" aca="1" ref="M76" ca="1">_FV(RTData[[#This Row],[Company Name]],"Change (%)",TRUE)</f>
        <v>1.8723E-2</v>
      </c>
      <c r="N76" s="19" cm="1">
        <f t="array" aca="1" ref="N76" ca="1">_FV(RTData[[#This Row],[Company Name]],"52 week low",TRUE)</f>
        <v>401.05</v>
      </c>
      <c r="O76" s="19" cm="1">
        <f t="array" aca="1" ref="O76" ca="1">_FV(RTData[[#This Row],[Company Name]],"52 week high",TRUE)</f>
        <v>594</v>
      </c>
      <c r="P76" s="23" cm="1">
        <f t="array" aca="1" ref="P76" ca="1">_FV(RTData[[#This Row],[Company Name]],"Volume")</f>
        <v>4201698</v>
      </c>
      <c r="Q76" s="23" cm="1">
        <f t="array" aca="1" ref="Q76" ca="1">_FV(RTData[[#This Row],[Company Name]],"Volume average",TRUE)</f>
        <v>3717970</v>
      </c>
      <c r="R76" s="19" cm="1">
        <f t="array" aca="1" ref="R76" ca="1">_FV(RTData[[#This Row],[Company Name]],"Beta")</f>
        <v>2.8778999999999999</v>
      </c>
      <c r="T76" t="s">
        <v>26</v>
      </c>
      <c r="U76" t="str" cm="1">
        <f t="array" aca="1" ref="U76" ca="1">_FV(RTData[[#This Row],[Company Name]],"Exchange abbreviation",TRUE)</f>
        <v>XLON</v>
      </c>
      <c r="V76" s="24">
        <f ca="1">IFERROR(RTData[[#This Row],[Volume]]/RTData[[#This Row],[Volume average]],1)</f>
        <v>1.1301054069828429</v>
      </c>
      <c r="W76" s="24"/>
      <c r="X76" s="108">
        <f ca="1">_xlfn.XLOOKUP(RTData[[#This Row],[Ticker symbol]],[2]Sheet2!$B$2:$B$95,[2]Sheet2!$E$2:$E$95)</f>
        <v>658.68399999999997</v>
      </c>
      <c r="Y76" s="101">
        <f>_xlfn.LET(_xlpm.date,[2]Sheet2!F75,IF(_xlpm.date=0,"",_xlpm.date))</f>
        <v>45708</v>
      </c>
      <c r="Z76" s="101" t="str">
        <f>_xlfn.LET(_xlpm.date,[2]Sheet2!G75,IF(_xlpm.date=0,"",_xlpm.date))</f>
        <v/>
      </c>
      <c r="AA76" s="102">
        <f>[2]Sheet2!$H75</f>
        <v>2.5799999000000001E-2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-5.5392866874130559E-2</v>
      </c>
      <c r="AF76" s="105" t="str">
        <f ca="1">TEXT(RTData[[#This Row],[1YT]],"#,#0.00")&amp;" &lt; "&amp;RTData[[#This Row],[Old1YT]]</f>
        <v>658.68 &lt; 697.31/682.94</v>
      </c>
    </row>
    <row r="77" spans="1:32" ht="22" customHeight="1" x14ac:dyDescent="0.3">
      <c r="A77" s="40" t="str" cm="1">
        <f t="array" aca="1" ref="A77" ca="1">_xlfn.SINGLE(RTData[suffix])&amp;_FV(RTData[[#This Row],[Company Name]],"Ticker symbol",TRUE)</f>
        <v>F</v>
      </c>
      <c r="B77" s="40">
        <f ca="1">D99</f>
        <v>0.85675119945167921</v>
      </c>
      <c r="C77" t="e" vm="59">
        <v>#VALUE!</v>
      </c>
      <c r="D77" s="17" t="str" cm="1">
        <f t="array" aca="1" ref="D77" ca="1">_FV(RTData[[#This Row],[Company Name]],"Currency")</f>
        <v>USD</v>
      </c>
      <c r="E77" s="18" cm="1">
        <f t="array" aca="1" ref="E77" ca="1">_FV(RTData[[#This Row],[Company Name]],"Last trade time",TRUE)</f>
        <v>45946.692274814064</v>
      </c>
      <c r="F77" s="19" cm="1">
        <f t="array" aca="1" ref="F77" ca="1">_FV(RTData[[#This Row],[Company Name]],"Previous close",TRUE)</f>
        <v>11.76</v>
      </c>
      <c r="G77" s="19" cm="1">
        <f t="array" aca="1" ref="G77" ca="1">_FV(RTData[[#This Row],[Company Name]],"Open")</f>
        <v>11.74</v>
      </c>
      <c r="H77" s="19" cm="1">
        <f t="array" aca="1" ref="H77" ca="1">_FV(RTData[[#This Row],[Company Name]],"Price")</f>
        <v>11.668900000000001</v>
      </c>
      <c r="I77" s="19" cm="1">
        <f t="array" aca="1" ref="I77" ca="1">_FV(RTData[[#This Row],[Company Name]],"Low")</f>
        <v>11.64</v>
      </c>
      <c r="J77" s="19" cm="1">
        <f t="array" aca="1" ref="J77" ca="1">_FV(RTData[[#This Row],[Company Name]],"High")</f>
        <v>11.77</v>
      </c>
      <c r="K77" s="20" cm="1">
        <f t="array" aca="1" ref="K77" ca="1">IFERROR(_FV(RTData[[#This Row],[Company Name]],"P/E",TRUE),99)</f>
        <v>14.921900000000001</v>
      </c>
      <c r="L77" s="21" cm="1">
        <f t="array" aca="1" ref="L77" ca="1">_FV(RTData[[#This Row],[Company Name]],"Change")</f>
        <v>-9.11E-2</v>
      </c>
      <c r="M77" s="22" cm="1">
        <f t="array" aca="1" ref="M77" ca="1">_FV(RTData[[#This Row],[Company Name]],"Change (%)",TRUE)</f>
        <v>-7.7470000000000004E-3</v>
      </c>
      <c r="N77" s="19" cm="1">
        <f t="array" aca="1" ref="N77" ca="1">_FV(RTData[[#This Row],[Company Name]],"52 week low",TRUE)</f>
        <v>8.4405999999999999</v>
      </c>
      <c r="O77" s="19" cm="1">
        <f t="array" aca="1" ref="O77" ca="1">_FV(RTData[[#This Row],[Company Name]],"52 week high",TRUE)</f>
        <v>12.8</v>
      </c>
      <c r="P77" s="23" cm="1">
        <f t="array" aca="1" ref="P77" ca="1">_FV(RTData[[#This Row],[Company Name]],"Volume")</f>
        <v>51836837</v>
      </c>
      <c r="Q77" s="23" cm="1">
        <f t="array" aca="1" ref="Q77" ca="1">_FV(RTData[[#This Row],[Company Name]],"Volume average",TRUE)</f>
        <v>76342207</v>
      </c>
      <c r="R77" s="19" cm="1">
        <f t="array" aca="1" ref="R77" ca="1">_FV(RTData[[#This Row],[Company Name]],"Beta")</f>
        <v>1.6032999999999999</v>
      </c>
      <c r="T77" t="s">
        <v>26</v>
      </c>
      <c r="U77" t="str" cm="1">
        <f t="array" aca="1" ref="U77" ca="1">_FV(RTData[[#This Row],[Company Name]],"Exchange abbreviation",TRUE)</f>
        <v>XNYS</v>
      </c>
      <c r="V77" s="24">
        <f ca="1">IFERROR(RTData[[#This Row],[Volume]]/RTData[[#This Row],[Volume average]],1)</f>
        <v>0.67900626713608114</v>
      </c>
      <c r="W77" s="24"/>
      <c r="X77" s="108">
        <f ca="1">_xlfn.XLOOKUP(RTData[[#This Row],[Ticker symbol]],[2]Sheet2!$B$2:$B$95,[2]Sheet2!$E$2:$E$95)</f>
        <v>10.8</v>
      </c>
      <c r="Y77" s="101">
        <f>_xlfn.LET(_xlpm.date,[2]Sheet2!F76,IF(_xlpm.date=0,"",_xlpm.date))</f>
        <v>45880</v>
      </c>
      <c r="Z77" s="101" t="str">
        <f>_xlfn.LET(_xlpm.date,[2]Sheet2!G76,IF(_xlpm.date=0,"",_xlpm.date))</f>
        <v>Oct 29, 2025</v>
      </c>
      <c r="AA77" s="102">
        <f>[2]Sheet2!$H76</f>
        <v>5.11E-2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4.146576663452281E-2</v>
      </c>
      <c r="AF77" s="105" t="str">
        <f ca="1">TEXT(RTData[[#This Row],[1YT]],"#,#0.00")&amp;" &lt; "&amp;RTData[[#This Row],[Old1YT]]</f>
        <v>10.80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45946.666666666664</v>
      </c>
      <c r="F78" s="28" cm="1">
        <f t="array" aca="1" ref="F78" ca="1">_FV(RTData[[#This Row],[Company Name]],"Previous close",TRUE)</f>
        <v>55.56</v>
      </c>
      <c r="G78" s="28" cm="1">
        <f t="array" aca="1" ref="G78" ca="1">_FV(RTData[[#This Row],[Company Name]],"Open")</f>
        <v>55.42</v>
      </c>
      <c r="H78" s="28" cm="1">
        <f t="array" aca="1" ref="H78" ca="1">_FV(RTData[[#This Row],[Company Name]],"Price")</f>
        <v>56.52</v>
      </c>
      <c r="I78" s="28" cm="1">
        <f t="array" aca="1" ref="I78" ca="1">_FV(RTData[[#This Row],[Company Name]],"Low")</f>
        <v>54.88</v>
      </c>
      <c r="J78" s="28" cm="1">
        <f t="array" aca="1" ref="J78" ca="1">_FV(RTData[[#This Row],[Company Name]],"High")</f>
        <v>56.74</v>
      </c>
      <c r="K78" s="20" cm="1">
        <f t="array" aca="1" ref="K78" ca="1">IFERROR(_FV(RTData[[#This Row],[Company Name]],"P/E",TRUE),99)</f>
        <v>9.4662000000000006</v>
      </c>
      <c r="L78" s="21" cm="1">
        <f t="array" aca="1" ref="L78" ca="1">_FV(RTData[[#This Row],[Company Name]],"Change")</f>
        <v>0.96</v>
      </c>
      <c r="M78" s="22" cm="1">
        <f t="array" aca="1" ref="M78" ca="1">_FV(RTData[[#This Row],[Company Name]],"Change (%)",TRUE)</f>
        <v>1.7278999999999999E-2</v>
      </c>
      <c r="N78" s="28" cm="1">
        <f t="array" aca="1" ref="N78" ca="1">_FV(RTData[[#This Row],[Company Name]],"52 week low",TRUE)</f>
        <v>22.87</v>
      </c>
      <c r="O78" s="28" cm="1">
        <f t="array" aca="1" ref="O78" ca="1">_FV(RTData[[#This Row],[Company Name]],"52 week high",TRUE)</f>
        <v>59.42</v>
      </c>
      <c r="P78" s="23" cm="1">
        <f t="array" aca="1" ref="P78" ca="1">_FV(RTData[[#This Row],[Company Name]],"Volume")</f>
        <v>2290116</v>
      </c>
      <c r="Q78" s="23" cm="1">
        <f t="array" aca="1" ref="Q78" ca="1">_FV(RTData[[#This Row],[Company Name]],"Volume average",TRUE)</f>
        <v>2105370</v>
      </c>
      <c r="R78" s="19" cm="1">
        <f t="array" aca="1" ref="R78" ca="1">_FV(RTData[[#This Row],[Company Name]],"Beta")</f>
        <v>1.5998000000000001</v>
      </c>
      <c r="T78" t="s">
        <v>26</v>
      </c>
      <c r="U78" t="str" cm="1">
        <f t="array" aca="1" ref="U78" ca="1">_FV(RTData[[#This Row],[Company Name]],"Exchange abbreviation",TRUE)</f>
        <v>XPAR</v>
      </c>
      <c r="V78" s="24">
        <f ca="1">IFERROR(RTData[[#This Row],[Volume]]/RTData[[#This Row],[Volume average]],1)</f>
        <v>1.0877498966927428</v>
      </c>
      <c r="W78" s="24"/>
      <c r="X78" s="108">
        <f ca="1">_xlfn.XLOOKUP(RTData[[#This Row],[Ticker symbol]],[2]Sheet2!$B$2:$B$95,[2]Sheet2!$E$2:$E$95)</f>
        <v>61.800559999999997</v>
      </c>
      <c r="Y78" s="101">
        <f>_xlfn.LET(_xlpm.date,[2]Sheet2!F77,IF(_xlpm.date=0,"",_xlpm.date))</f>
        <v>45937</v>
      </c>
      <c r="Z78" s="101" t="str">
        <f>_xlfn.LET(_xlpm.date,[2]Sheet2!G77,IF(_xlpm.date=0,"",_xlpm.date))</f>
        <v>Oct 30, 2025</v>
      </c>
      <c r="AA78" s="102">
        <f>[2]Sheet2!$H77</f>
        <v>3.2099999999999997E-2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3.3972896101723174E-2</v>
      </c>
      <c r="AF78" s="105" t="str">
        <f ca="1">TEXT(RTData[[#This Row],[1YT]],"#,#0.00")&amp;" &lt; "&amp;RTData[[#This Row],[Old1YT]]</f>
        <v>61.80 &lt; 59.77/51.92/30.4</v>
      </c>
    </row>
    <row r="79" spans="1:32" ht="22" customHeight="1" x14ac:dyDescent="0.3">
      <c r="A79" s="40" t="str" cm="1">
        <f t="array" aca="1" ref="A79" ca="1">_xlfn.SINGLE(RTData[suffix])&amp;_FV(RTData[[#This Row],[Company Name]],"Ticker symbol",TRUE)</f>
        <v>GNRC</v>
      </c>
      <c r="B79" s="40">
        <f ca="1">D99</f>
        <v>0.85675119945167921</v>
      </c>
      <c r="C79" t="e" vm="60">
        <v>#VALUE!</v>
      </c>
      <c r="D79" s="17" t="str" cm="1">
        <f t="array" aca="1" ref="D79" ca="1">_FV(RTData[[#This Row],[Company Name]],"Currency")</f>
        <v>USD</v>
      </c>
      <c r="E79" s="18" cm="1">
        <f t="array" aca="1" ref="E79" ca="1">_FV(RTData[[#This Row],[Company Name]],"Last trade time",TRUE)</f>
        <v>45946.692223599217</v>
      </c>
      <c r="F79" s="19" cm="1">
        <f t="array" aca="1" ref="F79" ca="1">_FV(RTData[[#This Row],[Company Name]],"Previous close",TRUE)</f>
        <v>191.67</v>
      </c>
      <c r="G79" s="19" cm="1">
        <f t="array" aca="1" ref="G79" ca="1">_FV(RTData[[#This Row],[Company Name]],"Open")</f>
        <v>192.41</v>
      </c>
      <c r="H79" s="19" cm="1">
        <f t="array" aca="1" ref="H79" ca="1">_FV(RTData[[#This Row],[Company Name]],"Price")</f>
        <v>189.07</v>
      </c>
      <c r="I79" s="19" cm="1">
        <f t="array" aca="1" ref="I79" ca="1">_FV(RTData[[#This Row],[Company Name]],"Low")</f>
        <v>188.77</v>
      </c>
      <c r="J79" s="19" cm="1">
        <f t="array" aca="1" ref="J79" ca="1">_FV(RTData[[#This Row],[Company Name]],"High")</f>
        <v>193.84</v>
      </c>
      <c r="K79" s="20" cm="1">
        <f t="array" aca="1" ref="K79" ca="1">IFERROR(_FV(RTData[[#This Row],[Company Name]],"P/E",TRUE),99)</f>
        <v>31.395499999999998</v>
      </c>
      <c r="L79" s="21" cm="1">
        <f t="array" aca="1" ref="L79" ca="1">_FV(RTData[[#This Row],[Company Name]],"Change")</f>
        <v>-2.6</v>
      </c>
      <c r="M79" s="22" cm="1">
        <f t="array" aca="1" ref="M79" ca="1">_FV(RTData[[#This Row],[Company Name]],"Change (%)",TRUE)</f>
        <v>-1.3565000000000001E-2</v>
      </c>
      <c r="N79" s="19" cm="1">
        <f t="array" aca="1" ref="N79" ca="1">_FV(RTData[[#This Row],[Company Name]],"52 week low",TRUE)</f>
        <v>99.5</v>
      </c>
      <c r="O79" s="19" cm="1">
        <f t="array" aca="1" ref="O79" ca="1">_FV(RTData[[#This Row],[Company Name]],"52 week high",TRUE)</f>
        <v>203.2499</v>
      </c>
      <c r="P79" s="23" cm="1">
        <f t="array" aca="1" ref="P79" ca="1">_FV(RTData[[#This Row],[Company Name]],"Volume")</f>
        <v>329583</v>
      </c>
      <c r="Q79" s="23" cm="1">
        <f t="array" aca="1" ref="Q79" ca="1">_FV(RTData[[#This Row],[Company Name]],"Volume average",TRUE)</f>
        <v>1077409</v>
      </c>
      <c r="R79" s="19" cm="1">
        <f t="array" aca="1" ref="R79" ca="1">_FV(RTData[[#This Row],[Company Name]],"Beta")</f>
        <v>1.6700999999999999</v>
      </c>
      <c r="T79" t="s">
        <v>26</v>
      </c>
      <c r="U79" t="str" cm="1">
        <f t="array" aca="1" ref="U79" ca="1">_FV(RTData[[#This Row],[Company Name]],"Exchange abbreviation",TRUE)</f>
        <v>XNYS</v>
      </c>
      <c r="V79" s="24">
        <f ca="1">IFERROR(RTData[[#This Row],[Volume]]/RTData[[#This Row],[Volume average]],1)</f>
        <v>0.30590332919067875</v>
      </c>
      <c r="W79" s="24"/>
      <c r="X79" s="108">
        <f ca="1">_xlfn.XLOOKUP(RTData[[#This Row],[Ticker symbol]],[2]Sheet2!$B$2:$B$95,[2]Sheet2!$E$2:$E$95)</f>
        <v>204.5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0.3010561140094159</v>
      </c>
      <c r="AF79" s="105" t="str">
        <f ca="1">TEXT(RTData[[#This Row],[1YT]],"#,#0.00")&amp;" &lt; "&amp;RTData[[#This Row],[Old1YT]]</f>
        <v>204.50 &lt; 157.18</v>
      </c>
    </row>
    <row r="80" spans="1:32" ht="22" customHeight="1" x14ac:dyDescent="0.3">
      <c r="A80" s="40" t="str" cm="1">
        <f t="array" aca="1" ref="A80" ca="1">_xlfn.SINGLE(RTData[suffix])&amp;_FV(RTData[[#This Row],[Company Name]],"Ticker symbol",TRUE)</f>
        <v>GS</v>
      </c>
      <c r="B80" s="40">
        <f ca="1">D99</f>
        <v>0.85675119945167921</v>
      </c>
      <c r="C80" t="e" vm="61">
        <v>#VALUE!</v>
      </c>
      <c r="D80" s="17" t="str" cm="1">
        <f t="array" aca="1" ref="D80" ca="1">_FV(RTData[[#This Row],[Company Name]],"Currency")</f>
        <v>USD</v>
      </c>
      <c r="E80" s="18" cm="1">
        <f t="array" aca="1" ref="E80" ca="1">_FV(RTData[[#This Row],[Company Name]],"Last trade time",TRUE)</f>
        <v>45946.692248726562</v>
      </c>
      <c r="F80" s="19" cm="1">
        <f t="array" aca="1" ref="F80" ca="1">_FV(RTData[[#This Row],[Company Name]],"Previous close",TRUE)</f>
        <v>767.93</v>
      </c>
      <c r="G80" s="19" cm="1">
        <f t="array" aca="1" ref="G80" ca="1">_FV(RTData[[#This Row],[Company Name]],"Open")</f>
        <v>770.8</v>
      </c>
      <c r="H80" s="19" cm="1">
        <f t="array" aca="1" ref="H80" ca="1">_FV(RTData[[#This Row],[Company Name]],"Price")</f>
        <v>767.35</v>
      </c>
      <c r="I80" s="19" cm="1">
        <f t="array" aca="1" ref="I80" ca="1">_FV(RTData[[#This Row],[Company Name]],"Low")</f>
        <v>765.74</v>
      </c>
      <c r="J80" s="19" cm="1">
        <f t="array" aca="1" ref="J80" ca="1">_FV(RTData[[#This Row],[Company Name]],"High")</f>
        <v>781.44</v>
      </c>
      <c r="K80" s="20" cm="1">
        <f t="array" aca="1" ref="K80" ca="1">IFERROR(_FV(RTData[[#This Row],[Company Name]],"P/E",TRUE),99)</f>
        <v>15.587899999999999</v>
      </c>
      <c r="L80" s="21" cm="1">
        <f t="array" aca="1" ref="L80" ca="1">_FV(RTData[[#This Row],[Company Name]],"Change")</f>
        <v>-0.57999999999999996</v>
      </c>
      <c r="M80" s="22" cm="1">
        <f t="array" aca="1" ref="M80" ca="1">_FV(RTData[[#This Row],[Company Name]],"Change (%)",TRUE)</f>
        <v>-7.5529999999999998E-4</v>
      </c>
      <c r="N80" s="19" cm="1">
        <f t="array" aca="1" ref="N80" ca="1">_FV(RTData[[#This Row],[Company Name]],"52 week low",TRUE)</f>
        <v>439.38</v>
      </c>
      <c r="O80" s="19" cm="1">
        <f t="array" aca="1" ref="O80" ca="1">_FV(RTData[[#This Row],[Company Name]],"52 week high",TRUE)</f>
        <v>825.25</v>
      </c>
      <c r="P80" s="23" cm="1">
        <f t="array" aca="1" ref="P80" ca="1">_FV(RTData[[#This Row],[Company Name]],"Volume")</f>
        <v>1340638</v>
      </c>
      <c r="Q80" s="23" cm="1">
        <f t="array" aca="1" ref="Q80" ca="1">_FV(RTData[[#This Row],[Company Name]],"Volume average",TRUE)</f>
        <v>1940779</v>
      </c>
      <c r="R80" s="19" cm="1">
        <f t="array" aca="1" ref="R80" ca="1">_FV(RTData[[#This Row],[Company Name]],"Beta")</f>
        <v>1.4108000000000001</v>
      </c>
      <c r="T80" t="s">
        <v>26</v>
      </c>
      <c r="U80" t="str" cm="1">
        <f t="array" aca="1" ref="U80" ca="1">_FV(RTData[[#This Row],[Company Name]],"Exchange abbreviation",TRUE)</f>
        <v>XNYS</v>
      </c>
      <c r="V80" s="24">
        <f ca="1">IFERROR(RTData[[#This Row],[Volume]]/RTData[[#This Row],[Volume average]],1)</f>
        <v>0.69077313800283291</v>
      </c>
      <c r="W80" s="24"/>
      <c r="X80" s="108">
        <f ca="1">_xlfn.XLOOKUP(RTData[[#This Row],[Ticker symbol]],[2]Sheet2!$B$2:$B$95,[2]Sheet2!$E$2:$E$95)</f>
        <v>710.57899999999995</v>
      </c>
      <c r="Y80" s="101">
        <f>_xlfn.LET(_xlpm.date,[2]Sheet2!F79,IF(_xlpm.date=0,"",_xlpm.date))</f>
        <v>45898</v>
      </c>
      <c r="Z80" s="101" t="str">
        <f>_xlfn.LET(_xlpm.date,[2]Sheet2!G79,IF(_xlpm.date=0,"",_xlpm.date))</f>
        <v>Oct 14, 2025</v>
      </c>
      <c r="AA80" s="102">
        <f>[2]Sheet2!$H79</f>
        <v>2.1700000000000001E-2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0.56546231631821264</v>
      </c>
      <c r="AF80" s="105" t="str">
        <f ca="1">TEXT(RTData[[#This Row],[1YT]],"#,#0.00")&amp;" &lt; "&amp;RTData[[#This Row],[Old1YT]]</f>
        <v>710.58 &lt; 453.91</v>
      </c>
    </row>
    <row r="81" spans="1:33" x14ac:dyDescent="0.3">
      <c r="A81" s="40" t="str" cm="1">
        <f t="array" aca="1" ref="A81" ca="1">_xlfn.SINGLE(RTData[suffix])&amp;_FV(RTData[[#This Row],[Company Name]],"Ticker symbol",TRUE)</f>
        <v>LAZR</v>
      </c>
      <c r="B81" s="40">
        <f ca="1">D99</f>
        <v>0.85675119945167921</v>
      </c>
      <c r="C81" t="e" vm="62">
        <v>#VALUE!</v>
      </c>
      <c r="D81" s="17" t="str" cm="1">
        <f t="array" aca="1" ref="D81" ca="1">_FV(RTData[[#This Row],[Company Name]],"Currency")</f>
        <v>USD</v>
      </c>
      <c r="E81" s="18" cm="1">
        <f t="array" aca="1" ref="E81" ca="1">_FV(RTData[[#This Row],[Company Name]],"Last trade time",TRUE)</f>
        <v>45946.692221203128</v>
      </c>
      <c r="F81" s="19" cm="1">
        <f t="array" aca="1" ref="F81" ca="1">_FV(RTData[[#This Row],[Company Name]],"Previous close",TRUE)</f>
        <v>2.02</v>
      </c>
      <c r="G81" s="19" cm="1">
        <f t="array" aca="1" ref="G81" ca="1">_FV(RTData[[#This Row],[Company Name]],"Open")</f>
        <v>2.06</v>
      </c>
      <c r="H81" s="19" cm="1">
        <f t="array" aca="1" ref="H81" ca="1">_FV(RTData[[#This Row],[Company Name]],"Price")</f>
        <v>1.93</v>
      </c>
      <c r="I81" s="19" cm="1">
        <f t="array" aca="1" ref="I81" ca="1">_FV(RTData[[#This Row],[Company Name]],"Low")</f>
        <v>1.92</v>
      </c>
      <c r="J81" s="19" cm="1">
        <f t="array" aca="1" ref="J81" ca="1">_FV(RTData[[#This Row],[Company Name]],"High")</f>
        <v>2.16</v>
      </c>
      <c r="K81" s="20" cm="1">
        <f t="array" aca="1" ref="K81" ca="1">IFERROR(_FV(RTData[[#This Row],[Company Name]],"P/E",TRUE),99)</f>
        <v>0</v>
      </c>
      <c r="L81" s="21" cm="1">
        <f t="array" aca="1" ref="L81" ca="1">_FV(RTData[[#This Row],[Company Name]],"Change")</f>
        <v>-0.09</v>
      </c>
      <c r="M81" s="22" cm="1">
        <f t="array" aca="1" ref="M81" ca="1">_FV(RTData[[#This Row],[Company Name]],"Change (%)",TRUE)</f>
        <v>-4.4554000000000003E-2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4802003</v>
      </c>
      <c r="Q81" s="23" cm="1">
        <f t="array" aca="1" ref="Q81" ca="1">_FV(RTData[[#This Row],[Company Name]],"Volume average",TRUE)</f>
        <v>6459071</v>
      </c>
      <c r="R81" s="19" cm="1">
        <f t="array" aca="1" ref="R81" ca="1">_FV(RTData[[#This Row],[Company Name]],"Beta")</f>
        <v>2.0381</v>
      </c>
      <c r="T81" t="s">
        <v>26</v>
      </c>
      <c r="U81" t="str" cm="1">
        <f t="array" aca="1" ref="U81" ca="1">_FV(RTData[[#This Row],[Company Name]],"Exchange abbreviation",TRUE)</f>
        <v>XNAS</v>
      </c>
      <c r="V81" s="24">
        <f ca="1">IFERROR(RTData[[#This Row],[Volume]]/RTData[[#This Row],[Volume average]],1)</f>
        <v>0.74345103188988015</v>
      </c>
      <c r="W81" s="24"/>
      <c r="X81" s="108">
        <f ca="1">_xlfn.XLOOKUP(RTData[[#This Row],[Ticker symbol]],[2]Sheet2!$B$2:$B$95,[2]Sheet2!$E$2:$E$95)</f>
        <v>2.6666699999999999</v>
      </c>
      <c r="Y81" s="101" t="str">
        <f>_xlfn.LET(_xlpm.date,[2]Sheet2!F80,IF(_xlpm.date=0,"",_xlpm.date))</f>
        <v/>
      </c>
      <c r="Z81" s="101" t="str">
        <f>_xlfn.LET(_xlpm.date,[2]Sheet2!G80,IF(_xlpm.date=0,"",_xlpm.date))</f>
        <v>Aug 12,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0.85675119945167921</v>
      </c>
      <c r="C82" t="e" vm="63">
        <v>#VALUE!</v>
      </c>
      <c r="D82" s="17" t="str" cm="1">
        <f t="array" aca="1" ref="D82" ca="1">_FV(RTData[[#This Row],[Company Name]],"Currency")</f>
        <v>USD</v>
      </c>
      <c r="E82" s="18" cm="1">
        <f t="array" aca="1" ref="E82" ca="1">_FV(RTData[[#This Row],[Company Name]],"Last trade time",TRUE)</f>
        <v>45946.692257522656</v>
      </c>
      <c r="F82" s="19" cm="1">
        <f t="array" aca="1" ref="F82" ca="1">_FV(RTData[[#This Row],[Company Name]],"Previous close",TRUE)</f>
        <v>33.56</v>
      </c>
      <c r="G82" s="19" cm="1">
        <f t="array" aca="1" ref="G82" ca="1">_FV(RTData[[#This Row],[Company Name]],"Open")</f>
        <v>33.67</v>
      </c>
      <c r="H82" s="19" cm="1">
        <f t="array" aca="1" ref="H82" ca="1">_FV(RTData[[#This Row],[Company Name]],"Price")</f>
        <v>33.090000000000003</v>
      </c>
      <c r="I82" s="19" cm="1">
        <f t="array" aca="1" ref="I82" ca="1">_FV(RTData[[#This Row],[Company Name]],"Low")</f>
        <v>32.840000000000003</v>
      </c>
      <c r="J82" s="19" cm="1">
        <f t="array" aca="1" ref="J82" ca="1">_FV(RTData[[#This Row],[Company Name]],"High")</f>
        <v>34.049999999999997</v>
      </c>
      <c r="K82" s="20" cm="1">
        <f t="array" aca="1" ref="K82" ca="1">IFERROR(_FV(RTData[[#This Row],[Company Name]],"P/E",TRUE),99)</f>
        <v>39.7239</v>
      </c>
      <c r="L82" s="21" cm="1">
        <f t="array" aca="1" ref="L82" ca="1">_FV(RTData[[#This Row],[Company Name]],"Change")</f>
        <v>-0.47</v>
      </c>
      <c r="M82" s="22" cm="1">
        <f t="array" aca="1" ref="M82" ca="1">_FV(RTData[[#This Row],[Company Name]],"Change (%)",TRUE)</f>
        <v>-1.4005E-2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5298696</v>
      </c>
      <c r="Q82" s="23" cm="1">
        <f t="array" aca="1" ref="Q82" ca="1">_FV(RTData[[#This Row],[Company Name]],"Volume average",TRUE)</f>
        <v>9566732</v>
      </c>
      <c r="R82" s="19" cm="1">
        <f t="array" aca="1" ref="R82" ca="1">_FV(RTData[[#This Row],[Company Name]],"Beta")</f>
        <v>1.2251000000000001</v>
      </c>
      <c r="T82" t="s">
        <v>26</v>
      </c>
      <c r="U82" t="str" cm="1">
        <f t="array" aca="1" ref="U82" ca="1">_FV(RTData[[#This Row],[Company Name]],"Exchange abbreviation",TRUE)</f>
        <v>XNYS</v>
      </c>
      <c r="V82" s="24">
        <f ca="1">IFERROR(RTData[[#This Row],[Volume]]/RTData[[#This Row],[Volume average]],1)</f>
        <v>0.55386687951538727</v>
      </c>
      <c r="W82" s="24"/>
      <c r="X82" s="108">
        <f ca="1">_xlfn.XLOOKUP(RTData[[#This Row],[Ticker symbol]],[2]Sheet2!$B$2:$B$95,[2]Sheet2!$E$2:$E$95)</f>
        <v>32.06</v>
      </c>
      <c r="Y82" s="101">
        <f>_xlfn.LET(_xlpm.date,[2]Sheet2!F81,IF(_xlpm.date=0,"",_xlpm.date))</f>
        <v>45903</v>
      </c>
      <c r="Z82" s="101" t="str">
        <f>_xlfn.LET(_xlpm.date,[2]Sheet2!G81,IF(_xlpm.date=0,"",_xlpm.date))</f>
        <v>Oct 22, 2025</v>
      </c>
      <c r="AA82" s="102">
        <f>[2]Sheet2!$H81</f>
        <v>2.29E-2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0.14336661911554932</v>
      </c>
      <c r="AF82" s="105" t="str">
        <f ca="1">TEXT(RTData[[#This Row],[1YT]],"#,#0.00")&amp;" &lt; "&amp;RTData[[#This Row],[Old1YT]]</f>
        <v>32.06 &lt; 28.04</v>
      </c>
    </row>
    <row r="83" spans="1:33" ht="22" customHeight="1" x14ac:dyDescent="0.3">
      <c r="A83" s="40" t="str" cm="1">
        <f t="array" aca="1" ref="A83" ca="1">_xlfn.SINGLE(RTData[suffix])&amp;_FV(RTData[[#This Row],[Company Name]],"Ticker symbol",TRUE)</f>
        <v>MA</v>
      </c>
      <c r="B83" s="40">
        <f ca="1">D99</f>
        <v>0.85675119945167921</v>
      </c>
      <c r="C83" t="e" vm="64">
        <v>#VALUE!</v>
      </c>
      <c r="D83" s="17" t="str" cm="1">
        <f t="array" aca="1" ref="D83" ca="1">_FV(RTData[[#This Row],[Company Name]],"Currency")</f>
        <v>USD</v>
      </c>
      <c r="E83" s="18" cm="1">
        <f t="array" aca="1" ref="E83" ca="1">_FV(RTData[[#This Row],[Company Name]],"Last trade time",TRUE)</f>
        <v>45946.692265856247</v>
      </c>
      <c r="F83" s="19" cm="1">
        <f t="array" aca="1" ref="F83" ca="1">_FV(RTData[[#This Row],[Company Name]],"Previous close",TRUE)</f>
        <v>562.80999999999995</v>
      </c>
      <c r="G83" s="19" cm="1">
        <f t="array" aca="1" ref="G83" ca="1">_FV(RTData[[#This Row],[Company Name]],"Open")</f>
        <v>563.21</v>
      </c>
      <c r="H83" s="19" cm="1">
        <f t="array" aca="1" ref="H83" ca="1">_FV(RTData[[#This Row],[Company Name]],"Price")</f>
        <v>550.48500000000001</v>
      </c>
      <c r="I83" s="19" cm="1">
        <f t="array" aca="1" ref="I83" ca="1">_FV(RTData[[#This Row],[Company Name]],"Low")</f>
        <v>550.13</v>
      </c>
      <c r="J83" s="19" cm="1">
        <f t="array" aca="1" ref="J83" ca="1">_FV(RTData[[#This Row],[Company Name]],"High")</f>
        <v>564.36</v>
      </c>
      <c r="K83" s="20" cm="1">
        <f t="array" aca="1" ref="K83" ca="1">IFERROR(_FV(RTData[[#This Row],[Company Name]],"P/E",TRUE),99)</f>
        <v>37.124200000000002</v>
      </c>
      <c r="L83" s="21" cm="1">
        <f t="array" aca="1" ref="L83" ca="1">_FV(RTData[[#This Row],[Company Name]],"Change")</f>
        <v>-12.324999999999999</v>
      </c>
      <c r="M83" s="22" cm="1">
        <f t="array" aca="1" ref="M83" ca="1">_FV(RTData[[#This Row],[Company Name]],"Change (%)",TRUE)</f>
        <v>-2.1899000000000002E-2</v>
      </c>
      <c r="N83" s="19" cm="1">
        <f t="array" aca="1" ref="N83" ca="1">_FV(RTData[[#This Row],[Company Name]],"52 week low",TRUE)</f>
        <v>465.59</v>
      </c>
      <c r="O83" s="19" cm="1">
        <f t="array" aca="1" ref="O83" ca="1">_FV(RTData[[#This Row],[Company Name]],"52 week high",TRUE)</f>
        <v>601.77</v>
      </c>
      <c r="P83" s="23" cm="1">
        <f t="array" aca="1" ref="P83" ca="1">_FV(RTData[[#This Row],[Company Name]],"Volume")</f>
        <v>1256817</v>
      </c>
      <c r="Q83" s="23" cm="1">
        <f t="array" aca="1" ref="Q83" ca="1">_FV(RTData[[#This Row],[Company Name]],"Volume average",TRUE)</f>
        <v>2826703</v>
      </c>
      <c r="R83" s="19" cm="1">
        <f t="array" aca="1" ref="R83" ca="1">_FV(RTData[[#This Row],[Company Name]],"Beta")</f>
        <v>0.92869999999999997</v>
      </c>
      <c r="T83" t="s">
        <v>26</v>
      </c>
      <c r="U83" t="str" cm="1">
        <f t="array" aca="1" ref="U83" ca="1">_FV(RTData[[#This Row],[Company Name]],"Exchange abbreviation",TRUE)</f>
        <v>XNYS</v>
      </c>
      <c r="V83" s="24">
        <f ca="1">IFERROR(RTData[[#This Row],[Volume]]/RTData[[#This Row],[Volume average]],1)</f>
        <v>0.44462294057776852</v>
      </c>
      <c r="W83" s="24"/>
      <c r="X83" s="108">
        <f ca="1">_xlfn.XLOOKUP(RTData[[#This Row],[Ticker symbol]],[2]Sheet2!$B$2:$B$95,[2]Sheet2!$E$2:$E$95)</f>
        <v>644.55150000000003</v>
      </c>
      <c r="Y83" s="101">
        <f>_xlfn.LET(_xlpm.date,[2]Sheet2!F82,IF(_xlpm.date=0,"",_xlpm.date))</f>
        <v>45847</v>
      </c>
      <c r="Z83" s="101" t="str">
        <f>_xlfn.LET(_xlpm.date,[2]Sheet2!G82,IF(_xlpm.date=0,"",_xlpm.date))</f>
        <v>Oct 30, 2025</v>
      </c>
      <c r="AA83" s="102">
        <f>[2]Sheet2!$H82</f>
        <v>5.1999999999999998E-3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0.17338388159691268</v>
      </c>
      <c r="AF83" s="105" t="str">
        <f ca="1">TEXT(RTData[[#This Row],[1YT]],"#,#0.00")&amp;" &lt; "&amp;RTData[[#This Row],[Old1YT]]</f>
        <v>644.55 &lt; 549.31</v>
      </c>
    </row>
    <row r="84" spans="1:33" ht="22" customHeight="1" x14ac:dyDescent="0.3">
      <c r="A84" s="40" t="str" cm="1">
        <f t="array" aca="1" ref="A84" ca="1">_xlfn.SINGLE(RTData[suffix])&amp;_FV(RTData[[#This Row],[Company Name]],"Ticker symbol",TRUE)</f>
        <v>NVAX</v>
      </c>
      <c r="B84" s="40">
        <f ca="1">D99</f>
        <v>0.85675119945167921</v>
      </c>
      <c r="C84" t="e" vm="65">
        <v>#VALUE!</v>
      </c>
      <c r="D84" s="17" t="str" cm="1">
        <f t="array" aca="1" ref="D84" ca="1">_FV(RTData[[#This Row],[Company Name]],"Currency")</f>
        <v>USD</v>
      </c>
      <c r="E84" s="18" cm="1">
        <f t="array" aca="1" ref="E84" ca="1">_FV(RTData[[#This Row],[Company Name]],"Last trade time",TRUE)</f>
        <v>45946.692210103909</v>
      </c>
      <c r="F84" s="19" cm="1">
        <f t="array" aca="1" ref="F84" ca="1">_FV(RTData[[#This Row],[Company Name]],"Previous close",TRUE)</f>
        <v>8.91</v>
      </c>
      <c r="G84" s="19" cm="1">
        <f t="array" aca="1" ref="G84" ca="1">_FV(RTData[[#This Row],[Company Name]],"Open")</f>
        <v>8.93</v>
      </c>
      <c r="H84" s="19" cm="1">
        <f t="array" aca="1" ref="H84" ca="1">_FV(RTData[[#This Row],[Company Name]],"Price")</f>
        <v>8.625</v>
      </c>
      <c r="I84" s="19" cm="1">
        <f t="array" aca="1" ref="I84" ca="1">_FV(RTData[[#This Row],[Company Name]],"Low")</f>
        <v>8.58</v>
      </c>
      <c r="J84" s="19" cm="1">
        <f t="array" aca="1" ref="J84" ca="1">_FV(RTData[[#This Row],[Company Name]],"High")</f>
        <v>9.1</v>
      </c>
      <c r="K84" s="20" cm="1">
        <f t="array" aca="1" ref="K84" ca="1">IFERROR(_FV(RTData[[#This Row],[Company Name]],"P/E",TRUE),99)</f>
        <v>3.7709999999999999</v>
      </c>
      <c r="L84" s="21" cm="1">
        <f t="array" aca="1" ref="L84" ca="1">_FV(RTData[[#This Row],[Company Name]],"Change")</f>
        <v>-0.28499999999999998</v>
      </c>
      <c r="M84" s="22" cm="1">
        <f t="array" aca="1" ref="M84" ca="1">_FV(RTData[[#This Row],[Company Name]],"Change (%)",TRUE)</f>
        <v>-3.1987000000000002E-2</v>
      </c>
      <c r="N84" s="19" cm="1">
        <f t="array" aca="1" ref="N84" ca="1">_FV(RTData[[#This Row],[Company Name]],"52 week low",TRUE)</f>
        <v>5.01</v>
      </c>
      <c r="O84" s="19" cm="1">
        <f t="array" aca="1" ref="O84" ca="1">_FV(RTData[[#This Row],[Company Name]],"52 week high",TRUE)</f>
        <v>11.55</v>
      </c>
      <c r="P84" s="23" cm="1">
        <f t="array" aca="1" ref="P84" ca="1">_FV(RTData[[#This Row],[Company Name]],"Volume")</f>
        <v>2704673</v>
      </c>
      <c r="Q84" s="23" cm="1">
        <f t="array" aca="1" ref="Q84" ca="1">_FV(RTData[[#This Row],[Company Name]],"Volume average",TRUE)</f>
        <v>4657867</v>
      </c>
      <c r="R84" s="19" cm="1">
        <f t="array" aca="1" ref="R84" ca="1">_FV(RTData[[#This Row],[Company Name]],"Beta")</f>
        <v>2.6861000000000002</v>
      </c>
      <c r="T84" t="s">
        <v>26</v>
      </c>
      <c r="U84" t="str" cm="1">
        <f t="array" aca="1" ref="U84" ca="1">_FV(RTData[[#This Row],[Company Name]],"Exchange abbreviation",TRUE)</f>
        <v>XNAS</v>
      </c>
      <c r="V84" s="24">
        <f ca="1">IFERROR(RTData[[#This Row],[Volume]]/RTData[[#This Row],[Volume average]],1)</f>
        <v>0.58066771764844294</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0.85675119945167921</v>
      </c>
      <c r="C85" t="e" vm="66">
        <v>#VALUE!</v>
      </c>
      <c r="D85" s="17" t="str" cm="1">
        <f t="array" aca="1" ref="D85" ca="1">_FV(RTData[[#This Row],[Company Name]],"Currency")</f>
        <v>USD</v>
      </c>
      <c r="E85" s="18" cm="1">
        <f t="array" aca="1" ref="E85" ca="1">_FV(RTData[[#This Row],[Company Name]],"Last trade time",TRUE)</f>
        <v>45946.692211365626</v>
      </c>
      <c r="F85" s="19" cm="1">
        <f t="array" aca="1" ref="F85" ca="1">_FV(RTData[[#This Row],[Company Name]],"Previous close",TRUE)</f>
        <v>129.97</v>
      </c>
      <c r="G85" s="19" cm="1">
        <f t="array" aca="1" ref="G85" ca="1">_FV(RTData[[#This Row],[Company Name]],"Open")</f>
        <v>129.93</v>
      </c>
      <c r="H85" s="19" cm="1">
        <f t="array" aca="1" ref="H85" ca="1">_FV(RTData[[#This Row],[Company Name]],"Price")</f>
        <v>130.6</v>
      </c>
      <c r="I85" s="19" cm="1">
        <f t="array" aca="1" ref="I85" ca="1">_FV(RTData[[#This Row],[Company Name]],"Low")</f>
        <v>129.64500000000001</v>
      </c>
      <c r="J85" s="19" cm="1">
        <f t="array" aca="1" ref="J85" ca="1">_FV(RTData[[#This Row],[Company Name]],"High")</f>
        <v>131.19</v>
      </c>
      <c r="K85" s="20" cm="1">
        <f t="array" aca="1" ref="K85" ca="1">IFERROR(_FV(RTData[[#This Row],[Company Name]],"P/E",TRUE),99)</f>
        <v>19.0365</v>
      </c>
      <c r="L85" s="21" cm="1">
        <f t="array" aca="1" ref="L85" ca="1">_FV(RTData[[#This Row],[Company Name]],"Change")</f>
        <v>0.63</v>
      </c>
      <c r="M85" s="22" cm="1">
        <f t="array" aca="1" ref="M85" ca="1">_FV(RTData[[#This Row],[Company Name]],"Change (%)",TRUE)</f>
        <v>4.8470000000000006E-3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401049</v>
      </c>
      <c r="Q85" s="23" cm="1">
        <f t="array" aca="1" ref="Q85" ca="1">_FV(RTData[[#This Row],[Company Name]],"Volume average",TRUE)</f>
        <v>1517238</v>
      </c>
      <c r="R85" s="19" cm="1">
        <f t="array" aca="1" ref="R85" ca="1">_FV(RTData[[#This Row],[Company Name]],"Beta")</f>
        <v>0.60219999999999996</v>
      </c>
      <c r="T85" t="s">
        <v>26</v>
      </c>
      <c r="U85" t="str" cm="1">
        <f t="array" aca="1" ref="U85" ca="1">_FV(RTData[[#This Row],[Company Name]],"Exchange abbreviation",TRUE)</f>
        <v>XNYS</v>
      </c>
      <c r="V85" s="24">
        <f ca="1">IFERROR(RTData[[#This Row],[Volume]]/RTData[[#This Row],[Volume average]],1)</f>
        <v>0.26432833873129991</v>
      </c>
      <c r="W85" s="24"/>
      <c r="X85" s="108">
        <f ca="1">_xlfn.XLOOKUP(RTData[[#This Row],[Ticker symbol]],[2]Sheet2!$B$2:$B$95,[2]Sheet2!$E$2:$E$95)</f>
        <v>118.545</v>
      </c>
      <c r="Y85" s="101">
        <f>_xlfn.LET(_xlpm.date,[2]Sheet2!F84,IF(_xlpm.date=0,"",_xlpm.date))</f>
        <v>45728</v>
      </c>
      <c r="Z85" s="101" t="str">
        <f>_xlfn.LET(_xlpm.date,[2]Sheet2!G84,IF(_xlpm.date=0,"",_xlpm.date))</f>
        <v>Jul 17, 2025</v>
      </c>
      <c r="AA85" s="102">
        <f>[2]Sheet2!$H84</f>
        <v>3.0800000000000001E-2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2.4943800795434939E-2</v>
      </c>
      <c r="AF85" s="105" t="str">
        <f ca="1">TEXT(RTData[[#This Row],[1YT]],"#,#0.00")&amp;" &lt; "&amp;RTData[[#This Row],[Old1YT]]</f>
        <v>118.55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45946.666666666664</v>
      </c>
      <c r="F86" s="28" cm="1">
        <f t="array" aca="1" ref="F86" ca="1">_FV(RTData[[#This Row],[Company Name]],"Previous close",TRUE)</f>
        <v>14.015000000000001</v>
      </c>
      <c r="G86" s="28" cm="1">
        <f t="array" aca="1" ref="G86" ca="1">_FV(RTData[[#This Row],[Company Name]],"Open")</f>
        <v>13.98</v>
      </c>
      <c r="H86" s="28" cm="1">
        <f t="array" aca="1" ref="H86" ca="1">_FV(RTData[[#This Row],[Company Name]],"Price")</f>
        <v>14.085000000000001</v>
      </c>
      <c r="I86" s="28" cm="1">
        <f t="array" aca="1" ref="I86" ca="1">_FV(RTData[[#This Row],[Company Name]],"Low")</f>
        <v>13.815</v>
      </c>
      <c r="J86" s="28" cm="1">
        <f t="array" aca="1" ref="J86" ca="1">_FV(RTData[[#This Row],[Company Name]],"High")</f>
        <v>14.135</v>
      </c>
      <c r="K86" s="20" cm="1">
        <f t="array" aca="1" ref="K86" ca="1">IFERROR(_FV(RTData[[#This Row],[Company Name]],"P/E",TRUE),99)</f>
        <v>44.488300000000002</v>
      </c>
      <c r="L86" s="21" cm="1">
        <f t="array" aca="1" ref="L86" ca="1">_FV(RTData[[#This Row],[Company Name]],"Change")</f>
        <v>7.0000000000000007E-2</v>
      </c>
      <c r="M86" s="22" cm="1">
        <f t="array" aca="1" ref="M86" ca="1">_FV(RTData[[#This Row],[Company Name]],"Change (%)",TRUE)</f>
        <v>4.9950000000000003E-3</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3147289</v>
      </c>
      <c r="Q86" s="23" cm="1">
        <f t="array" aca="1" ref="Q86" ca="1">_FV(RTData[[#This Row],[Company Name]],"Volume average",TRUE)</f>
        <v>3786590</v>
      </c>
      <c r="R86" s="19" cm="1">
        <f t="array" aca="1" ref="R86" ca="1">_FV(RTData[[#This Row],[Company Name]],"Beta")</f>
        <v>0.30769999999999997</v>
      </c>
      <c r="T86" t="s">
        <v>26</v>
      </c>
      <c r="U86" t="str" cm="1">
        <f t="array" aca="1" ref="U86" ca="1">_FV(RTData[[#This Row],[Company Name]],"Exchange abbreviation",TRUE)</f>
        <v>XPAR</v>
      </c>
      <c r="V86" s="24">
        <f ca="1">IFERROR(RTData[[#This Row],[Volume]]/RTData[[#This Row],[Volume average]],1)</f>
        <v>0.83116709229148122</v>
      </c>
      <c r="W86" s="24"/>
      <c r="X86" s="108">
        <f ca="1">_xlfn.XLOOKUP(RTData[[#This Row],[Ticker symbol]],[2]Sheet2!$B$2:$B$95,[2]Sheet2!$E$2:$E$95)</f>
        <v>14.994440000000001</v>
      </c>
      <c r="Y86" s="101">
        <f>_xlfn.LET(_xlpm.date,[2]Sheet2!F85,IF(_xlpm.date=0,"",_xlpm.date))</f>
        <v>45993</v>
      </c>
      <c r="Z86" s="101" t="str">
        <f>_xlfn.LET(_xlpm.date,[2]Sheet2!G85,IF(_xlpm.date=0,"",_xlpm.date))</f>
        <v/>
      </c>
      <c r="AA86" s="102">
        <f>[2]Sheet2!$H85</f>
        <v>5.5E-2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1.1088334457181444E-2</v>
      </c>
      <c r="AF86" s="105" t="str">
        <f ca="1">TEXT(RTData[[#This Row],[1YT]],"#,#0.00")&amp;" &lt; "&amp;RTData[[#This Row],[Old1YT]]</f>
        <v>14.99 &lt; 14.83/14/12.94</v>
      </c>
    </row>
    <row r="87" spans="1:33" ht="22" customHeight="1" x14ac:dyDescent="0.3">
      <c r="A87" s="40" t="str" cm="1">
        <f t="array" aca="1" ref="A87" ca="1">_xlfn.SINGLE(RTData[suffix])&amp;_FV(RTData[[#This Row],[Company Name]],"Ticker symbol",TRUE)</f>
        <v>OXY</v>
      </c>
      <c r="B87" s="40">
        <f ca="1">D99</f>
        <v>0.85675119945167921</v>
      </c>
      <c r="C87" t="e" vm="67">
        <v>#VALUE!</v>
      </c>
      <c r="D87" s="17" t="str" cm="1">
        <f t="array" aca="1" ref="D87" ca="1">_FV(RTData[[#This Row],[Company Name]],"Currency")</f>
        <v>USD</v>
      </c>
      <c r="E87" s="18" cm="1">
        <f t="array" aca="1" ref="E87" ca="1">_FV(RTData[[#This Row],[Company Name]],"Last trade time",TRUE)</f>
        <v>45946.692259814059</v>
      </c>
      <c r="F87" s="19" cm="1">
        <f t="array" aca="1" ref="F87" ca="1">_FV(RTData[[#This Row],[Company Name]],"Previous close",TRUE)</f>
        <v>41.88</v>
      </c>
      <c r="G87" s="19" cm="1">
        <f t="array" aca="1" ref="G87" ca="1">_FV(RTData[[#This Row],[Company Name]],"Open")</f>
        <v>42.02</v>
      </c>
      <c r="H87" s="19" cm="1">
        <f t="array" aca="1" ref="H87" ca="1">_FV(RTData[[#This Row],[Company Name]],"Price")</f>
        <v>41.311199999999999</v>
      </c>
      <c r="I87" s="19" cm="1">
        <f t="array" aca="1" ref="I87" ca="1">_FV(RTData[[#This Row],[Company Name]],"Low")</f>
        <v>41.26</v>
      </c>
      <c r="J87" s="19" cm="1">
        <f t="array" aca="1" ref="J87" ca="1">_FV(RTData[[#This Row],[Company Name]],"High")</f>
        <v>42.089700000000001</v>
      </c>
      <c r="K87" s="20" cm="1">
        <f t="array" aca="1" ref="K87" ca="1">IFERROR(_FV(RTData[[#This Row],[Company Name]],"P/E",TRUE),99)</f>
        <v>24.333600000000001</v>
      </c>
      <c r="L87" s="21" cm="1">
        <f t="array" aca="1" ref="L87" ca="1">_FV(RTData[[#This Row],[Company Name]],"Change")</f>
        <v>-0.56879999999999997</v>
      </c>
      <c r="M87" s="22" cm="1">
        <f t="array" aca="1" ref="M87" ca="1">_FV(RTData[[#This Row],[Company Name]],"Change (%)",TRUE)</f>
        <v>-1.3582E-2</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3790439</v>
      </c>
      <c r="Q87" s="23" cm="1">
        <f t="array" aca="1" ref="Q87" ca="1">_FV(RTData[[#This Row],[Company Name]],"Volume average",TRUE)</f>
        <v>11856549</v>
      </c>
      <c r="R87" s="19" cm="1">
        <f t="array" aca="1" ref="R87" ca="1">_FV(RTData[[#This Row],[Company Name]],"Beta")</f>
        <v>0.93979999999999997</v>
      </c>
      <c r="T87" t="s">
        <v>26</v>
      </c>
      <c r="U87" t="str" cm="1">
        <f t="array" aca="1" ref="U87" ca="1">_FV(RTData[[#This Row],[Company Name]],"Exchange abbreviation",TRUE)</f>
        <v>XNYS</v>
      </c>
      <c r="V87" s="24">
        <f ca="1">IFERROR(RTData[[#This Row],[Volume]]/RTData[[#This Row],[Volume average]],1)</f>
        <v>0.31969158985468704</v>
      </c>
      <c r="W87" s="24"/>
      <c r="X87" s="108">
        <f ca="1">_xlfn.XLOOKUP(RTData[[#This Row],[Ticker symbol]],[2]Sheet2!$B$2:$B$95,[2]Sheet2!$E$2:$E$95)</f>
        <v>50.78</v>
      </c>
      <c r="Y87" s="101">
        <f>_xlfn.LET(_xlpm.date,[2]Sheet2!F86,IF(_xlpm.date=0,"",_xlpm.date))</f>
        <v>45910</v>
      </c>
      <c r="Z87" s="101" t="str">
        <f>_xlfn.LET(_xlpm.date,[2]Sheet2!G86,IF(_xlpm.date=0,"",_xlpm.date))</f>
        <v>Aug 6, 2025</v>
      </c>
      <c r="AA87" s="102">
        <f>[2]Sheet2!$H86</f>
        <v>2.0899999999999998E-2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-0.29196876742889011</v>
      </c>
      <c r="AF87" s="105" t="str">
        <f ca="1">TEXT(RTData[[#This Row],[1YT]],"#,#0.00")&amp;" &lt; "&amp;RTData[[#This Row],[Old1YT]]</f>
        <v>50.78 &lt; 71.72</v>
      </c>
    </row>
    <row r="88" spans="1:33" ht="22" customHeight="1" x14ac:dyDescent="0.3">
      <c r="A88" s="40" t="str" cm="1">
        <f t="array" aca="1" ref="A88" ca="1">_xlfn.SINGLE(RTData[suffix])&amp;_FV(RTData[[#This Row],[Company Name]],"Ticker symbol",TRUE)</f>
        <v>PFE</v>
      </c>
      <c r="B88" s="40">
        <f ca="1">D99</f>
        <v>0.85675119945167921</v>
      </c>
      <c r="C88" t="e" vm="68">
        <v>#VALUE!</v>
      </c>
      <c r="D88" s="17" t="str" cm="1">
        <f t="array" aca="1" ref="D88" ca="1">_FV(RTData[[#This Row],[Company Name]],"Currency")</f>
        <v>USD</v>
      </c>
      <c r="E88" s="18" cm="1">
        <f t="array" aca="1" ref="E88" ca="1">_FV(RTData[[#This Row],[Company Name]],"Last trade time",TRUE)</f>
        <v>45946.692285647659</v>
      </c>
      <c r="F88" s="19" cm="1">
        <f t="array" aca="1" ref="F88" ca="1">_FV(RTData[[#This Row],[Company Name]],"Previous close",TRUE)</f>
        <v>24.39</v>
      </c>
      <c r="G88" s="19" cm="1">
        <f t="array" aca="1" ref="G88" ca="1">_FV(RTData[[#This Row],[Company Name]],"Open")</f>
        <v>24.44</v>
      </c>
      <c r="H88" s="19" cm="1">
        <f t="array" aca="1" ref="H88" ca="1">_FV(RTData[[#This Row],[Company Name]],"Price")</f>
        <v>24.310099999999998</v>
      </c>
      <c r="I88" s="19" cm="1">
        <f t="array" aca="1" ref="I88" ca="1">_FV(RTData[[#This Row],[Company Name]],"Low")</f>
        <v>24.29</v>
      </c>
      <c r="J88" s="19" cm="1">
        <f t="array" aca="1" ref="J88" ca="1">_FV(RTData[[#This Row],[Company Name]],"High")</f>
        <v>24.605</v>
      </c>
      <c r="K88" s="20" cm="1">
        <f t="array" aca="1" ref="K88" ca="1">IFERROR(_FV(RTData[[#This Row],[Company Name]],"P/E",TRUE),99)</f>
        <v>17.628799999999998</v>
      </c>
      <c r="L88" s="21" cm="1">
        <f t="array" aca="1" ref="L88" ca="1">_FV(RTData[[#This Row],[Company Name]],"Change")</f>
        <v>-7.9899999999999999E-2</v>
      </c>
      <c r="M88" s="22" cm="1">
        <f t="array" aca="1" ref="M88" ca="1">_FV(RTData[[#This Row],[Company Name]],"Change (%)",TRUE)</f>
        <v>-3.2759999999999998E-3</v>
      </c>
      <c r="N88" s="19" cm="1">
        <f t="array" aca="1" ref="N88" ca="1">_FV(RTData[[#This Row],[Company Name]],"52 week low",TRUE)</f>
        <v>20.914999999999999</v>
      </c>
      <c r="O88" s="19" cm="1">
        <f t="array" aca="1" ref="O88" ca="1">_FV(RTData[[#This Row],[Company Name]],"52 week high",TRUE)</f>
        <v>29.82</v>
      </c>
      <c r="P88" s="23" cm="1">
        <f t="array" aca="1" ref="P88" ca="1">_FV(RTData[[#This Row],[Company Name]],"Volume")</f>
        <v>19283607</v>
      </c>
      <c r="Q88" s="23" cm="1">
        <f t="array" aca="1" ref="Q88" ca="1">_FV(RTData[[#This Row],[Company Name]],"Volume average",TRUE)</f>
        <v>61280444</v>
      </c>
      <c r="R88" s="19" cm="1">
        <f t="array" aca="1" ref="R88" ca="1">_FV(RTData[[#This Row],[Company Name]],"Beta")</f>
        <v>0.51200000000000001</v>
      </c>
      <c r="T88" t="s">
        <v>26</v>
      </c>
      <c r="U88" t="str" cm="1">
        <f t="array" aca="1" ref="U88" ca="1">_FV(RTData[[#This Row],[Company Name]],"Exchange abbreviation",TRUE)</f>
        <v>XNYS</v>
      </c>
      <c r="V88" s="24">
        <f ca="1">IFERROR(RTData[[#This Row],[Volume]]/RTData[[#This Row],[Volume average]],1)</f>
        <v>0.31467799091011806</v>
      </c>
      <c r="W88" s="24"/>
      <c r="X88" s="108">
        <f ca="1">_xlfn.XLOOKUP(RTData[[#This Row],[Ticker symbol]],[2]Sheet2!$B$2:$B$95,[2]Sheet2!$E$2:$E$95)</f>
        <v>28.857140000000001</v>
      </c>
      <c r="Y88" s="101">
        <f>_xlfn.LET(_xlpm.date,[2]Sheet2!F87,IF(_xlpm.date=0,"",_xlpm.date))</f>
        <v>45863</v>
      </c>
      <c r="Z88" s="101" t="str">
        <f>_xlfn.LET(_xlpm.date,[2]Sheet2!G87,IF(_xlpm.date=0,"",_xlpm.date))</f>
        <v>Nov 4, 2025</v>
      </c>
      <c r="AA88" s="102">
        <f>[2]Sheet2!$H87</f>
        <v>6.9099999999999995E-2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-0.1294980392156862</v>
      </c>
      <c r="AF88" s="105" t="str">
        <f ca="1">TEXT(RTData[[#This Row],[1YT]],"#,#0.00")&amp;" &lt; "&amp;RTData[[#This Row],[Old1YT]]</f>
        <v>28.86 &lt; 33.15</v>
      </c>
    </row>
    <row r="89" spans="1:33" ht="22" customHeight="1" x14ac:dyDescent="0.3">
      <c r="A89" s="40" t="str" cm="1">
        <f t="array" aca="1" ref="A89" ca="1">_xlfn.SINGLE(RTData[suffix])&amp;_FV(RTData[[#This Row],[Company Name]],"Ticker symbol",TRUE)</f>
        <v>RIG</v>
      </c>
      <c r="B89" s="40">
        <f ca="1">D99</f>
        <v>0.85675119945167921</v>
      </c>
      <c r="C89" t="e" vm="69">
        <v>#VALUE!</v>
      </c>
      <c r="D89" s="17" t="str" cm="1">
        <f t="array" aca="1" ref="D89" ca="1">_FV(RTData[[#This Row],[Company Name]],"Currency")</f>
        <v>USD</v>
      </c>
      <c r="E89" s="18" cm="1">
        <f t="array" aca="1" ref="E89" ca="1">_FV(RTData[[#This Row],[Company Name]],"Last trade time",TRUE)</f>
        <v>45946.692258807816</v>
      </c>
      <c r="F89" s="19" cm="1">
        <f t="array" aca="1" ref="F89" ca="1">_FV(RTData[[#This Row],[Company Name]],"Previous close",TRUE)</f>
        <v>3.31</v>
      </c>
      <c r="G89" s="19" cm="1">
        <f t="array" aca="1" ref="G89" ca="1">_FV(RTData[[#This Row],[Company Name]],"Open")</f>
        <v>3.33</v>
      </c>
      <c r="H89" s="19" cm="1">
        <f t="array" aca="1" ref="H89" ca="1">_FV(RTData[[#This Row],[Company Name]],"Price")</f>
        <v>3.26</v>
      </c>
      <c r="I89" s="19" cm="1">
        <f t="array" aca="1" ref="I89" ca="1">_FV(RTData[[#This Row],[Company Name]],"Low")</f>
        <v>3.25</v>
      </c>
      <c r="J89" s="19" cm="1">
        <f t="array" aca="1" ref="J89" ca="1">_FV(RTData[[#This Row],[Company Name]],"High")</f>
        <v>3.39</v>
      </c>
      <c r="K89" s="20" cm="1">
        <f t="array" aca="1" ref="K89" ca="1">IFERROR(_FV(RTData[[#This Row],[Company Name]],"P/E",TRUE),99)</f>
        <v>0</v>
      </c>
      <c r="L89" s="21" cm="1">
        <f t="array" aca="1" ref="L89" ca="1">_FV(RTData[[#This Row],[Company Name]],"Change")</f>
        <v>-0.05</v>
      </c>
      <c r="M89" s="22" cm="1">
        <f t="array" aca="1" ref="M89" ca="1">_FV(RTData[[#This Row],[Company Name]],"Change (%)",TRUE)</f>
        <v>-1.5106E-2</v>
      </c>
      <c r="N89" s="19" cm="1">
        <f t="array" aca="1" ref="N89" ca="1">_FV(RTData[[#This Row],[Company Name]],"52 week low",TRUE)</f>
        <v>1.97</v>
      </c>
      <c r="O89" s="19" cm="1">
        <f t="array" aca="1" ref="O89" ca="1">_FV(RTData[[#This Row],[Company Name]],"52 week high",TRUE)</f>
        <v>4.74</v>
      </c>
      <c r="P89" s="23" cm="1">
        <f t="array" aca="1" ref="P89" ca="1">_FV(RTData[[#This Row],[Company Name]],"Volume")</f>
        <v>28812078</v>
      </c>
      <c r="Q89" s="23" cm="1">
        <f t="array" aca="1" ref="Q89" ca="1">_FV(RTData[[#This Row],[Company Name]],"Volume average",TRUE)</f>
        <v>51413296</v>
      </c>
      <c r="R89" s="19" cm="1">
        <f t="array" aca="1" ref="R89" ca="1">_FV(RTData[[#This Row],[Company Name]],"Beta")</f>
        <v>2.6307</v>
      </c>
      <c r="T89" t="s">
        <v>26</v>
      </c>
      <c r="U89" t="str" cm="1">
        <f t="array" aca="1" ref="U89" ca="1">_FV(RTData[[#This Row],[Company Name]],"Exchange abbreviation",TRUE)</f>
        <v>XNYS</v>
      </c>
      <c r="V89" s="24">
        <f ca="1">IFERROR(RTData[[#This Row],[Volume]]/RTData[[#This Row],[Volume average]],1)</f>
        <v>0.56040130163994928</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0.85675119945167921</v>
      </c>
      <c r="C90" t="e" vm="70">
        <v>#VALUE!</v>
      </c>
      <c r="D90" s="17" t="str" cm="1">
        <f t="array" aca="1" ref="D90" ca="1">_FV(RTData[[#This Row],[Company Name]],"Currency")</f>
        <v>USD</v>
      </c>
      <c r="E90" s="18" cm="1">
        <f t="array" aca="1" ref="E90" ca="1">_FV(RTData[[#This Row],[Company Name]],"Last trade time",TRUE)</f>
        <v>45946.692188193752</v>
      </c>
      <c r="F90" s="19" cm="1">
        <f t="array" aca="1" ref="F90" ca="1">_FV(RTData[[#This Row],[Company Name]],"Previous close",TRUE)</f>
        <v>37.159999999999997</v>
      </c>
      <c r="G90" s="19" cm="1">
        <f t="array" aca="1" ref="G90" ca="1">_FV(RTData[[#This Row],[Company Name]],"Open")</f>
        <v>37.29</v>
      </c>
      <c r="H90" s="19" cm="1">
        <f t="array" aca="1" ref="H90" ca="1">_FV(RTData[[#This Row],[Company Name]],"Price")</f>
        <v>36.24</v>
      </c>
      <c r="I90" s="19" cm="1">
        <f t="array" aca="1" ref="I90" ca="1">_FV(RTData[[#This Row],[Company Name]],"Low")</f>
        <v>36.21</v>
      </c>
      <c r="J90" s="19" cm="1">
        <f t="array" aca="1" ref="J90" ca="1">_FV(RTData[[#This Row],[Company Name]],"High")</f>
        <v>37.64</v>
      </c>
      <c r="K90" s="20" cm="1">
        <f t="array" aca="1" ref="K90" ca="1">IFERROR(_FV(RTData[[#This Row],[Company Name]],"P/E",TRUE),99)</f>
        <v>32.499299999999998</v>
      </c>
      <c r="L90" s="21" cm="1">
        <f t="array" aca="1" ref="L90" ca="1">_FV(RTData[[#This Row],[Company Name]],"Change")</f>
        <v>-0.92</v>
      </c>
      <c r="M90" s="22" cm="1">
        <f t="array" aca="1" ref="M90" ca="1">_FV(RTData[[#This Row],[Company Name]],"Change (%)",TRUE)</f>
        <v>-2.4757999999999999E-2</v>
      </c>
      <c r="N90" s="19" cm="1">
        <f t="array" aca="1" ref="N90" ca="1">_FV(RTData[[#This Row],[Company Name]],"52 week low",TRUE)</f>
        <v>28.99</v>
      </c>
      <c r="O90" s="19" cm="1">
        <f t="array" aca="1" ref="O90" ca="1">_FV(RTData[[#This Row],[Company Name]],"52 week high",TRUE)</f>
        <v>43.5</v>
      </c>
      <c r="P90" s="23" cm="1">
        <f t="array" aca="1" ref="P90" ca="1">_FV(RTData[[#This Row],[Company Name]],"Volume")</f>
        <v>655675</v>
      </c>
      <c r="Q90" s="23" cm="1">
        <f t="array" aca="1" ref="Q90" ca="1">_FV(RTData[[#This Row],[Company Name]],"Volume average",TRUE)</f>
        <v>3206013</v>
      </c>
      <c r="R90" s="19" cm="1">
        <f t="array" aca="1" ref="R90" ca="1">_FV(RTData[[#This Row],[Company Name]],"Beta")</f>
        <v>0.51139999999999997</v>
      </c>
      <c r="T90" t="s">
        <v>26</v>
      </c>
      <c r="U90" t="str" cm="1">
        <f t="array" aca="1" ref="U90" ca="1">_FV(RTData[[#This Row],[Company Name]],"Exchange abbreviation",TRUE)</f>
        <v>XNYS</v>
      </c>
      <c r="V90" s="24">
        <f ca="1">IFERROR(RTData[[#This Row],[Volume]]/RTData[[#This Row],[Volume average]],1)</f>
        <v>0.20451414264383833</v>
      </c>
      <c r="W90" s="24"/>
      <c r="X90" s="108">
        <f ca="1">_xlfn.XLOOKUP(RTData[[#This Row],[Ticker symbol]],[2]Sheet2!$B$2:$B$95,[2]Sheet2!$E$2:$E$95)</f>
        <v>42.625</v>
      </c>
      <c r="Y90" s="101">
        <f>_xlfn.LET(_xlpm.date,[2]Sheet2!F89,IF(_xlpm.date=0,"",_xlpm.date))</f>
        <v>45912</v>
      </c>
      <c r="Z90" s="101" t="str">
        <f>_xlfn.LET(_xlpm.date,[2]Sheet2!G89,IF(_xlpm.date=0,"",_xlpm.date))</f>
        <v>Oct 21, 2025</v>
      </c>
      <c r="AA90" s="102">
        <f>[2]Sheet2!$H89</f>
        <v>1.04E-2</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3.70541579485184E-2</v>
      </c>
      <c r="AF90" s="105" t="str">
        <f ca="1">TEXT(RTData[[#This Row],[1YT]],"#,#0.00")&amp;" &lt; "&amp;RTData[[#This Row],[Old1YT]]</f>
        <v>42.63 &lt; 41.102/38.77</v>
      </c>
    </row>
    <row r="91" spans="1:33" ht="22" customHeight="1" x14ac:dyDescent="0.3">
      <c r="A91" s="40" t="str" cm="1">
        <f t="array" aca="1" ref="A91" ca="1">_xlfn.SINGLE(RTData[suffix])&amp;_FV(RTData[[#This Row],[Company Name]],"Ticker symbol",TRUE)</f>
        <v>XYZ</v>
      </c>
      <c r="B91" s="40">
        <f ca="1">D99</f>
        <v>0.85675119945167921</v>
      </c>
      <c r="C91" t="e" vm="71">
        <v>#VALUE!</v>
      </c>
      <c r="D91" s="17" t="str" cm="1">
        <f t="array" aca="1" ref="D91" ca="1">_FV(RTData[[#This Row],[Company Name]],"Currency")</f>
        <v>USD</v>
      </c>
      <c r="E91" s="18" cm="1">
        <f t="array" aca="1" ref="E91" ca="1">_FV(RTData[[#This Row],[Company Name]],"Last trade time",TRUE)</f>
        <v>45946.692249490625</v>
      </c>
      <c r="F91" s="19" cm="1">
        <f t="array" aca="1" ref="F91" ca="1">_FV(RTData[[#This Row],[Company Name]],"Previous close",TRUE)</f>
        <v>76.13</v>
      </c>
      <c r="G91" s="19" cm="1">
        <f t="array" aca="1" ref="G91" ca="1">_FV(RTData[[#This Row],[Company Name]],"Open")</f>
        <v>76.81</v>
      </c>
      <c r="H91" s="19" cm="1">
        <f t="array" aca="1" ref="H91" ca="1">_FV(RTData[[#This Row],[Company Name]],"Price")</f>
        <v>75.155000000000001</v>
      </c>
      <c r="I91" s="19" cm="1">
        <f t="array" aca="1" ref="I91" ca="1">_FV(RTData[[#This Row],[Company Name]],"Low")</f>
        <v>75.093000000000004</v>
      </c>
      <c r="J91" s="19" cm="1">
        <f t="array" aca="1" ref="J91" ca="1">_FV(RTData[[#This Row],[Company Name]],"High")</f>
        <v>77.69</v>
      </c>
      <c r="K91" s="20" cm="1">
        <f t="array" aca="1" ref="K91" ca="1">IFERROR(_FV(RTData[[#This Row],[Company Name]],"P/E",TRUE),99)</f>
        <v>44.381100000000004</v>
      </c>
      <c r="L91" s="21" cm="1">
        <f t="array" aca="1" ref="L91" ca="1">_FV(RTData[[#This Row],[Company Name]],"Change")</f>
        <v>-0.97499999999999998</v>
      </c>
      <c r="M91" s="22" cm="1">
        <f t="array" aca="1" ref="M91" ca="1">_FV(RTData[[#This Row],[Company Name]],"Change (%)",TRUE)</f>
        <v>-1.2806999999999999E-2</v>
      </c>
      <c r="N91" s="19" cm="1">
        <f t="array" aca="1" ref="N91" ca="1">_FV(RTData[[#This Row],[Company Name]],"52 week low",TRUE)</f>
        <v>44.27</v>
      </c>
      <c r="O91" s="19" cm="1">
        <f t="array" aca="1" ref="O91" ca="1">_FV(RTData[[#This Row],[Company Name]],"52 week high",TRUE)</f>
        <v>99.26</v>
      </c>
      <c r="P91" s="23" cm="1">
        <f t="array" aca="1" ref="P91" ca="1">_FV(RTData[[#This Row],[Company Name]],"Volume")</f>
        <v>2366093</v>
      </c>
      <c r="Q91" s="23" cm="1">
        <f t="array" aca="1" ref="Q91" ca="1">_FV(RTData[[#This Row],[Company Name]],"Volume average",TRUE)</f>
        <v>6154543</v>
      </c>
      <c r="R91" s="19" cm="1">
        <f t="array" aca="1" ref="R91" ca="1">_FV(RTData[[#This Row],[Company Name]],"Beta")</f>
        <v>2.7231000000000001</v>
      </c>
      <c r="T91" t="s">
        <v>26</v>
      </c>
      <c r="U91" t="str" cm="1">
        <f t="array" aca="1" ref="U91" ca="1">_FV(RTData[[#This Row],[Company Name]],"Exchange abbreviation",TRUE)</f>
        <v>XNYS</v>
      </c>
      <c r="V91" s="24">
        <f ca="1">IFERROR(RTData[[#This Row],[Volume]]/RTData[[#This Row],[Volume average]],1)</f>
        <v>0.384446578730541</v>
      </c>
      <c r="W91" s="24"/>
      <c r="X91" s="108">
        <f ca="1">_xlfn.XLOOKUP(RTData[[#This Row],[Ticker symbol]],[2]Sheet2!$B$2:$B$95,[2]Sheet2!$E$2:$E$95)</f>
        <v>85.644440000000003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0.13211421017845335</v>
      </c>
      <c r="AF91" s="105" t="str">
        <f ca="1">TEXT(RTData[[#This Row],[1YT]],"#,#0.00")&amp;" &lt; "&amp;RTData[[#This Row],[Old1YT]]</f>
        <v>85.64 &lt; 75.65/69.81/87.12</v>
      </c>
    </row>
    <row r="92" spans="1:33" ht="22" customHeight="1" x14ac:dyDescent="0.3">
      <c r="A92" s="40" t="str" cm="1">
        <f t="array" aca="1" ref="A92" ca="1">_xlfn.SINGLE(RTData[suffix])&amp;_FV(RTData[[#This Row],[Company Name]],"Ticker symbol",TRUE)</f>
        <v>THC</v>
      </c>
      <c r="B92" s="40">
        <f ca="1">D99</f>
        <v>0.85675119945167921</v>
      </c>
      <c r="C92" t="e" vm="72">
        <v>#VALUE!</v>
      </c>
      <c r="D92" s="17" t="str" cm="1">
        <f t="array" aca="1" ref="D92" ca="1">_FV(RTData[[#This Row],[Company Name]],"Currency")</f>
        <v>USD</v>
      </c>
      <c r="E92" s="18" cm="1">
        <f t="array" aca="1" ref="E92" ca="1">_FV(RTData[[#This Row],[Company Name]],"Last trade time",TRUE)</f>
        <v>45946.692247685154</v>
      </c>
      <c r="F92" s="19" cm="1">
        <f t="array" aca="1" ref="F92" ca="1">_FV(RTData[[#This Row],[Company Name]],"Previous close",TRUE)</f>
        <v>199.23</v>
      </c>
      <c r="G92" s="19" cm="1">
        <f t="array" aca="1" ref="G92" ca="1">_FV(RTData[[#This Row],[Company Name]],"Open")</f>
        <v>199.32</v>
      </c>
      <c r="H92" s="19" cm="1">
        <f t="array" aca="1" ref="H92" ca="1">_FV(RTData[[#This Row],[Company Name]],"Price")</f>
        <v>198.27</v>
      </c>
      <c r="I92" s="19" cm="1">
        <f t="array" aca="1" ref="I92" ca="1">_FV(RTData[[#This Row],[Company Name]],"Low")</f>
        <v>197.505</v>
      </c>
      <c r="J92" s="19" cm="1">
        <f t="array" aca="1" ref="J92" ca="1">_FV(RTData[[#This Row],[Company Name]],"High")</f>
        <v>200.65</v>
      </c>
      <c r="K92" s="20" cm="1">
        <f t="array" aca="1" ref="K92" ca="1">IFERROR(_FV(RTData[[#This Row],[Company Name]],"P/E",TRUE),99)</f>
        <v>13.109299999999999</v>
      </c>
      <c r="L92" s="21" cm="1">
        <f t="array" aca="1" ref="L92" ca="1">_FV(RTData[[#This Row],[Company Name]],"Change")</f>
        <v>-0.96</v>
      </c>
      <c r="M92" s="22" cm="1">
        <f t="array" aca="1" ref="M92" ca="1">_FV(RTData[[#This Row],[Company Name]],"Change (%)",TRUE)</f>
        <v>-4.8190000000000004E-3</v>
      </c>
      <c r="N92" s="19" cm="1">
        <f t="array" aca="1" ref="N92" ca="1">_FV(RTData[[#This Row],[Company Name]],"52 week low",TRUE)</f>
        <v>109.82389999999999</v>
      </c>
      <c r="O92" s="19" cm="1">
        <f t="array" aca="1" ref="O92" ca="1">_FV(RTData[[#This Row],[Company Name]],"52 week high",TRUE)</f>
        <v>207.14</v>
      </c>
      <c r="P92" s="23" cm="1">
        <f t="array" aca="1" ref="P92" ca="1">_FV(RTData[[#This Row],[Company Name]],"Volume")</f>
        <v>155083</v>
      </c>
      <c r="Q92" s="23" cm="1">
        <f t="array" aca="1" ref="Q92" ca="1">_FV(RTData[[#This Row],[Company Name]],"Volume average",TRUE)</f>
        <v>1091796</v>
      </c>
      <c r="R92" s="19" cm="1">
        <f t="array" aca="1" ref="R92" ca="1">_FV(RTData[[#This Row],[Company Name]],"Beta")</f>
        <v>1.5347999999999999</v>
      </c>
      <c r="T92" t="s">
        <v>26</v>
      </c>
      <c r="U92" t="str" cm="1">
        <f t="array" aca="1" ref="U92" ca="1">_FV(RTData[[#This Row],[Company Name]],"Exchange abbreviation",TRUE)</f>
        <v>XNYS</v>
      </c>
      <c r="V92" s="24">
        <f ca="1">IFERROR(RTData[[#This Row],[Volume]]/RTData[[#This Row],[Volume average]],1)</f>
        <v>0.1420439349475543</v>
      </c>
      <c r="W92" s="24"/>
      <c r="X92" s="108">
        <f ca="1">_xlfn.XLOOKUP(RTData[[#This Row],[Ticker symbol]],[2]Sheet2!$B$2:$B$95,[2]Sheet2!$E$2:$E$95)</f>
        <v>201.43</v>
      </c>
      <c r="Y92" s="101">
        <f>_xlfn.LET(_xlpm.date,[2]Sheet2!F91,IF(_xlpm.date=0,"",_xlpm.date))</f>
        <v>36598</v>
      </c>
      <c r="Z92" s="101" t="str">
        <f>_xlfn.LET(_xlpm.date,[2]Sheet2!G91,IF(_xlpm.date=0,"",_xlpm.date))</f>
        <v>Jul 22,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0.13667400259579029</v>
      </c>
      <c r="AF92" s="105" t="str">
        <f ca="1">TEXT(RTData[[#This Row],[1YT]],"#,#0.00")&amp;" &lt; "&amp;RTData[[#This Row],[Old1YT]]</f>
        <v>201.43 &lt; 177.21</v>
      </c>
    </row>
    <row r="93" spans="1:33" ht="22" customHeight="1" x14ac:dyDescent="0.3">
      <c r="A93" s="40" t="str" cm="1">
        <f t="array" aca="1" ref="A93" ca="1">_xlfn.SINGLE(RTData[suffix])&amp;_FV(RTData[[#This Row],[Company Name]],"Ticker symbol",TRUE)</f>
        <v>X</v>
      </c>
      <c r="B93" s="40">
        <f ca="1">D99</f>
        <v>0.85675119945167921</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45946.681562500002</v>
      </c>
      <c r="F94" s="28" cm="1">
        <f t="array" aca="1" ref="F94" ca="1">_FV(RTData[[#This Row],[Company Name]],"Previous close",TRUE)</f>
        <v>10.353999999999999</v>
      </c>
      <c r="G94" s="28" cm="1">
        <f t="array" aca="1" ref="G94" ca="1">_FV(RTData[[#This Row],[Company Name]],"Open")</f>
        <v>10.382</v>
      </c>
      <c r="H94" s="28" cm="1">
        <f t="array" aca="1" ref="H94" ca="1">_FV(RTData[[#This Row],[Company Name]],"Price")</f>
        <v>10.356</v>
      </c>
      <c r="I94" s="28" cm="1">
        <f t="array" aca="1" ref="I94" ca="1">_FV(RTData[[#This Row],[Company Name]],"Low")</f>
        <v>10.356</v>
      </c>
      <c r="J94" s="28" cm="1">
        <f t="array" aca="1" ref="J94" ca="1">_FV(RTData[[#This Row],[Company Name]],"High")</f>
        <v>10.382</v>
      </c>
      <c r="K94" s="20" cm="1">
        <f t="array" ref="K94">IFERROR(_FV(RTData[[#This Row],[Company Name]],"P/E",TRUE),99)</f>
        <v>99</v>
      </c>
      <c r="L94" s="21" cm="1">
        <f t="array" aca="1" ref="L94" ca="1">_FV(RTData[[#This Row],[Company Name]],"Change")</f>
        <v>2E-3</v>
      </c>
      <c r="M94" s="22" cm="1">
        <f t="array" aca="1" ref="M94" ca="1">_FV(RTData[[#This Row],[Company Name]],"Change (%)",TRUE)</f>
        <v>1.9320000000000001E-4</v>
      </c>
      <c r="N94" s="19" cm="1">
        <f t="array" aca="1" ref="N94" ca="1">_FV(RTData[[#This Row],[Company Name]],"52 week low",TRUE)</f>
        <v>7.4260000000000002</v>
      </c>
      <c r="O94" s="19" cm="1">
        <f t="array" aca="1" ref="O94" ca="1">_FV(RTData[[#This Row],[Company Name]],"52 week high",TRUE)</f>
        <v>10.56</v>
      </c>
      <c r="P94" s="23" cm="1">
        <f t="array" aca="1" ref="P94" ca="1">_FV(RTData[[#This Row],[Company Name]],"Volume")</f>
        <v>449</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45946.666666666664</v>
      </c>
      <c r="F95" s="28" cm="1">
        <f t="array" aca="1" ref="F95" ca="1">_FV(RTData[[#This Row],[Company Name]],"Previous close",TRUE)</f>
        <v>873</v>
      </c>
      <c r="G95" s="28" cm="1">
        <f t="array" aca="1" ref="G95" ca="1">_FV(RTData[[#This Row],[Company Name]],"Open")</f>
        <v>883.7</v>
      </c>
      <c r="H95" s="28" cm="1">
        <f t="array" aca="1" ref="H95" ca="1">_FV(RTData[[#This Row],[Company Name]],"Price")</f>
        <v>877.4</v>
      </c>
      <c r="I95" s="28" cm="1">
        <f t="array" aca="1" ref="I95" ca="1">_FV(RTData[[#This Row],[Company Name]],"Low")</f>
        <v>874</v>
      </c>
      <c r="J95" s="28" cm="1">
        <f t="array" aca="1" ref="J95" ca="1">_FV(RTData[[#This Row],[Company Name]],"High")</f>
        <v>900.5</v>
      </c>
      <c r="K95" s="20" cm="1">
        <f t="array" aca="1" ref="K95" ca="1">IFERROR(_FV(RTData[[#This Row],[Company Name]],"P/E",TRUE),99)</f>
        <v>33.689</v>
      </c>
      <c r="L95" s="21" cm="1">
        <f t="array" aca="1" ref="L95" ca="1">_FV(RTData[[#This Row],[Company Name]],"Change")</f>
        <v>4.4000000000000004</v>
      </c>
      <c r="M95" s="22" cm="1">
        <f t="array" aca="1" ref="M95" ca="1">_FV(RTData[[#This Row],[Company Name]],"Change (%)",TRUE)</f>
        <v>5.0400000000000002E-3</v>
      </c>
      <c r="N95" s="28" cm="1">
        <f t="array" aca="1" ref="N95" ca="1">_FV(RTData[[#This Row],[Company Name]],"52 week low",TRUE)</f>
        <v>508.4</v>
      </c>
      <c r="O95" s="28" cm="1">
        <f t="array" aca="1" ref="O95" ca="1">_FV(RTData[[#This Row],[Company Name]],"52 week high",TRUE)</f>
        <v>905.1</v>
      </c>
      <c r="P95" s="23" cm="1">
        <f t="array" aca="1" ref="P95" ca="1">_FV(RTData[[#This Row],[Company Name]],"Volume")</f>
        <v>703225</v>
      </c>
      <c r="Q95" s="23" cm="1">
        <f t="array" aca="1" ref="Q95" ca="1">_FV(RTData[[#This Row],[Company Name]],"Volume average",TRUE)</f>
        <v>804760</v>
      </c>
      <c r="R95" s="19" cm="1">
        <f t="array" aca="1" ref="R95" ca="1">_FV(RTData[[#This Row],[Company Name]],"Beta")</f>
        <v>1.9593</v>
      </c>
      <c r="S95" t="s">
        <v>21</v>
      </c>
      <c r="T95" t="s">
        <v>22</v>
      </c>
      <c r="U95" t="str" cm="1">
        <f t="array" aca="1" ref="U95" ca="1">_FV(RTData[[#This Row],[Company Name]],"Exchange abbreviation",TRUE)</f>
        <v>XAMS</v>
      </c>
      <c r="V95" s="24">
        <f ca="1">IFERROR(RTData[[#This Row],[Volume]]/RTData[[#This Row],[Volume average]],1)</f>
        <v>0.87383194989810631</v>
      </c>
      <c r="W95" s="24"/>
      <c r="X95" s="108">
        <f ca="1">_xlfn.XLOOKUP(RTData[[#This Row],[Ticker symbol]],[2]Sheet2!$B$2:$B$95,[2]Sheet2!$E$2:$E$95)</f>
        <v>758</v>
      </c>
      <c r="Y95" s="101">
        <f>_xlfn.LET(_xlpm.date,[2]Sheet2!F94,IF(_xlpm.date=0,"",_xlpm.date))</f>
        <v>45866</v>
      </c>
      <c r="Z95" s="101" t="str">
        <f>_xlfn.LET(_xlpm.date,[2]Sheet2!G94,IF(_xlpm.date=0,"",_xlpm.date))</f>
        <v/>
      </c>
      <c r="AA95" s="102">
        <f>[2]Sheet2!H94</f>
        <v>9.7999999999999997E-3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-0.10568913848840232</v>
      </c>
      <c r="AF95" s="105" t="str">
        <f ca="1">TEXT(RTData[[#This Row],[1YT]],"#,#0.00")&amp;" &lt; "&amp;RTData[[#This Row],[Old1YT]]</f>
        <v>758.00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45946.673611111109</v>
      </c>
      <c r="F96" s="19" cm="1">
        <f t="array" aca="1" ref="F96" ca="1">_FV(RTData[[#This Row],[Company Name]],"Previous close",TRUE)</f>
        <v>16.2</v>
      </c>
      <c r="G96" s="19" cm="1">
        <f t="array" aca="1" ref="G96" ca="1">_FV(RTData[[#This Row],[Company Name]],"Open")</f>
        <v>16.239999999999998</v>
      </c>
      <c r="H96" s="19" cm="1">
        <f t="array" aca="1" ref="H96" ca="1">_FV(RTData[[#This Row],[Company Name]],"Price")</f>
        <v>16.27</v>
      </c>
      <c r="I96" s="19" cm="1">
        <f t="array" aca="1" ref="I96" ca="1">_FV(RTData[[#This Row],[Company Name]],"Low")</f>
        <v>16.13</v>
      </c>
      <c r="J96" s="19" cm="1">
        <f t="array" aca="1" ref="J96" ca="1">_FV(RTData[[#This Row],[Company Name]],"High")</f>
        <v>16.305</v>
      </c>
      <c r="K96" s="20" cm="1">
        <f t="array" aca="1" ref="K96" ca="1">IFERROR(_FV(RTData[[#This Row],[Company Name]],"P/E",TRUE),99)</f>
        <v>13.446300000000001</v>
      </c>
      <c r="L96" s="21" cm="1">
        <f t="array" aca="1" ref="L96" ca="1">_FV(RTData[[#This Row],[Company Name]],"Change")</f>
        <v>7.0000000000000007E-2</v>
      </c>
      <c r="M96" s="22" cm="1">
        <f t="array" aca="1" ref="M96" ca="1">_FV(RTData[[#This Row],[Company Name]],"Change (%)",TRUE)</f>
        <v>4.3210000000000002E-3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5764</v>
      </c>
      <c r="Q96" s="23" cm="1">
        <f t="array" aca="1" ref="Q96" ca="1">_FV(RTData[[#This Row],[Company Name]],"Volume average",TRUE)</f>
        <v>3019760</v>
      </c>
      <c r="R96" s="19" cm="1">
        <f t="array" aca="1" ref="R96" ca="1">_FV(RTData[[#This Row],[Company Name]],"Beta")</f>
        <v>0.72060000000000002</v>
      </c>
      <c r="S96" t="s">
        <v>21</v>
      </c>
      <c r="T96" t="s">
        <v>22</v>
      </c>
      <c r="U96" t="str" cm="1">
        <f t="array" aca="1" ref="U96" ca="1">_FV(RTData[[#This Row],[Company Name]],"Exchange abbreviation",TRUE)</f>
        <v>XFRA</v>
      </c>
      <c r="V96" s="107">
        <f ca="1">IFERROR(RTData[[#This Row],[Volume]]/RTData[[#This Row],[Volume average]],1)</f>
        <v>1.9087609611359844E-3</v>
      </c>
      <c r="W96" s="107"/>
      <c r="X96" s="108">
        <f ca="1">_xlfn.XLOOKUP(RTData[[#This Row],[Ticker symbol]],[2]Sheet2!$B$2:$B$95,[2]Sheet2!$E$2:$E$95)</f>
        <v>16.88824</v>
      </c>
      <c r="Y96" s="101">
        <f>_xlfn.LET(_xlpm.date,[2]Sheet2!F95,IF(_xlpm.date=0,"",_xlpm.date))</f>
        <v>45793</v>
      </c>
      <c r="Z96" s="101" t="str">
        <f>_xlfn.LET(_xlpm.date,[2]Sheet2!G95,IF(_xlpm.date=0,"",_xlpm.date))</f>
        <v/>
      </c>
      <c r="AA96" s="102">
        <f>[2]Sheet2!H95</f>
        <v>3.6199997999999997E-2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3.6088343558282145E-2</v>
      </c>
      <c r="AF96" s="105" t="str">
        <f ca="1">TEXT(RTData[[#This Row],[1YT]],"#,#0.00")&amp;" &lt; "&amp;RTData[[#This Row],[Old1YT]]</f>
        <v>16.89 &lt; 16.3</v>
      </c>
    </row>
    <row r="97" spans="1:31" x14ac:dyDescent="0.3">
      <c r="A97" s="41" t="s">
        <v>27</v>
      </c>
      <c r="B97" s="41"/>
      <c r="C97" s="42"/>
      <c r="D97" s="25"/>
      <c r="J97" s="43"/>
      <c r="K97"/>
      <c r="L97" s="21">
        <f ca="1">SUBTOTAL(101,RTData[Change])</f>
        <v>-0.50551276595744665</v>
      </c>
      <c r="M97" s="44">
        <f ca="1">SUBTOTAL(104,RTData[Change%])</f>
        <v>3.9538000000000004E-2</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1.1672</v>
      </c>
      <c r="C99" s="49" cm="1">
        <f t="array" aca="1" ref="C99" ca="1">_FV(A99,"52 week high",TRUE)</f>
        <v>1.1918</v>
      </c>
      <c r="D99" s="19">
        <f ca="1">1/RTExR[[#This Row],[RT]]</f>
        <v>0.85675119945167921</v>
      </c>
      <c r="P99" s="50"/>
      <c r="R99"/>
      <c r="W99" s="71"/>
      <c r="X99" s="47"/>
    </row>
    <row r="100" spans="1:31" x14ac:dyDescent="0.3">
      <c r="A100" t="e" vm="78">
        <v>#VALUE!</v>
      </c>
      <c r="B100" s="48" cm="1">
        <f t="array" aca="1" ref="B100" ca="1">_FV(A100,"Price")</f>
        <v>0.92759999999999998</v>
      </c>
      <c r="C100" s="52" cm="1">
        <f t="array" aca="1" ref="C100" ca="1">_FV(A100,"52 week high",TRUE)</f>
        <v>0.96609999999999996</v>
      </c>
      <c r="D100" s="19">
        <f ca="1">1/RTExR[[#This Row],[RT]]</f>
        <v>1.0780508840017249</v>
      </c>
      <c r="P100" s="50"/>
      <c r="R100"/>
    </row>
    <row r="101" spans="1:31" x14ac:dyDescent="0.3">
      <c r="A101" t="e" vm="79">
        <v>#VALUE!</v>
      </c>
      <c r="B101" s="48" cm="1">
        <f t="array" aca="1" ref="B101" ca="1">_FV(A101,"Price")</f>
        <v>0.86990000000000001</v>
      </c>
      <c r="C101" s="53" cm="1">
        <f t="array" aca="1" ref="C101" ca="1">_FV(A101,"52 week high",TRUE)</f>
        <v>0.87629999999999997</v>
      </c>
      <c r="D101" s="19">
        <f ca="1">1/RTExR[[#This Row],[RT]]</f>
        <v>1.1495574203931487</v>
      </c>
      <c r="P101" s="50"/>
      <c r="R101"/>
    </row>
    <row r="102" spans="1:31" x14ac:dyDescent="0.3">
      <c r="A102" t="e" vm="80">
        <v>#VALUE!</v>
      </c>
      <c r="B102" s="48" cm="1">
        <f t="array" aca="1" ref="B102" ca="1">_FV(A102,"Price")</f>
        <v>1.8018000000000001</v>
      </c>
      <c r="C102" s="49" cm="1">
        <f t="array" aca="1" ref="C102" ca="1">_FV(A102,"52 week high",TRUE)</f>
        <v>1.8554999999999999</v>
      </c>
      <c r="D102" s="19">
        <f ca="1">1/RTExR[[#This Row],[RT]]</f>
        <v>0.55500055500055501</v>
      </c>
      <c r="P102" s="50"/>
      <c r="R102"/>
    </row>
    <row r="103" spans="1:31" x14ac:dyDescent="0.3">
      <c r="A103" t="e" vm="81">
        <v>#VALUE!</v>
      </c>
      <c r="B103" s="48" cm="1">
        <f t="array" aca="1" ref="B103" ca="1">_FV(A103,"Price")</f>
        <v>1.641</v>
      </c>
      <c r="C103" s="49" cm="1">
        <f t="array" aca="1" ref="C103" ca="1">_FV(A103,"52 week high",TRUE)</f>
        <v>1.6412</v>
      </c>
      <c r="D103" s="19">
        <f ca="1">1/RTExR[[#This Row],[RT]]</f>
        <v>0.60938452163315049</v>
      </c>
      <c r="P103" s="50"/>
      <c r="R103"/>
    </row>
    <row r="104" spans="1:31" x14ac:dyDescent="0.3">
      <c r="A104" t="e" vm="82">
        <v>#VALUE!</v>
      </c>
      <c r="B104" s="48" cm="1">
        <f t="array" aca="1" ref="B104" ca="1">_FV(A104,"Price")</f>
        <v>150.43</v>
      </c>
      <c r="C104" s="54" cm="1">
        <f t="array" aca="1" ref="C104" ca="1">_FV(A104,"52 week high",TRUE)</f>
        <v>158.87</v>
      </c>
      <c r="D104" s="19">
        <f ca="1">1/RTExR[[#This Row],[RT]]</f>
        <v>6.6476101841388014E-3</v>
      </c>
      <c r="J104"/>
      <c r="P104" s="50"/>
      <c r="R104"/>
    </row>
    <row r="105" spans="1:31" x14ac:dyDescent="0.3">
      <c r="A105" t="e" vm="83">
        <v>#VALUE!</v>
      </c>
      <c r="B105" s="48" cm="1">
        <f t="array" aca="1" ref="B105" ca="1">_FV(A105,"Price")</f>
        <v>0.79469999999999996</v>
      </c>
      <c r="C105" s="52" cm="1">
        <f t="array" aca="1" ref="C105" ca="1">_FV(A105,"52 week high",TRUE)</f>
        <v>0.92</v>
      </c>
      <c r="D105" s="19">
        <f ca="1">1/RTExR[[#This Row],[RT]]</f>
        <v>1.2583364791745313</v>
      </c>
    </row>
    <row r="106" spans="1:31" x14ac:dyDescent="0.3">
      <c r="A106" t="e" vm="84">
        <v>#VALUE!</v>
      </c>
      <c r="B106" s="48" cm="1">
        <f t="array" aca="1" ref="B106" ca="1">_FV(A106,"Price")</f>
        <v>0.74519999999999997</v>
      </c>
      <c r="C106" s="53" cm="1">
        <f t="array" aca="1" ref="C106" ca="1">_FV(A106,"52 week high",TRUE)</f>
        <v>0.82650000000000001</v>
      </c>
      <c r="D106" s="19">
        <f ca="1">1/RTExR[[#This Row],[RT]]</f>
        <v>1.3419216317767042</v>
      </c>
    </row>
    <row r="107" spans="1:31" x14ac:dyDescent="0.3">
      <c r="C107" s="95" t="s">
        <v>39</v>
      </c>
      <c r="E107" s="99" t="s">
        <v>6</v>
      </c>
      <c r="F107" s="99" t="s">
        <v>43</v>
      </c>
    </row>
    <row r="108" spans="1:31" x14ac:dyDescent="0.3">
      <c r="A108" s="16"/>
      <c r="B108"/>
      <c r="C108" s="45" t="e" vm="37">
        <v>#VALUE!</v>
      </c>
      <c r="D108" s="98" t="s">
        <v>42</v>
      </c>
      <c r="E108" s="19" cm="1">
        <f t="array" aca="1" ref="E108" ca="1">_FV(C109,"Open")</f>
        <v>46289.09</v>
      </c>
      <c r="F108" s="19" cm="1">
        <f t="array" aca="1" ref="F108" ca="1">_FV(C109,"Price")</f>
        <v>45985.94</v>
      </c>
      <c r="X108" s="19"/>
      <c r="Y108" s="19"/>
      <c r="Z108" s="19"/>
    </row>
    <row r="109" spans="1:31" x14ac:dyDescent="0.3">
      <c r="C109" t="e" vm="85">
        <v>#VALUE!</v>
      </c>
      <c r="D109" s="19" cm="1">
        <f t="array" aca="1" ref="D109" ca="1">_FV(C109,"Previous close",TRUE)</f>
        <v>46253.31</v>
      </c>
      <c r="E109" s="19" cm="1">
        <f t="array" aca="1" ref="E109" ca="1">_FV(C110,"Open")</f>
        <v>57.51</v>
      </c>
      <c r="F109" s="19" cm="1">
        <f t="array" aca="1" ref="F109" ca="1">_FV(C110,"Price")</f>
        <v>57.53</v>
      </c>
    </row>
    <row r="110" spans="1:31" x14ac:dyDescent="0.3">
      <c r="C110" s="45" t="e" vm="86">
        <v>#VALUE!</v>
      </c>
      <c r="D110" s="19" cm="1">
        <f t="array" aca="1" ref="D110" ca="1">_FV(C110,"Previous close",TRUE)</f>
        <v>57.545000000000002</v>
      </c>
    </row>
    <row r="111" spans="1:31" x14ac:dyDescent="0.3">
      <c r="C111" s="45" t="s">
        <v>44</v>
      </c>
      <c r="D111" t="e" cm="1" vm="87">
        <f t="array" ref="D111">_FV(C111,"Instrument type",TRUE)</f>
        <v>#VALUE!</v>
      </c>
      <c r="E111" s="19" cm="1">
        <f t="array" aca="1" ref="E111" ca="1">_FV(C112,"Open")</f>
        <v>28.83</v>
      </c>
      <c r="F111" s="19" cm="1">
        <f t="array" aca="1" ref="F111" ca="1">_FV(C112,"Price")</f>
        <v>29.38</v>
      </c>
    </row>
    <row r="112" spans="1:31" x14ac:dyDescent="0.3">
      <c r="C112" s="45" t="e" vm="17">
        <v>#VALUE!</v>
      </c>
      <c r="D112" s="19" cm="1">
        <f t="array" aca="1" ref="D112" ca="1">_FV(C112,"Previous close",TRUE)</f>
        <v>28.88</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2025-10-16T16:39:15Z</dcterms:modified>
  <cp:category/>
</cp:coreProperties>
</file>