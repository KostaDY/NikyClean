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workbookPr codeName="ThisWorkbook" defaultThemeVersion="202300"/>
  <mc:AlternateContent xmlns:mc="http://schemas.openxmlformats.org/markup-compatibility/2006">
    <mc:Choice Requires="x15">
      <x15ac:absPath xmlns:x15ac="http://schemas.microsoft.com/office/spreadsheetml/2010/11/ac" url="/Users/kostayanev/easter/"/>
    </mc:Choice>
  </mc:AlternateContent>
  <xr:revisionPtr revIDLastSave="0" documentId="13_ncr:1_{533E509C-8D93-D04B-A17B-92BA82BAF6D4}"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3" i="1" l="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8" i="1"/>
  <c r="AF60"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5" i="1"/>
  <c r="AB61" i="1" l="1"/>
  <c r="AC61" i="1"/>
  <c r="AD61" i="1"/>
  <c r="AF61" i="1" s="1"/>
  <c r="X61" i="1"/>
  <c r="AA39" i="1" l="1"/>
  <c r="C105" i="1" l="1" a="1"/>
  <c r="C105" i="1" s="1"/>
  <c r="B105" i="1" l="1" a="1"/>
  <c r="B105" i="1" s="1"/>
  <c r="D105" i="1" s="1"/>
  <c r="Z62" i="1" l="1"/>
  <c r="AB62" i="1"/>
  <c r="AC62" i="1"/>
  <c r="AD62" i="1"/>
  <c r="X62" i="1"/>
  <c r="AB59" i="1"/>
  <c r="AC59" i="1"/>
  <c r="AD59" i="1"/>
  <c r="AF59" i="1" s="1"/>
  <c r="X59" i="1"/>
  <c r="AB94" i="1" l="1"/>
  <c r="AC94" i="1"/>
  <c r="AD94" i="1"/>
  <c r="AF94" i="1" s="1"/>
  <c r="X94" i="1"/>
  <c r="AB57" i="1" l="1"/>
  <c r="AC57" i="1"/>
  <c r="AD57" i="1"/>
  <c r="AF57" i="1" s="1"/>
  <c r="X57" i="1"/>
  <c r="AE17" i="1" l="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E85" i="1" l="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L96" i="1" l="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<sst xmlns="http://schemas.openxmlformats.org/spreadsheetml/2006/main" count="225" uniqueCount="115">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</sst>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5">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80" formatCode="0.0%;[Red]\-0.0%"/>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00B050"/>
        <name val="Aptos Narrow"/>
        <family val="2"/>
        <scheme val="minor"/>
      </font>
    </dxf>
    <dxf>
      <numFmt numFmtId="13" formatCode="0%"/>
    </dxf>
    <dxf>
      <numFmt numFmtId="3" formatCode="#,##0"/>
    </dxf>
    <dxf>
      <numFmt numFmtId="3" formatCode="#,##0"/>
    </dxf>
    <dxf>
      <numFmt numFmtId="14" formatCode="0.00%"/>
    </dxf>
    <dxf>
      <numFmt numFmtId="165" formatCode="0.00_);[Red]\(0.00\)"/>
    </dxf>
    <dxf>
      <numFmt numFmtId="173" formatCode="_(&quot;$&quot;* #,##0_);_(&quot;$&quot;* \(#,##0\);_(&quot;$&quot;* &quot;-&quot;??_);_(@_)"/>
    </dxf>
    <dxf>
      <font>
        <b val="0"/>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dxf>
    <dxf>
      <font>
        <color rgb="FF00B050"/>
      </font>
      <numFmt numFmtId="180" formatCode="0.0%;[Red]\-0.0%"/>
      <fill>
        <patternFill patternType="solid">
          <fgColor indexed="64"/>
          <bgColor theme="4" tint="0.79998168889431442"/>
        </patternFill>
      </fill>
    </dxf>
    <dxf>
      <font>
        <color rgb="FF006100"/>
      </font>
      <fill>
        <patternFill>
          <bgColor rgb="FFC6EFCE"/>
        </patternFill>
      </fill>
    </dxf>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strike val="0"/>
        <outline val="0"/>
        <shadow val="0"/>
        <u val="none"/>
        <vertAlign val="baseline"/>
        <color rgb="FFFF0000"/>
      </font>
      <numFmt numFmtId="177" formatCode="[$-409]d\-mmm\-yy;@"/>
      <fill>
        <patternFill patternType="solid">
          <fgColor indexed="64"/>
          <bgColor theme="4" tint="0.79998168889431442"/>
        </patternFill>
      </fill>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fill>
        <patternFill patternType="solid">
          <fgColor indexed="64"/>
          <bgColor rgb="FFFFC000"/>
        </patternFill>
      </fill>
    </dxf>
    <dxf>
      <numFmt numFmtId="167" formatCode="_([$$-409]* #,##0.00_);_([$$-409]* \(#,##0.00\);_([$$-409]* &quot;-&quot;??_);_(@_)"/>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65" formatCode="0.00_);[Red]\(0.00\)"/>
    </dxf>
    <dxf>
      <numFmt numFmtId="4" formatCode="#,##0.00"/>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1.0818000000000001</v>
    <v>-0.09</v>
    <v>-3.7530000000000002E-4</v>
    <v>-0.47</v>
    <v>-1.9610000000000001E-3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241.32</v>
    <v>Computers, Phones &amp; Household Electronics</v>
    <v>Stock</v>
    <v>45905.999991724217</v>
    <v>0</v>
    <v>238.49010000000001</v>
    <v>3557093079100</v>
    <v>APPLE INC.</v>
    <v>APPLE INC.</v>
    <v>239.995</v>
    <v>33.0593</v>
    <v>239.78</v>
    <v>239.69</v>
    <v>239.22</v>
    <v>14840390000</v>
    <v>AAPL</v>
    <v>APPLE INC. (XNAS:AAPL)</v>
    <v>54870397</v>
    <v>58275063</v>
    <v>1977</v>
  </rv>
  <rv s="2">
    <v>1</v>
  </rv>
  <rv s="0">
    <v>https://www.bing.com/financeapi/forcetrigger?t=a269vh&amp;q=XNAS%3aXPER&amp;form=skydnc</v>
    <v>Learn more on Bing</v>
  </rv>
  <rv s="1">
    <v>0</v>
    <v>ADEIA INC. (XNAS:ADEA)</v>
    <v>2</v>
    <v>3</v>
    <v>Finance</v>
    <v>4</v>
    <v>en-US</v>
    <v>a269vh</v>
    <v>268435456</v>
    <v>1</v>
    <v>Powered by Refinitiv</v>
    <v>17.46</v>
    <v>10.59</v>
    <v>2.5304000000000002</v>
    <v>0.02</v>
    <v>1.2979999999999999E-3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15.62</v>
    <v>Software &amp; IT Services</v>
    <v>Stock</v>
    <v>45905.91493642344</v>
    <v>3</v>
    <v>15.23</v>
    <v>1687557498</v>
    <v>ADEIA INC.</v>
    <v>ADEIA INC.</v>
    <v>15.49</v>
    <v>20.782800000000002</v>
    <v>15.41</v>
    <v>15.43</v>
    <v>15.43</v>
    <v>109368600</v>
    <v>ADEA</v>
    <v>ADEIA INC. (XNAS:ADEA)</v>
    <v>328714</v>
    <v>549053</v>
    <v>2019</v>
  </rv>
  <rv s="2">
    <v>4</v>
  </rv>
  <rv s="0">
    <v>https://www.bing.com/financeapi/forcetrigger?t=aodfgh&amp;q=XLON%3aAET&amp;form=skydnc</v>
    <v>Learn more on Bing</v>
  </rv>
  <rv s="3">
    <v>5</v>
    <v>AFENTRA PLC (XLON:AET)</v>
    <v>2</v>
    <v>6</v>
    <v>Finance</v>
    <v>7</v>
    <v>en-US</v>
    <v>aodfgh</v>
    <v>268435456</v>
    <v>1</v>
    <v>Powered by Refinitiv</v>
    <v>56.2</v>
    <v>33.064999999999998</v>
    <v>1.1366000000000001</v>
    <v>0</v>
    <v>0</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55.8</v>
    <v>Oil &amp; Gas</v>
    <v>Stock</v>
    <v>45905.649562372659</v>
    <v>6</v>
    <v>53.2</v>
    <v>123129800</v>
    <v>AFENTRA PLC</v>
    <v>AFENTRA PLC</v>
    <v>54.4</v>
    <v>2.931</v>
    <v>54.4</v>
    <v>54.4</v>
    <v>226156000</v>
    <v>AET</v>
    <v>AFENTRA PLC (XLON:AET)</v>
    <v>1079934</v>
    <v>707530</v>
    <v>1983</v>
  </rv>
  <rv s="2">
    <v>7</v>
  </rv>
  <rv s="0">
    <v>https://www.bing.com/financeapi/forcetrigger?t=a1nhlh&amp;q=XNAS%3aAMZN&amp;form=skydnc</v>
    <v>Learn more on Bing</v>
  </rv>
  <rv s="1">
    <v>0</v>
    <v>AMAZON.COM, INC. (XNAS:AMZN)</v>
    <v>2</v>
    <v>3</v>
    <v>Finance</v>
    <v>4</v>
    <v>en-US</v>
    <v>a1nhlh</v>
    <v>268435456</v>
    <v>1</v>
    <v>Powered by Refinitiv</v>
    <v>242.52</v>
    <v>161.38</v>
    <v>1.2955000000000001</v>
    <v>-3.35</v>
    <v>-1.4213999999999999E-2</v>
    <v>-0.23899999999999999</v>
    <v>-1.029E-3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236</v>
    <v>Diversified Retail</v>
    <v>Stock</v>
    <v>45905.999998471874</v>
    <v>9</v>
    <v>231.93</v>
    <v>2513507000000</v>
    <v>AMAZON.COM, INC.</v>
    <v>AMAZON.COM, INC.</v>
    <v>235.19</v>
    <v>35.964199999999998</v>
    <v>235.68</v>
    <v>232.33</v>
    <v>232.09100000000001</v>
    <v>10664910000</v>
    <v>AMZN</v>
    <v>AMAZON.COM, INC. (XNAS:AMZN)</v>
    <v>36721802</v>
    <v>44381753</v>
    <v>1996</v>
  </rv>
  <rv s="2">
    <v>10</v>
  </rv>
  <rv s="0">
    <v>https://www.bing.com/financeapi/forcetrigger?t=b125ww&amp;q=XPAR%3aALDNE&amp;form=skydnc</v>
    <v>Learn more on Bing</v>
  </rv>
  <rv s="3">
    <v>5</v>
    <v>Dont Nod Entertainment SA (XPAR:ALDNE)</v>
    <v>2</v>
    <v>8</v>
    <v>Finance</v>
    <v>9</v>
    <v>en-US</v>
    <v>b125ww</v>
    <v>268435456</v>
    <v>1</v>
    <v>Powered by Refinitiv</v>
    <v>1.99</v>
    <v>0.65</v>
    <v>0.99280000000000002</v>
    <v>3.7999999999999999E-2</v>
    <v>4.3577999999999999E-2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0.91</v>
    <v>Software &amp; IT Services</v>
    <v>Stock</v>
    <v>45905.666666666664</v>
    <v>12</v>
    <v>0.89</v>
    <v>11407290</v>
    <v>Dont Nod Entertainment SA</v>
    <v>Dont Nod Entertainment SA</v>
    <v>0.89200000000000002</v>
    <v>0</v>
    <v>0.872</v>
    <v>0.91</v>
    <v>13081760</v>
    <v>ALDNE</v>
    <v>Dont Nod Entertainment SA (XPAR:ALDNE)</v>
    <v>676</v>
    <v>4030</v>
    <v>2008</v>
  </rv>
  <rv s="2">
    <v>13</v>
  </rv>
  <rv s="0">
    <v>https://www.bing.com/financeapi/forcetrigger?t=alnz5r&amp;q=XAMS%3aASML&amp;form=skydnc</v>
    <v>Learn more on Bing</v>
  </rv>
  <rv s="3">
    <v>5</v>
    <v>ASML Holding NV (XAMS:ASML)</v>
    <v>2</v>
    <v>8</v>
    <v>Finance</v>
    <v>9</v>
    <v>en-US</v>
    <v>alnz5r</v>
    <v>268435456</v>
    <v>1</v>
    <v>Powered by Refinitiv</v>
    <v>819.7</v>
    <v>508.4</v>
    <v>1.8642000000000001</v>
    <v>12.6</v>
    <v>1.9456000000000001E-2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666.3</v>
    <v>Semiconductors &amp; Semiconductor Equipment</v>
    <v>Stock</v>
    <v>45905.666666666664</v>
    <v>15</v>
    <v>653.1</v>
    <v>255044800000</v>
    <v>ASML Holding NV</v>
    <v>ASML Holding NV</v>
    <v>660</v>
    <v>25.349299999999999</v>
    <v>647.6</v>
    <v>660.2</v>
    <v>393830700</v>
    <v>ASML</v>
    <v>ASML Holding NV (XAMS:ASML)</v>
    <v>897446</v>
    <v>475690</v>
    <v>1994</v>
  </rv>
  <rv s="2">
    <v>16</v>
  </rv>
  <rv s="0">
    <v>https://www.bing.com/financeapi/forcetrigger?t=a1o3qh&amp;q=XNAS%3aAZN&amp;form=skydnc</v>
    <v>Learn more on Bing</v>
  </rv>
  <rv s="1">
    <v>0</v>
    <v>ASTRAZENECA PLC (XNAS:AZN)</v>
    <v>2</v>
    <v>3</v>
    <v>Finance</v>
    <v>4</v>
    <v>en-US</v>
    <v>a1o3qh</v>
    <v>268435456</v>
    <v>1</v>
    <v>Powered by Refinitiv</v>
    <v>84.3</v>
    <v>61.24</v>
    <v>0.37840000000000001</v>
    <v>-0.08</v>
    <v>-9.7820000000000003E-4</v>
    <v>0.51</v>
    <v>6.2420000000000002E-3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82.41</v>
    <v>Pharmaceuticals</v>
    <v>Stock</v>
    <v>45905.989281006252</v>
    <v>18</v>
    <v>81.540000000000006</v>
    <v>253880000000</v>
    <v>ASTRAZENECA PLC</v>
    <v>ASTRAZENECA PLC</v>
    <v>82.05</v>
    <v>30.759399999999999</v>
    <v>81.78</v>
    <v>81.7</v>
    <v>82.21</v>
    <v>3101386000</v>
    <v>AZN</v>
    <v>ASTRAZENECA PLC (XNAS:AZN)</v>
    <v>2464583</v>
    <v>4151554</v>
    <v>1992</v>
  </rv>
  <rv s="2">
    <v>19</v>
  </rv>
  <rv s="0">
    <v>https://www.bing.com/financeapi/forcetrigger?t=a1oldm&amp;q=XNAS%3aBLDP&amp;form=skydnc</v>
    <v>Learn more on Bing</v>
  </rv>
  <rv s="1">
    <v>0</v>
    <v>BALLARD POWER SYSTEMS INC. (XNAS:BLDP)</v>
    <v>2</v>
    <v>10</v>
    <v>Finance</v>
    <v>4</v>
    <v>en-US</v>
    <v>a1oldm</v>
    <v>268435456</v>
    <v>1</v>
    <v>Powered by Refinitiv</v>
    <v>2.2799999999999998</v>
    <v>1</v>
    <v>1.7793000000000001</v>
    <v>0.14000000000000001</v>
    <v>7.5675999999999993E-2</v>
    <v>0.03</v>
    <v>1.5075E-2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v>
    <v>Renewable Energy</v>
    <v>Stock</v>
    <v>45905.983967337503</v>
    <v>21</v>
    <v>1.86</v>
    <v>773884900</v>
    <v>BALLARD POWER SYSTEMS INC.</v>
    <v>BALLARD POWER SYSTEMS INC.</v>
    <v>1.86</v>
    <v>0</v>
    <v>1.85</v>
    <v>1.99</v>
    <v>2.02</v>
    <v>300577700</v>
    <v>BLDP</v>
    <v>BALLARD POWER SYSTEMS INC. (XNAS:BLDP)</v>
    <v>5296323</v>
    <v>3843547</v>
    <v>2016</v>
  </rv>
  <rv s="2">
    <v>22</v>
  </rv>
  <rv s="0">
    <v>https://www.bing.com/financeapi/forcetrigger?t=a1oo5r&amp;q=XNAS%3aBMRA&amp;form=skydnc</v>
    <v>Learn more on Bing</v>
  </rv>
  <rv s="1">
    <v>0</v>
    <v>BIOMERICA, INC. (XNAS:BMRA)</v>
    <v>2</v>
    <v>3</v>
    <v>Finance</v>
    <v>4</v>
    <v>en-US</v>
    <v>a1oo5r</v>
    <v>268435456</v>
    <v>1</v>
    <v>Powered by Refinitiv</v>
    <v>10.16</v>
    <v>2.08</v>
    <v>0.35589999999999999</v>
    <v>-7.0000000000000007E-2</v>
    <v>-2.4822999999999998E-2</v>
    <v>-0.04</v>
    <v>-1.4544999999999999E-2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2.79</v>
    <v>Healthcare Equipment &amp; Supplies</v>
    <v>Stock</v>
    <v>45905.999852962501</v>
    <v>24</v>
    <v>2.5299999999999998</v>
    <v>7939460</v>
    <v>BIOMERICA, INC.</v>
    <v>BIOMERICA, INC.</v>
    <v>2.75</v>
    <v>0</v>
    <v>2.82</v>
    <v>2.75</v>
    <v>2.71</v>
    <v>2815410</v>
    <v>BMRA</v>
    <v>BIOMERICA, INC. (XNAS:BMRA)</v>
    <v>129780</v>
    <v>1946755</v>
    <v>1971</v>
  </rv>
  <rv s="2">
    <v>25</v>
  </rv>
  <rv s="0">
    <v>https://www.bing.com/financeapi/forcetrigger?t=a1p3ww&amp;q=XNYS%3aC&amp;form=skydnc</v>
    <v>Learn more on Bing</v>
  </rv>
  <rv s="1">
    <v>0</v>
    <v>CITIGROUP INC. (XNYS:C)</v>
    <v>2</v>
    <v>3</v>
    <v>Finance</v>
    <v>4</v>
    <v>en-US</v>
    <v>a1p3ww</v>
    <v>268435456</v>
    <v>1</v>
    <v>Powered by Refinitiv</v>
    <v>97.98</v>
    <v>55.51</v>
    <v>1.3585</v>
    <v>-1.68</v>
    <v>-1.7305000000000001E-2</v>
    <v>-0.01</v>
    <v>-1.048E-4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97.98</v>
    <v>Investment Banking &amp; Investment Services</v>
    <v>Stock</v>
    <v>45905.997651550781</v>
    <v>27</v>
    <v>94.15</v>
    <v>175621700000</v>
    <v>CITIGROUP INC.</v>
    <v>CITIGROUP INC.</v>
    <v>97.37</v>
    <v>14.3513</v>
    <v>97.08</v>
    <v>95.4</v>
    <v>95.39</v>
    <v>1840898000</v>
    <v>C</v>
    <v>CITIGROUP INC. (XNYS:C)</v>
    <v>17020821</v>
    <v>13587708</v>
    <v>1988</v>
  </rv>
  <rv s="2">
    <v>28</v>
  </rv>
  <rv s="0">
    <v>https://www.bing.com/financeapi/forcetrigger?t=a1qe5r&amp;q=XNAS%3aCSCO&amp;form=skydnc</v>
    <v>Learn more on Bing</v>
  </rv>
  <rv s="1">
    <v>0</v>
    <v>CISCO SYSTEMS, INC. (XNAS:CSCO)</v>
    <v>2</v>
    <v>3</v>
    <v>Finance</v>
    <v>4</v>
    <v>en-US</v>
    <v>a1qe5r</v>
    <v>268435456</v>
    <v>1</v>
    <v>Powered by Refinitiv</v>
    <v>72.55</v>
    <v>47.850099999999998</v>
    <v>0.97709999999999997</v>
    <v>-1.0900000000000001</v>
    <v>-1.6032000000000001E-2</v>
    <v>-0.16020000000000001</v>
    <v>-2.395E-3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68.099999999999994</v>
    <v>Communications &amp; Networking</v>
    <v>Stock</v>
    <v>45905.999658923436</v>
    <v>30</v>
    <v>66.48</v>
    <v>264468879300</v>
    <v>CISCO SYSTEMS, INC.</v>
    <v>CISCO SYSTEMS, INC.</v>
    <v>67.715000000000003</v>
    <v>28.742100000000001</v>
    <v>67.989999999999995</v>
    <v>66.900000000000006</v>
    <v>66.739800000000002</v>
    <v>3953197000</v>
    <v>CSCO</v>
    <v>CISCO SYSTEMS, INC. (XNAS:CSCO)</v>
    <v>21050788</v>
    <v>21391928</v>
    <v>2021</v>
  </rv>
  <rv s="2">
    <v>31</v>
  </rv>
  <rv s="0">
    <v>https://www.bing.com/financeapi/forcetrigger?t=a1qlnm&amp;q=XNYS%3aCVS&amp;form=skydnc</v>
    <v>Learn more on Bing</v>
  </rv>
  <rv s="1">
    <v>0</v>
    <v>CVS HEALTH CORPORATION (XNYS:CVS)</v>
    <v>2</v>
    <v>3</v>
    <v>Finance</v>
    <v>4</v>
    <v>en-US</v>
    <v>a1qlnm</v>
    <v>268435456</v>
    <v>1</v>
    <v>Powered by Refinitiv</v>
    <v>74.53</v>
    <v>43.56</v>
    <v>0.60780000000000001</v>
    <v>0.09</v>
    <v>1.2210000000000001E-3</v>
    <v>0.17</v>
    <v>2.3040000000000001E-3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74.489999999999995</v>
    <v>Healthcare Providers &amp; Services</v>
    <v>Stock</v>
    <v>45905.997153310156</v>
    <v>33</v>
    <v>73.06</v>
    <v>93577120000</v>
    <v>CVS HEALTH CORPORATION</v>
    <v>CVS HEALTH CORPORATION</v>
    <v>73.38</v>
    <v>20.5656</v>
    <v>73.69</v>
    <v>73.78</v>
    <v>73.95</v>
    <v>1268326000</v>
    <v>CVS</v>
    <v>CVS HEALTH CORPORATION (XNYS:CVS)</v>
    <v>5075189</v>
    <v>7265373</v>
    <v>1996</v>
  </rv>
  <rv s="2">
    <v>34</v>
  </rv>
  <rv s="0">
    <v>https://www.bing.com/financeapi/forcetrigger?t=a1qu2w&amp;q=XNYS%3aDDD&amp;form=skydnc</v>
    <v>Learn more on Bing</v>
  </rv>
  <rv s="4">
    <v>11</v>
    <v>3D SYSTEMS CORPORATION (XNYS:DDD)</v>
    <v>2</v>
    <v>12</v>
    <v>Finance</v>
    <v>4</v>
    <v>en-US</v>
    <v>a1qu2w</v>
    <v>268435456</v>
    <v>1</v>
    <v>Powered by Refinitiv</v>
    <v>4.9991000000000003</v>
    <v>1.32</v>
    <v>2.0886</v>
    <v>7.0000000000000007E-2</v>
    <v>3.4146000000000003E-2</v>
    <v>0</v>
    <v>0</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2.14</v>
    <v>Electronic Equipment &amp; Parts</v>
    <v>Stock</v>
    <v>45905.995490601563</v>
    <v>36</v>
    <v>2.0421</v>
    <v>271895400</v>
    <v>3D SYSTEMS CORPORATION</v>
    <v>3D SYSTEMS CORPORATION</v>
    <v>2.09</v>
    <v>2.0499999999999998</v>
    <v>2.12</v>
    <v>2.12</v>
    <v>128252600</v>
    <v>DDD</v>
    <v>3D SYSTEMS CORPORATION (XNYS:DDD)</v>
    <v>2570864</v>
    <v>4638924</v>
    <v>1993</v>
  </rv>
  <rv s="2">
    <v>37</v>
  </rv>
  <rv s="0">
    <v>http://en.wikipedia.org/wiki/Public_domain</v>
    <v>Public domain</v>
  </rv>
  <rv s="0">
    <v>http://en.wikipedia.org/wiki/The_Walt_Disney_Company</v>
    <v>Wikipedia</v>
  </rv>
  <rv s="5">
    <v>39</v>
    <v>40</v>
  </rv>
  <rv s="6">
    <v>17</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13</v>
    <v>THE WALT DISNEY COMPANY (XNYS:DIS)</v>
    <v>15</v>
    <v>16</v>
    <v>Finance</v>
    <v>4</v>
    <v>en-US</v>
    <v>a1r2z2</v>
    <v>268435456</v>
    <v>1</v>
    <v>Powered by Refinitiv</v>
    <v>124.69</v>
    <v>80.099999999999994</v>
    <v>1.5549999999999999</v>
    <v>-0.9</v>
    <v>-7.5749999999999993E-3</v>
    <v>2.9899999999999999E-2</v>
    <v>2.5359999999999998E-4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119.78</v>
    <v>42</v>
    <v>Media &amp; Publishing</v>
    <v>Stock</v>
    <v>45905.998333818752</v>
    <v>43</v>
    <v>117.7</v>
    <v>211994397940</v>
    <v>THE WALT DISNEY COMPANY</v>
    <v>THE WALT DISNEY COMPANY</v>
    <v>118.91</v>
    <v>18.626999999999999</v>
    <v>118.81</v>
    <v>117.91</v>
    <v>117.93989999999999</v>
    <v>1797934000</v>
    <v>DIS</v>
    <v>THE WALT DISNEY COMPANY (XNYS:DIS)</v>
    <v>6669126</v>
    <v>8144722</v>
    <v>2018</v>
  </rv>
  <rv s="2">
    <v>44</v>
  </rv>
  <rv s="0">
    <v>https://www.bing.com/financeapi/forcetrigger?t=ae8e9c&amp;q=XPAR%3aDSY&amp;form=skydnc</v>
    <v>Learn more on Bing</v>
  </rv>
  <rv s="3">
    <v>5</v>
    <v>Dassault Systemes SE (XPAR:DSY)</v>
    <v>2</v>
    <v>8</v>
    <v>Finance</v>
    <v>9</v>
    <v>en-US</v>
    <v>ae8e9c</v>
    <v>268435456</v>
    <v>1</v>
    <v>Powered by Refinitiv</v>
    <v>41.17</v>
    <v>26.25</v>
    <v>0.68440000000000001</v>
    <v>0.06</v>
    <v>2.2439999999999999E-3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27.03</v>
    <v>Software &amp; IT Services</v>
    <v>Stock</v>
    <v>45905.681145833332</v>
    <v>46</v>
    <v>26.67</v>
    <v>35948710000</v>
    <v>Dassault Systemes SE</v>
    <v>Dassault Systemes SE</v>
    <v>26.8</v>
    <v>30.725000000000001</v>
    <v>26.74</v>
    <v>26.8</v>
    <v>1344380000</v>
    <v>DSY</v>
    <v>Dassault Systemes SE (XPAR:DSY)</v>
    <v>1791185</v>
    <v>1714440</v>
    <v>1981</v>
  </rv>
  <rv s="2">
    <v>47</v>
  </rv>
  <rv s="0">
    <v>https://www.bing.com/financeapi/forcetrigger?t=a1rec7&amp;q=XNYS%3aDVA&amp;form=skydnc</v>
    <v>Learn more on Bing</v>
  </rv>
  <rv s="1">
    <v>0</v>
    <v>DAVITA INC. (XNYS:DVA)</v>
    <v>2</v>
    <v>3</v>
    <v>Finance</v>
    <v>4</v>
    <v>en-US</v>
    <v>a1rec7</v>
    <v>268435456</v>
    <v>1</v>
    <v>Powered by Refinitiv</v>
    <v>179.6</v>
    <v>126.07</v>
    <v>1.1385000000000001</v>
    <v>2.31</v>
    <v>1.704E-2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138.37</v>
    <v>Healthcare Providers &amp; Services</v>
    <v>Stock</v>
    <v>45905.958333356248</v>
    <v>49</v>
    <v>135.5</v>
    <v>9857705000</v>
    <v>DAVITA INC.</v>
    <v>DAVITA INC.</v>
    <v>135.5</v>
    <v>13.5471</v>
    <v>135.56</v>
    <v>137.87</v>
    <v>137.87</v>
    <v>71500000</v>
    <v>DVA</v>
    <v>DAVITA INC. (XNYS:DVA)</v>
    <v>659996</v>
    <v>867802</v>
    <v>1994</v>
  </rv>
  <rv s="2">
    <v>50</v>
  </rv>
  <rv s="0">
    <v>https://www.bing.com/financeapi/forcetrigger?t=a1rgur&amp;q=XNYS%3aDXC&amp;form=skydnc</v>
    <v>Learn more on Bing</v>
  </rv>
  <rv s="1">
    <v>0</v>
    <v>DXC TECHNOLOGY COMPANY (XNYS:DXC)</v>
    <v>2</v>
    <v>3</v>
    <v>Finance</v>
    <v>4</v>
    <v>en-US</v>
    <v>a1rgur</v>
    <v>268435456</v>
    <v>1</v>
    <v>Powered by Refinitiv</v>
    <v>24.83</v>
    <v>12.24</v>
    <v>1.1398999999999999</v>
    <v>0.28999999999999998</v>
    <v>0.02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15.0389</v>
    <v>Software &amp; IT Services</v>
    <v>Stock</v>
    <v>45905.958333344533</v>
    <v>52</v>
    <v>14.48</v>
    <v>2647390773</v>
    <v>DXC TECHNOLOGY COMPANY</v>
    <v>DXC TECHNOLOGY COMPANY</v>
    <v>14.58</v>
    <v>7.0800999999999998</v>
    <v>14.5</v>
    <v>14.79</v>
    <v>14.79</v>
    <v>178998700</v>
    <v>DXC</v>
    <v>DXC TECHNOLOGY COMPANY (XNYS:DXC)</v>
    <v>1787203</v>
    <v>1843100</v>
    <v>2017</v>
  </rv>
  <rv s="2">
    <v>53</v>
  </rv>
  <rv s="0">
    <v>https://www.bing.com/financeapi/forcetrigger?t=afrlyc&amp;q=XETR%3aEOAN&amp;form=skydnc</v>
    <v>Learn more on Bing</v>
  </rv>
  <rv s="3">
    <v>5</v>
    <v>E.ON SE (XETR:EOAN)</v>
    <v>2</v>
    <v>8</v>
    <v>Finance</v>
    <v>9</v>
    <v>en-US</v>
    <v>afrlyc</v>
    <v>268435456</v>
    <v>1</v>
    <v>Powered by Refinitiv</v>
    <v>16.55</v>
    <v>10.435</v>
    <v>0.71319999999999995</v>
    <v>0.25</v>
    <v>1.6750000000000001E-2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15.175000000000001</v>
    <v>Multiline Utilities</v>
    <v>Stock</v>
    <v>45905.770833333336</v>
    <v>55</v>
    <v>14.895</v>
    <v>39421680000</v>
    <v>E.ON SE</v>
    <v>E.ON SE</v>
    <v>14.91</v>
    <v>12.360200000000001</v>
    <v>14.925000000000001</v>
    <v>15.175000000000001</v>
    <v>2641319000</v>
    <v>EOAN</v>
    <v>E.ON SE (XETR:EOAN)</v>
    <v>6564190</v>
    <v>3889840</v>
    <v>2017</v>
  </rv>
  <rv s="2">
    <v>56</v>
  </rv>
  <rv s="0">
    <v>https://www.bing.com/financeapi/forcetrigger?t=a1s2zr&amp;q=XNAS%3aEPIX&amp;form=skydnc</v>
    <v>Learn more on Bing</v>
  </rv>
  <rv s="1">
    <v>0</v>
    <v>ESSA Pharma Inc. (XNAS:EPIX)</v>
    <v>2</v>
    <v>3</v>
    <v>Finance</v>
    <v>4</v>
    <v>en-US</v>
    <v>a1s2zr</v>
    <v>268435456</v>
    <v>1</v>
    <v>Powered by Refinitiv</v>
    <v>0.97570000000000001</v>
    <v>0.17330000000000001</v>
    <v>1.6245000000000001</v>
    <v>1.2999999999999999E-3</v>
    <v>5.6129999999999999E-3</v>
    <v>5.1000000000000004E-3</v>
    <v>2.1898000000000001E-2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0.23499999999999999</v>
    <v>Holding Companies</v>
    <v>Stock</v>
    <v>45905.999563853904</v>
    <v>58</v>
    <v>0.23130000000000001</v>
    <v>11018124</v>
    <v>ESSA Pharma Inc.</v>
    <v>ESSA Pharma Inc.</v>
    <v>0.23150000000000001</v>
    <v>0</v>
    <v>0.2316</v>
    <v>0.2329</v>
    <v>0.23799999999999999</v>
    <v>47308390</v>
    <v>EPIX</v>
    <v>ESSA Pharma Inc. (XNAS:EPIX)</v>
    <v>2170539</v>
    <v>13842832</v>
    <v>2009</v>
  </rv>
  <rv s="2">
    <v>59</v>
  </rv>
  <rv s="0">
    <v>https://www.bing.com/financeapi/forcetrigger?t=a1tyrw&amp;q=XNYS%3aGM&amp;form=skydnc</v>
    <v>Learn more on Bing</v>
  </rv>
  <rv s="1">
    <v>0</v>
    <v>GENERAL MOTORS COMPANY (XNYS:GM)</v>
    <v>2</v>
    <v>3</v>
    <v>Finance</v>
    <v>4</v>
    <v>en-US</v>
    <v>a1tyrw</v>
    <v>268435456</v>
    <v>1</v>
    <v>Powered by Refinitiv</v>
    <v>61.24</v>
    <v>41.6</v>
    <v>1.3385</v>
    <v>0.27</v>
    <v>4.6550000000000003E-3</v>
    <v>-0.02</v>
    <v>-3.4320000000000005E-4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58.805</v>
    <v>Automobiles &amp; Auto Parts</v>
    <v>Stock</v>
    <v>45905.998227696095</v>
    <v>61</v>
    <v>57.755000000000003</v>
    <v>55363320000</v>
    <v>GENERAL MOTORS COMPANY</v>
    <v>GENERAL MOTORS COMPANY</v>
    <v>58.08</v>
    <v>8.3602000000000007</v>
    <v>58</v>
    <v>58.27</v>
    <v>58.25</v>
    <v>952077800</v>
    <v>GM</v>
    <v>GENERAL MOTORS COMPANY (XNYS:GM)</v>
    <v>7378092</v>
    <v>6899790</v>
    <v>2009</v>
  </rv>
  <rv s="2">
    <v>62</v>
  </rv>
  <rv s="0">
    <v>https://www.bing.com/financeapi/forcetrigger?t=a1utqh&amp;q=XNYS%3aHPE&amp;form=skydnc</v>
    <v>Learn more on Bing</v>
  </rv>
  <rv s="1">
    <v>0</v>
    <v>HEWLETT PACKARD ENTERPRISE COMPANY (XNYS:HPE)</v>
    <v>2</v>
    <v>3</v>
    <v>Finance</v>
    <v>4</v>
    <v>en-US</v>
    <v>a1utqh</v>
    <v>268435456</v>
    <v>1</v>
    <v>Powered by Refinitiv</v>
    <v>24.66</v>
    <v>11.965</v>
    <v>1.4483999999999999</v>
    <v>0.36</v>
    <v>1.5544000000000001E-2</v>
    <v>-1.9800000000000002E-2</v>
    <v>-8.4180000000000008E-4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23.56</v>
    <v>Computers, Phones &amp; Household Electronics</v>
    <v>Stock</v>
    <v>45905.997589316408</v>
    <v>64</v>
    <v>22.7</v>
    <v>31022880000</v>
    <v>HEWLETT PACKARD ENTERPRISE COMPANY</v>
    <v>HEWLETT PACKARD ENTERPRISE COMPANY</v>
    <v>23.16</v>
    <v>27.779399999999999</v>
    <v>23.16</v>
    <v>23.52</v>
    <v>23.5002</v>
    <v>1319450000</v>
    <v>HPE</v>
    <v>HEWLETT PACKARD ENTERPRISE COMPANY (XNYS:HPE)</v>
    <v>24237483</v>
    <v>19278360</v>
    <v>2015</v>
  </rv>
  <rv s="2">
    <v>65</v>
  </rv>
  <rv s="0">
    <v>http://en.wikipedia.org/wiki/Hewlett-Packard</v>
    <v>Wikipedia</v>
  </rv>
  <rv s="5">
    <v>39</v>
    <v>67</v>
  </rv>
  <rv s="6">
    <v>17</v>
    <v>https://www.bing.com/th?id=AMMS_98757b1e7b158827481b7c629463c21b&amp;qlt=95</v>
    <v>68</v>
    <v>0</v>
    <v>https://www.bing.com/images/search?form=xlimg&amp;q=hp+company</v>
    <v>Image of HP INC.</v>
  </rv>
  <rv s="0">
    <v>https://www.bing.com/financeapi/forcetrigger?t=a1uu5r&amp;q=XNYS%3aHPQ&amp;form=skydnc</v>
    <v>Learn more on Bing</v>
  </rv>
  <rv s="7">
    <v>13</v>
    <v>HP INC. (XNYS:HPQ)</v>
    <v>15</v>
    <v>16</v>
    <v>Finance</v>
    <v>4</v>
    <v>en-US</v>
    <v>a1uu5r</v>
    <v>268435456</v>
    <v>1</v>
    <v>Powered by Refinitiv</v>
    <v>39.795000000000002</v>
    <v>21.21</v>
    <v>1.3141</v>
    <v>0.42</v>
    <v>1.4522999999999999E-2</v>
    <v>-0.24</v>
    <v>-8.1799999999999998E-3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29.45</v>
    <v>69</v>
    <v>Computers, Phones &amp; Household Electronics</v>
    <v>Stock</v>
    <v>45905.999771700779</v>
    <v>70</v>
    <v>28.895</v>
    <v>27424150812</v>
    <v>HP INC.</v>
    <v>HP INC.</v>
    <v>29.05</v>
    <v>10.6881</v>
    <v>28.92</v>
    <v>29.34</v>
    <v>29.1</v>
    <v>934701800</v>
    <v>HPQ</v>
    <v>HP INC. (XNYS:HPQ)</v>
    <v>8677808</v>
    <v>9085272</v>
    <v>1998</v>
  </rv>
  <rv s="2">
    <v>71</v>
  </rv>
  <rv s="0">
    <v>https://www.bing.com/financeapi/forcetrigger?t=ao9wcw&amp;q=XLON%3aIAG&amp;form=skydnc</v>
    <v>Learn more on Bing</v>
  </rv>
  <rv s="3">
    <v>5</v>
    <v>International Consolidated Airlines Group SA (XLON:IAG)</v>
    <v>2</v>
    <v>6</v>
    <v>Finance</v>
    <v>7</v>
    <v>en-US</v>
    <v>ao9wcw</v>
    <v>268435456</v>
    <v>1</v>
    <v>Powered by Refinitiv</v>
    <v>396.7</v>
    <v>180.6</v>
    <v>2.8026</v>
    <v>0.7</v>
    <v>1.7949999999999999E-3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393.5</v>
    <v>Passenger Transportation Services</v>
    <v>Stock</v>
    <v>45905.62336168906</v>
    <v>73</v>
    <v>385.8</v>
    <v>18034260000</v>
    <v>International Consolidated Airlines Group SA</v>
    <v>International Consolidated Airlines Group SA</v>
    <v>390.8</v>
    <v>7.0258000000000003</v>
    <v>390</v>
    <v>390.7</v>
    <v>4624206000</v>
    <v>IAG</v>
    <v>International Consolidated Airlines Group SA (XLON:IAG)</v>
    <v>11836586</v>
    <v>11453210</v>
    <v>2009</v>
  </rv>
  <rv s="2">
    <v>74</v>
  </rv>
  <rv s="0">
    <v>https://www.bing.com/financeapi/forcetrigger?t=a1wmu2&amp;q=XNYS%3aKR&amp;form=skydnc</v>
    <v>Learn more on Bing</v>
  </rv>
  <rv s="1">
    <v>0</v>
    <v>THE KROGER CO. (XNYS:KR)</v>
    <v>2</v>
    <v>3</v>
    <v>Finance</v>
    <v>4</v>
    <v>en-US</v>
    <v>a1wmu2</v>
    <v>268435456</v>
    <v>1</v>
    <v>Powered by Refinitiv</v>
    <v>74.900000000000006</v>
    <v>50.69</v>
    <v>0.57350000000000001</v>
    <v>-0.09</v>
    <v>-1.3270000000000001E-3</v>
    <v>4.9599999999999998E-2</v>
    <v>7.3209999999999996E-4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68.2</v>
    <v>Food &amp; Drug Retailing</v>
    <v>Stock</v>
    <v>45905.999521596874</v>
    <v>76</v>
    <v>67.31</v>
    <v>44793305450</v>
    <v>THE KROGER CO.</v>
    <v>THE KROGER CO.</v>
    <v>67.92</v>
    <v>18.4558</v>
    <v>67.84</v>
    <v>67.75</v>
    <v>67.799599999999998</v>
    <v>661155800</v>
    <v>KR</v>
    <v>THE KROGER CO. (XNYS:KR)</v>
    <v>5575671</v>
    <v>6792744</v>
    <v>1902</v>
  </rv>
  <rv s="2">
    <v>77</v>
  </rv>
  <rv s="0">
    <v>https://www.bing.com/financeapi/forcetrigger?t=bvuap2&amp;q=XNAS%3aLNSR&amp;form=skydnc</v>
    <v>Learn more on Bing</v>
  </rv>
  <rv s="1">
    <v>0</v>
    <v>LENSAR, INC. (XNAS:LNSR)</v>
    <v>2</v>
    <v>3</v>
    <v>Finance</v>
    <v>4</v>
    <v>en-US</v>
    <v>bvuap2</v>
    <v>268435456</v>
    <v>1</v>
    <v>Powered by Refinitiv</v>
    <v>17.309999999999999</v>
    <v>3.8001</v>
    <v>0.49680000000000002</v>
    <v>0</v>
    <v>0</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12.25</v>
    <v>Healthcare Equipment &amp; Supplies</v>
    <v>Stock</v>
    <v>45905.840325960155</v>
    <v>79</v>
    <v>12.04</v>
    <v>145246272</v>
    <v>LENSAR, INC.</v>
    <v>LENSAR, INC.</v>
    <v>12.25</v>
    <v>0</v>
    <v>12.17</v>
    <v>12.17</v>
    <v>12.17</v>
    <v>11934780</v>
    <v>LNSR</v>
    <v>LENSAR, INC. (XNAS:LNSR)</v>
    <v>23049</v>
    <v>66414</v>
    <v>2004</v>
  </rv>
  <rv s="2">
    <v>80</v>
  </rv>
  <rv s="0">
    <v>https://www.bing.com/financeapi/forcetrigger?t=a1qgzr&amp;q=XNYS%3aLUMN&amp;form=skydnc</v>
    <v>Learn more on Bing</v>
  </rv>
  <rv s="4">
    <v>11</v>
    <v>LUMEN TECHNOLOGIES, INC. (XNYS:LUMN)</v>
    <v>2</v>
    <v>12</v>
    <v>Finance</v>
    <v>4</v>
    <v>en-US</v>
    <v>a1qgzr</v>
    <v>268435456</v>
    <v>1</v>
    <v>Powered by Refinitiv</v>
    <v>10.33</v>
    <v>3.01</v>
    <v>1.4073</v>
    <v>-0.22</v>
    <v>-4.4266E-2</v>
    <v>-2.9999999999999997E-4</v>
    <v>-6.3159999999999998E-5</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5.01</v>
    <v>Telecommunications Services</v>
    <v>Stock</v>
    <v>45905.999805543754</v>
    <v>82</v>
    <v>4.71</v>
    <v>4874169000</v>
    <v>LUMEN TECHNOLOGIES, INC.</v>
    <v>LUMEN TECHNOLOGIES, INC.</v>
    <v>4.97</v>
    <v>4.97</v>
    <v>4.75</v>
    <v>4.7496999999999998</v>
    <v>1026141000</v>
    <v>LUMN</v>
    <v>LUMEN TECHNOLOGIES, INC. (XNYS:LUMN)</v>
    <v>16250082</v>
    <v>14480944</v>
    <v>1968</v>
  </rv>
  <rv s="2">
    <v>83</v>
  </rv>
  <rv s="0">
    <v>https://www.bing.com/financeapi/forcetrigger?t=bo5fpr&amp;q=XNAS%3aMRNA&amp;form=skydnc</v>
    <v>Learn more on Bing</v>
  </rv>
  <rv s="1">
    <v>0</v>
    <v>MODERNA, INC. (XNAS:MRNA)</v>
    <v>2</v>
    <v>3</v>
    <v>Finance</v>
    <v>4</v>
    <v>en-US</v>
    <v>bo5fpr</v>
    <v>268435456</v>
    <v>1</v>
    <v>Powered by Refinitiv</v>
    <v>79.958699999999993</v>
    <v>23.15</v>
    <v>2.0028999999999999</v>
    <v>0.86</v>
    <v>3.542E-2</v>
    <v>-0.13</v>
    <v>-5.1710000000000002E-3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25.48</v>
    <v>Pharmaceuticals</v>
    <v>Stock</v>
    <v>45905.999667916403</v>
    <v>85</v>
    <v>24.605399999999999</v>
    <v>9781465000</v>
    <v>MODERNA, INC.</v>
    <v>MODERNA, INC.</v>
    <v>24.66</v>
    <v>0</v>
    <v>24.28</v>
    <v>25.14</v>
    <v>25.01</v>
    <v>389079800</v>
    <v>MRNA</v>
    <v>MODERNA, INC. (XNAS:MRNA)</v>
    <v>13040610</v>
    <v>9768259</v>
    <v>2016</v>
  </rv>
  <rv s="2">
    <v>86</v>
  </rv>
  <rv s="0">
    <v>https://en.wikipedia.org/wiki/Microsoft</v>
    <v>Wikipedia</v>
  </rv>
  <rv s="5">
    <v>39</v>
    <v>88</v>
  </rv>
  <rv s="6">
    <v>17</v>
    <v>https://www.bing.com/th?id=AMMS_e6e837c7bf3a77408619758b7447855a&amp;qlt=95</v>
    <v>89</v>
    <v>0</v>
    <v>https://www.bing.com/images/search?form=xlimg&amp;q=microsoft</v>
    <v>Image of MICROSOFT CORPORATION</v>
  </rv>
  <rv s="0">
    <v>https://www.bing.com/financeapi/forcetrigger?t=a1xzim&amp;q=XNAS%3aMSFT&amp;form=skydnc</v>
    <v>Learn more on Bing</v>
  </rv>
  <rv s="7">
    <v>13</v>
    <v>MICROSOFT CORPORATION (XNAS:MSFT)</v>
    <v>15</v>
    <v>16</v>
    <v>Finance</v>
    <v>4</v>
    <v>en-US</v>
    <v>a1xzim</v>
    <v>268435456</v>
    <v>1</v>
    <v>Powered by Refinitiv</v>
    <v>555.45000000000005</v>
    <v>344.79</v>
    <v>1.0294000000000001</v>
    <v>-12.97</v>
    <v>-2.5533E-2</v>
    <v>-0.06</v>
    <v>-1.2120000000000001E-4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511.97</v>
    <v>90</v>
    <v>Software &amp; IT Services</v>
    <v>Stock</v>
    <v>45905.999992557816</v>
    <v>91</v>
    <v>492.37</v>
    <v>3679417000000</v>
    <v>MICROSOFT CORPORATION</v>
    <v>MICROSOFT CORPORATION</v>
    <v>509.07</v>
    <v>37.238300000000002</v>
    <v>507.97</v>
    <v>495</v>
    <v>494.94</v>
    <v>7433167000</v>
    <v>MSFT</v>
    <v>MICROSOFT CORPORATION (XNAS:MSFT)</v>
    <v>31994846</v>
    <v>22260405</v>
    <v>1993</v>
  </rv>
  <rv s="2">
    <v>92</v>
  </rv>
  <rv s="0">
    <v>https://www.bing.com/financeapi/forcetrigger?t=a1ye2w&amp;q=XNYS%3aNEE&amp;form=skydnc</v>
    <v>Learn more on Bing</v>
  </rv>
  <rv s="1">
    <v>0</v>
    <v>NEXTERA ENERGY, INC. (XNYS:NEE)</v>
    <v>2</v>
    <v>3</v>
    <v>Finance</v>
    <v>4</v>
    <v>en-US</v>
    <v>a1ye2w</v>
    <v>268435456</v>
    <v>1</v>
    <v>Powered by Refinitiv</v>
    <v>86.1</v>
    <v>61.72</v>
    <v>0.64770000000000005</v>
    <v>0.03</v>
    <v>4.2329999999999999E-4</v>
    <v>-0.1</v>
    <v>-1.4099999999999998E-3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71.73</v>
    <v>Electrical Utilities &amp; IPPs</v>
    <v>Stock</v>
    <v>45905.99798078672</v>
    <v>94</v>
    <v>70.254999999999995</v>
    <v>145942100000</v>
    <v>NEXTERA ENERGY, INC.</v>
    <v>NEXTERA ENERGY, INC.</v>
    <v>71.25</v>
    <v>26.5166</v>
    <v>70.87</v>
    <v>70.900000000000006</v>
    <v>70.8</v>
    <v>2059292000</v>
    <v>NEE</v>
    <v>NEXTERA ENERGY, INC. (XNYS:NEE)</v>
    <v>10067583</v>
    <v>9419875</v>
    <v>1984</v>
  </rv>
  <rv s="2">
    <v>95</v>
  </rv>
  <rv s="0">
    <v>https://www.bing.com/financeapi/forcetrigger?t=a1yeec&amp;q=XNYS%3aNEM&amp;form=skydnc</v>
    <v>Learn more on Bing</v>
  </rv>
  <rv s="1">
    <v>0</v>
    <v>NEWMONT CORPORATION (XNYS:NEM)</v>
    <v>2</v>
    <v>3</v>
    <v>Finance</v>
    <v>4</v>
    <v>en-US</v>
    <v>a1yeec</v>
    <v>268435456</v>
    <v>1</v>
    <v>Powered by Refinitiv</v>
    <v>77.3</v>
    <v>36.86</v>
    <v>0.33300000000000002</v>
    <v>1.29</v>
    <v>1.7228E-2</v>
    <v>0.01</v>
    <v>1.3129999999999999E-4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77.3</v>
    <v>Metals &amp; Mining</v>
    <v>Stock</v>
    <v>45905.999823332815</v>
    <v>97</v>
    <v>75.52</v>
    <v>83668936500</v>
    <v>NEWMONT CORPORATION</v>
    <v>NEWMONT CORPORATION</v>
    <v>76.12</v>
    <v>13.5534</v>
    <v>74.88</v>
    <v>76.17</v>
    <v>76.180000000000007</v>
    <v>1098450000</v>
    <v>NEM</v>
    <v>NEWMONT CORPORATION (XNYS:NEM)</v>
    <v>8678651</v>
    <v>8707968</v>
    <v>2001</v>
  </rv>
  <rv s="2">
    <v>98</v>
  </rv>
  <rv s="0">
    <v>https://www.bing.com/financeapi/forcetrigger?t=a1ygoc&amp;q=XNAS%3aNFLX&amp;form=skydnc</v>
    <v>Learn more on Bing</v>
  </rv>
  <rv s="1">
    <v>0</v>
    <v>NETFLIX, INC. (XNAS:NFLX)</v>
    <v>2</v>
    <v>3</v>
    <v>Finance</v>
    <v>4</v>
    <v>en-US</v>
    <v>a1ygoc</v>
    <v>268435456</v>
    <v>1</v>
    <v>Powered by Refinitiv</v>
    <v>1341.15</v>
    <v>660.8</v>
    <v>1.6045</v>
    <v>-13.66</v>
    <v>-1.0863000000000001E-2</v>
    <v>-2.82</v>
    <v>-2.2669999999999999E-3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1267.0999999999999</v>
    <v>Software &amp; IT Services</v>
    <v>Stock</v>
    <v>45905.999999872656</v>
    <v>100</v>
    <v>1239.0201</v>
    <v>528531954848</v>
    <v>NETFLIX, INC.</v>
    <v>NETFLIX, INC.</v>
    <v>1260</v>
    <v>53.002299999999998</v>
    <v>1257.48</v>
    <v>1243.82</v>
    <v>1241</v>
    <v>424926400</v>
    <v>NFLX</v>
    <v>NETFLIX, INC. (XNAS:NFLX)</v>
    <v>2379673</v>
    <v>2773553</v>
    <v>1997</v>
  </rv>
  <rv s="2">
    <v>101</v>
  </rv>
  <rv s="0">
    <v>https://www.bing.com/financeapi/forcetrigger?t=bwxx4c&amp;q=XNAS%3aDSAC&amp;form=skydnc</v>
    <v>Learn more on Bing</v>
  </rv>
  <rv s="4">
    <v>11</v>
    <v>FISCALNOTE HOLDINGS, INC. (XNYS:NOTE)</v>
    <v>2</v>
    <v>12</v>
    <v>Finance</v>
    <v>4</v>
    <v>en-US</v>
    <v>bwxx4c</v>
    <v>268435456</v>
    <v>1</v>
    <v>Powered by Refinitiv</v>
    <v>24.36</v>
    <v>3.8</v>
    <v>0.57679999999999998</v>
    <v>0.09</v>
    <v>2.2499999999999999E-2</v>
    <v>0</v>
    <v>0</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4.2</v>
    <v>Software &amp; IT Services</v>
    <v>Stock</v>
    <v>45905.990174536717</v>
    <v>103</v>
    <v>3.8</v>
    <v>58691500</v>
    <v>FISCALNOTE HOLDINGS, INC.</v>
    <v>FISCALNOTE HOLDINGS, INC.</v>
    <v>4</v>
    <v>4</v>
    <v>4.09</v>
    <v>4.09</v>
    <v>14350000</v>
    <v>NOTE</v>
    <v>FISCALNOTE HOLDINGS, INC. (XNYS:NOTE)</v>
    <v>351507</v>
    <v>260248</v>
    <v>2022</v>
  </rv>
  <rv s="2">
    <v>104</v>
  </rv>
  <rv s="0">
    <v>https://www.bing.com/financeapi/forcetrigger?t=a1zfec&amp;q=XNAS%3aPAAS&amp;form=skydnc</v>
    <v>Learn more on Bing</v>
  </rv>
  <rv s="1">
    <v>0</v>
    <v>Pan American Silver Corp. (XNYS:PAAS)</v>
    <v>2</v>
    <v>10</v>
    <v>Finance</v>
    <v>4</v>
    <v>en-US</v>
    <v>a1zfec</v>
    <v>268435456</v>
    <v>1</v>
    <v>Powered by Refinitiv</v>
    <v>35</v>
    <v>18.5</v>
    <v>0.83379999999999999</v>
    <v>1.02</v>
    <v>3.0374999999999999E-2</v>
    <v>-0.08</v>
    <v>-2.3119999999999998E-3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34.75</v>
    <v>Metals &amp; Mining</v>
    <v>Stock</v>
    <v>45905.998594883597</v>
    <v>106</v>
    <v>33.72</v>
    <v>16861450000</v>
    <v>Pan American Silver Corp.</v>
    <v>Pan American Silver Corp.</v>
    <v>34.54</v>
    <v>24.0228</v>
    <v>33.58</v>
    <v>34.6</v>
    <v>34.520000000000003</v>
    <v>421976000</v>
    <v>PAAS</v>
    <v>Pan American Silver Corp. (XNYS:PAAS)</v>
    <v>6506900</v>
    <v>5002407</v>
    <v>1979</v>
  </rv>
  <rv s="2">
    <v>107</v>
  </rv>
  <rv s="0">
    <v>https://www.bing.com/financeapi/forcetrigger?t=a2sqhw&amp;q=XNAS%3aPROF&amp;form=skydnc</v>
    <v>Learn more on Bing</v>
  </rv>
  <rv s="1">
    <v>0</v>
    <v>Profound Medical Corp. (XNAS:PROF)</v>
    <v>2</v>
    <v>10</v>
    <v>Finance</v>
    <v>4</v>
    <v>en-US</v>
    <v>a2sqhw</v>
    <v>268435456</v>
    <v>1</v>
    <v>Powered by Refinitiv</v>
    <v>9.17</v>
    <v>3.895</v>
    <v>0.31080000000000002</v>
    <v>-0.3</v>
    <v>-6.7873000000000003E-2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4.3600000000000003</v>
    <v>Healthcare Equipment &amp; Supplies</v>
    <v>Stock</v>
    <v>45905.934035057813</v>
    <v>109</v>
    <v>4.12</v>
    <v>172805600</v>
    <v>Profound Medical Corp.</v>
    <v>Profound Medical Corp.</v>
    <v>4.3600000000000003</v>
    <v>0</v>
    <v>4.42</v>
    <v>4.12</v>
    <v>4.12</v>
    <v>30053140</v>
    <v>PROF</v>
    <v>Profound Medical Corp. (XNAS:PROF)</v>
    <v>33186</v>
    <v>137615</v>
    <v>2014</v>
  </rv>
  <rv s="2">
    <v>110</v>
  </rv>
  <rv s="0">
    <v>https://www.bing.com/financeapi/forcetrigger?t=a2si9c&amp;q=XNAS%3aPOET&amp;form=skydnc</v>
    <v>Learn more on Bing</v>
  </rv>
  <rv s="1">
    <v>0</v>
    <v>POET Technologies Inc. (XNAS:POET)</v>
    <v>2</v>
    <v>3</v>
    <v>Finance</v>
    <v>4</v>
    <v>en-US</v>
    <v>a2si9c</v>
    <v>268435456</v>
    <v>1</v>
    <v>Powered by Refinitiv</v>
    <v>7.79</v>
    <v>2.625</v>
    <v>0.38179999999999997</v>
    <v>2.5000000000000001E-2</v>
    <v>4.7569999999999999E-3</v>
    <v>-0.08</v>
    <v>-1.5152000000000001E-2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5.33</v>
    <v>Semiconductors &amp; Semiconductor Equipment</v>
    <v>Stock</v>
    <v>45905.99641021953</v>
    <v>112</v>
    <v>5.15</v>
    <v>479093736</v>
    <v>POET Technologies Inc.</v>
    <v>POET Technologies Inc.</v>
    <v>5.3</v>
    <v>0</v>
    <v>5.2549999999999999</v>
    <v>5.28</v>
    <v>5.2</v>
    <v>90737450</v>
    <v>POET</v>
    <v>POET Technologies Inc. (XNAS:POET)</v>
    <v>505111</v>
    <v>1424264</v>
    <v>2010</v>
  </rv>
  <rv s="2">
    <v>113</v>
  </rv>
  <rv s="0">
    <v>https://www.bing.com/financeapi/forcetrigger?t=a21g2w&amp;q=XNYS%3aPW&amp;form=skydnc</v>
    <v>Learn more on Bing</v>
  </rv>
  <rv s="4">
    <v>11</v>
    <v>POWER REIT (XNYS:PW)</v>
    <v>2</v>
    <v>12</v>
    <v>Finance</v>
    <v>4</v>
    <v>en-US</v>
    <v>a21g2w</v>
    <v>268435456</v>
    <v>1</v>
    <v>Powered by Refinitiv</v>
    <v>2.75</v>
    <v>0.63</v>
    <v>1.5354000000000001</v>
    <v>0.13780000000000001</v>
    <v>0.15982399999999999</v>
    <v>-2.75E-2</v>
    <v>-2.75E-2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1.05</v>
    <v>Residential &amp; Commercial REIT</v>
    <v>Stock</v>
    <v>45905.965074582811</v>
    <v>115</v>
    <v>0.84009999999999996</v>
    <v>2922570</v>
    <v>POWER REIT</v>
    <v>POWER REIT</v>
    <v>0.87</v>
    <v>0.86219999999999997</v>
    <v>1</v>
    <v>0.97250000000000003</v>
    <v>3389660</v>
    <v>PW</v>
    <v>POWER REIT (XNYS:PW)</v>
    <v>252487</v>
    <v>146306</v>
    <v>2011</v>
  </rv>
  <rv s="2">
    <v>116</v>
  </rv>
  <rv s="0">
    <v>https://www.bing.com/financeapi/forcetrigger?t=a2218m&amp;q=XNAS%3aRIGL&amp;form=skydnc</v>
    <v>Learn more on Bing</v>
  </rv>
  <rv s="1">
    <v>0</v>
    <v>RIGEL PHARMACEUTICALS, INC. (XNAS:RIGL)</v>
    <v>2</v>
    <v>3</v>
    <v>Finance</v>
    <v>4</v>
    <v>en-US</v>
    <v>a2218m</v>
    <v>268435456</v>
    <v>1</v>
    <v>Powered by Refinitiv</v>
    <v>43.7181</v>
    <v>12.66</v>
    <v>1.2593000000000001</v>
    <v>1.21</v>
    <v>3.0152000000000002E-2</v>
    <v>0.06</v>
    <v>1.451E-3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41.35</v>
    <v>Pharmaceuticals</v>
    <v>Stock</v>
    <v>45905.963821700781</v>
    <v>118</v>
    <v>39.35</v>
    <v>741529635</v>
    <v>RIGEL PHARMACEUTICALS, INC.</v>
    <v>RIGEL PHARMACEUTICALS, INC.</v>
    <v>40.31</v>
    <v>7.4108999999999998</v>
    <v>40.130000000000003</v>
    <v>41.34</v>
    <v>41.4</v>
    <v>17937340</v>
    <v>RIGL</v>
    <v>RIGEL PHARMACEUTICALS, INC. (XNAS:RIGL)</v>
    <v>466972</v>
    <v>882309</v>
    <v>1996</v>
  </rv>
  <rv s="2">
    <v>119</v>
  </rv>
  <rv s="0">
    <v>https://www.bing.com/financeapi/forcetrigger?t=aftkm7&amp;q=XETR%3aRWE&amp;form=skydnc</v>
    <v>Learn more on Bing</v>
  </rv>
  <rv s="3">
    <v>5</v>
    <v>RWE AG (XETR:RWE)</v>
    <v>2</v>
    <v>8</v>
    <v>Finance</v>
    <v>9</v>
    <v>en-US</v>
    <v>aftkm7</v>
    <v>268435456</v>
    <v>1</v>
    <v>Powered by Refinitiv</v>
    <v>37.78</v>
    <v>27.76</v>
    <v>0.48559999999999998</v>
    <v>0.36</v>
    <v>1.0387E-2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35.159999999999997</v>
    <v>Multiline Utilities</v>
    <v>Stock</v>
    <v>45905.770833333336</v>
    <v>121</v>
    <v>34.61</v>
    <v>25781540000</v>
    <v>RWE AG</v>
    <v>RWE AG</v>
    <v>34.68</v>
    <v>9.9192999999999998</v>
    <v>34.659999999999997</v>
    <v>35.020000000000003</v>
    <v>743841200</v>
    <v>RWE</v>
    <v>RWE AG (XETR:RWE)</v>
    <v>1530268</v>
    <v>1236220</v>
    <v>2000</v>
  </rv>
  <rv s="2">
    <v>122</v>
  </rv>
  <rv s="0">
    <v>https://www.bing.com/financeapi/forcetrigger?t=aftlr7&amp;q=XETR%3aSAP&amp;form=skydnc</v>
    <v>Learn more on Bing</v>
  </rv>
  <rv s="3">
    <v>5</v>
    <v>Sap Se (XETR:SAP)</v>
    <v>2</v>
    <v>8</v>
    <v>Finance</v>
    <v>9</v>
    <v>en-US</v>
    <v>aftlr7</v>
    <v>268435456</v>
    <v>1</v>
    <v>Powered by Refinitiv</v>
    <v>283.5</v>
    <v>190.04</v>
    <v>1.1692</v>
    <v>-4.95</v>
    <v>-2.1225999999999998E-2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233.6</v>
    <v>Software &amp; IT Services</v>
    <v>Stock</v>
    <v>45905.770833333336</v>
    <v>124</v>
    <v>227.9</v>
    <v>286487200000</v>
    <v>Sap Se</v>
    <v>Sap Se</v>
    <v>233.4</v>
    <v>41.636899999999997</v>
    <v>233.2</v>
    <v>228.25</v>
    <v>1228504000</v>
    <v>SAP</v>
    <v>Sap Se (XETR:SAP)</v>
    <v>1272378</v>
    <v>1123750</v>
    <v>2014</v>
  </rv>
  <rv s="2">
    <v>125</v>
  </rv>
  <rv s="0">
    <v>https://www.bing.com/financeapi/forcetrigger?t=a2vkww&amp;q=OTCM%3aSHECY&amp;form=skydnc</v>
    <v>Learn more on Bing</v>
  </rv>
  <rv s="1">
    <v>0</v>
    <v>Shin-Etsu Chemical Co., Ltd. (OTCM:SHECY)</v>
    <v>2</v>
    <v>18</v>
    <v>Finance</v>
    <v>19</v>
    <v>en-US</v>
    <v>a2vkww</v>
    <v>268435456</v>
    <v>1</v>
    <v>Powered by Refinitiv</v>
    <v>21.74</v>
    <v>11.88</v>
    <v>1.4826999999999999</v>
    <v>-0.08</v>
    <v>-5.3659999999999992E-3</v>
    <v>0.01</v>
    <v>6.7430000000000007E-4</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15.44</v>
    <v>Chemicals</v>
    <v>Stock</v>
    <v>45906.006944444445</v>
    <v>127</v>
    <v>14.7</v>
    <v>8775667000000</v>
    <v>Shin-Etsu Chemical Co., Ltd.</v>
    <v>Shin-Etsu Chemical Co., Ltd.</v>
    <v>14.71</v>
    <v>0</v>
    <v>14.91</v>
    <v>14.83</v>
    <v>14.84</v>
    <v>1984996000</v>
    <v>SHECY</v>
    <v>Shin-Etsu Chemical Co., Ltd. (OTCM:SHECY)</v>
    <v>219219</v>
    <v>6910990</v>
    <v>1926</v>
  </rv>
  <rv s="2">
    <v>128</v>
  </rv>
  <rv s="0">
    <v>https://www.bing.com/financeapi/forcetrigger?t=a23myc&amp;q=XNAS%3aSSYS&amp;form=skydnc</v>
    <v>Learn more on Bing</v>
  </rv>
  <rv s="1">
    <v>0</v>
    <v>STRATASYS LTD (XNAS:SSYS)</v>
    <v>2</v>
    <v>3</v>
    <v>Finance</v>
    <v>4</v>
    <v>en-US</v>
    <v>a23myc</v>
    <v>268435456</v>
    <v>1</v>
    <v>Powered by Refinitiv</v>
    <v>12.88</v>
    <v>6.08</v>
    <v>1.5936999999999999</v>
    <v>0.06</v>
    <v>5.8939999999999999E-3</v>
    <v>0.05</v>
    <v>4.8830000000000002E-3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10.34</v>
    <v>Electronic Equipment &amp; Parts</v>
    <v>Stock</v>
    <v>45905.9929346875</v>
    <v>130</v>
    <v>10.029999999999999</v>
    <v>871355187</v>
    <v>STRATASYS LTD</v>
    <v>STRATASYS LTD</v>
    <v>10.220000000000001</v>
    <v>0</v>
    <v>10.18</v>
    <v>10.24</v>
    <v>10.29</v>
    <v>85093280</v>
    <v>SSYS</v>
    <v>STRATASYS LTD (XNAS:SSYS)</v>
    <v>504895</v>
    <v>1114315</v>
    <v>1998</v>
  </rv>
  <rv s="2">
    <v>131</v>
  </rv>
  <rv s="0">
    <v>https://www.bing.com/financeapi/forcetrigger?t=a24kar&amp;q=XNAS%3aTSLA&amp;form=skydnc</v>
    <v>Learn more on Bing</v>
  </rv>
  <rv s="1">
    <v>0</v>
    <v>TESLA, INC. (XNAS:TSLA)</v>
    <v>2</v>
    <v>3</v>
    <v>Finance</v>
    <v>4</v>
    <v>en-US</v>
    <v>a24kar</v>
    <v>268435456</v>
    <v>1</v>
    <v>Powered by Refinitiv</v>
    <v>488.53989999999999</v>
    <v>210.51</v>
    <v>2.0363000000000002</v>
    <v>12.31</v>
    <v>3.6362999999999999E-2</v>
    <v>-1.44</v>
    <v>-4.104E-3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355.87</v>
    <v>Automobiles &amp; Auto Parts</v>
    <v>Stock</v>
    <v>45905.999999467189</v>
    <v>133</v>
    <v>344.68009999999998</v>
    <v>1131616527160</v>
    <v>TESLA, INC.</v>
    <v>TESLA, INC.</v>
    <v>348</v>
    <v>188.65289999999999</v>
    <v>338.53</v>
    <v>350.84</v>
    <v>349.4</v>
    <v>3225449000</v>
    <v>TSLA</v>
    <v>TESLA, INC. (XNAS:TSLA)</v>
    <v>108989785</v>
    <v>75858825</v>
    <v>2024</v>
  </rv>
  <rv s="2">
    <v>134</v>
  </rv>
  <rv s="0">
    <v>https://www.bing.com/financeapi/forcetrigger?t=a24kjc&amp;q=XNYS%3aTSM&amp;form=skydnc</v>
    <v>Learn more on Bing</v>
  </rv>
  <rv s="1">
    <v>0</v>
    <v>Taiwan Semiconductor Manufacturing Co., Ltd. (XNYS:TSM)</v>
    <v>2</v>
    <v>3</v>
    <v>Finance</v>
    <v>4</v>
    <v>en-US</v>
    <v>a24kjc</v>
    <v>268435456</v>
    <v>1</v>
    <v>Powered by Refinitiv</v>
    <v>248.28</v>
    <v>134.25</v>
    <v>1.2607999999999999</v>
    <v>8.1999999999999993</v>
    <v>3.4862000000000004E-2</v>
    <v>-0.99009999999999998</v>
    <v>-4.0679999999999996E-3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244.55</v>
    <v>Semiconductors &amp; Semiconductor Equipment</v>
    <v>Stock</v>
    <v>45905.999615103909</v>
    <v>136</v>
    <v>237.9</v>
    <v>979162600000</v>
    <v>Taiwan Semiconductor Manufacturing Co., Ltd.</v>
    <v>Taiwan Semiconductor Manufacturing Co., Ltd.</v>
    <v>240.24</v>
    <v>25.232700000000001</v>
    <v>235.21</v>
    <v>243.41</v>
    <v>242.41990000000001</v>
    <v>5186523000</v>
    <v>TSM</v>
    <v>Taiwan Semiconductor Manufacturing Co., Ltd. (XNYS:TSM)</v>
    <v>14056566</v>
    <v>10424150</v>
    <v>1987</v>
  </rv>
  <rv s="2">
    <v>137</v>
  </rv>
  <rv s="0">
    <v>https://www.bing.com/financeapi/forcetrigger?t=afn5ec&amp;q=XFRA%3aUN01&amp;form=skydnc</v>
    <v>Learn more on Bing</v>
  </rv>
  <rv s="8">
    <v>20</v>
    <v>Uniper SE (XFRA:UN0)</v>
    <v>2</v>
    <v>21</v>
    <v>Finance</v>
    <v>9</v>
    <v>en-US</v>
    <v>afn5ec</v>
    <v>268435456</v>
    <v>1</v>
    <v>Powered by Refinitiv</v>
    <v>73.5</v>
    <v>2.1</v>
    <v>1.0089999999999999</v>
    <v>-0.35</v>
    <v>-9.777000000000001E-3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36.6</v>
    <v>Multiline Utilities</v>
    <v>Stock</v>
    <v>45905.836805555555</v>
    <v>139</v>
    <v>35.450000000000003</v>
    <v>15076410000</v>
    <v>Uniper SE</v>
    <v>Uniper SE</v>
    <v>36.25</v>
    <v>35.799999999999997</v>
    <v>35.450000000000003</v>
    <v>416475300</v>
    <v>UN0</v>
    <v>Uniper SE (XFRA:UN0)</v>
    <v>236</v>
    <v>1510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1.5765</v>
    <v>0.19</v>
    <v>3.04E-2</v>
    <v>0.03</v>
    <v>4.6579999999999998E-3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6.47</v>
    <v>Telecommunications Services</v>
    <v>Stock</v>
    <v>45905.919514687499</v>
    <v>142</v>
    <v>6.26</v>
    <v>953016316</v>
    <v>UNITI GROUP INC.</v>
    <v>UNITI GROUP INC.</v>
    <v>6.4</v>
    <v>26.275200000000002</v>
    <v>6.25</v>
    <v>6.44</v>
    <v>6.47</v>
    <v>147983900</v>
    <v>UNIT</v>
    <v>UNITI GROUP INC. (XNAS:UNIT)</v>
    <v>2461786</v>
    <v>3016813</v>
    <v>2024</v>
  </rv>
  <rv s="2">
    <v>143</v>
  </rv>
  <rv s="0">
    <v>https://www.bing.com/financeapi/forcetrigger?t=a1nz8m&amp;q=XNAS%3aAVGO&amp;form=skydnc</v>
    <v>Learn more on Bing</v>
  </rv>
  <rv s="1">
    <v>0</v>
    <v>BROADCOM INC. (XNAS:AVGO)</v>
    <v>2</v>
    <v>3</v>
    <v>Finance</v>
    <v>4</v>
    <v>en-US</v>
    <v>a1nz8m</v>
    <v>268435456</v>
    <v>1</v>
    <v>Powered by Refinitiv</v>
    <v>356.34</v>
    <v>134.9</v>
    <v>1.1936</v>
    <v>28.79</v>
    <v>9.4053999999999999E-2</v>
    <v>-2.48</v>
    <v>-7.4050000000000001E-3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356.34</v>
    <v>Semiconductors &amp; Semiconductor Equipment</v>
    <v>Stock</v>
    <v>45905.999999039064</v>
    <v>145</v>
    <v>331.42</v>
    <v>1575145000000</v>
    <v>BROADCOM INC.</v>
    <v>BROADCOM INC.</v>
    <v>355.78</v>
    <v>78.467500000000001</v>
    <v>306.10000000000002</v>
    <v>334.89</v>
    <v>332.41</v>
    <v>4703471000</v>
    <v>AVGO</v>
    <v>BROADCOM INC. (XNAS:AVGO)</v>
    <v>78401554</v>
    <v>18758905</v>
    <v>2018</v>
  </rv>
  <rv s="2">
    <v>146</v>
  </rv>
  <rv s="0">
    <v>http://tr.wikipedia.org/wiki/Volvo</v>
    <v>Wikipedia</v>
  </rv>
  <rv s="5">
    <v>39</v>
    <v>148</v>
  </rv>
  <rv s="6">
    <v>17</v>
    <v>https://www.bing.com/th?id=AMMS_a85eaa33bec7c64e52ade4c230f05d74&amp;qlt=95</v>
    <v>149</v>
    <v>0</v>
    <v>https://www.bing.com/images/search?form=xlimg&amp;q=ab+volvo</v>
    <v>Image of Volvo AB</v>
  </rv>
  <rv s="0">
    <v>https://www.bing.com/financeapi/forcetrigger?t=a31af2&amp;q=OTCM%3aVLVLY&amp;form=skydnc</v>
    <v>Learn more on Bing</v>
  </rv>
  <rv s="7">
    <v>13</v>
    <v>Volvo AB (OTCM:VLVLY)</v>
    <v>15</v>
    <v>22</v>
    <v>Finance</v>
    <v>19</v>
    <v>en-US</v>
    <v>a31af2</v>
    <v>268435456</v>
    <v>1</v>
    <v>Powered by Refinitiv</v>
    <v>33.33</v>
    <v>22.55</v>
    <v>0.90790000000000004</v>
    <v>0.28000000000000003</v>
    <v>9.578999999999999E-3</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29.75</v>
    <v>150</v>
    <v>Machinery, Equipment &amp; Components</v>
    <v>Stock</v>
    <v>45906.006944444445</v>
    <v>151</v>
    <v>29.38</v>
    <v>563336100000</v>
    <v>Volvo AB</v>
    <v>Volvo AB</v>
    <v>29.648399999999999</v>
    <v>0</v>
    <v>29.23</v>
    <v>29.51</v>
    <v>29.51</v>
    <v>2033452000</v>
    <v>VLVLY</v>
    <v>Volvo AB (OTCM:VLVLY)</v>
    <v>61517</v>
    <v>2438980</v>
    <v>1915</v>
  </rv>
  <rv s="2">
    <v>152</v>
  </rv>
  <rv s="0">
    <v>https://www.bing.com/financeapi/forcetrigger?t=an41hw&amp;q=XSWX%3aVONN&amp;form=skydnc</v>
    <v>Learn more on Bing</v>
  </rv>
  <rv s="3">
    <v>5</v>
    <v>Vontobel Holding Ltd (XSWX:VONN)</v>
    <v>2</v>
    <v>23</v>
    <v>Finance</v>
    <v>9</v>
    <v>en-US</v>
    <v>an41hw</v>
    <v>268435456</v>
    <v>1</v>
    <v>Powered by Refinitiv</v>
    <v>69.5</v>
    <v>51.1</v>
    <v>1.0319</v>
    <v>-0.2</v>
    <v>-3.241E-3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62.3</v>
    <v>Investment Banking &amp; Investment Services</v>
    <v>Stock</v>
    <v>45905.751064814816</v>
    <v>154</v>
    <v>61.3</v>
    <v>3509188000</v>
    <v>Vontobel Holding Ltd</v>
    <v>Vontobel Holding Ltd</v>
    <v>61.4</v>
    <v>13.9278</v>
    <v>61.7</v>
    <v>61.5</v>
    <v>56875000</v>
    <v>VONN</v>
    <v>Vontobel Holding Ltd (XSWX:VONN)</v>
    <v>38768</v>
    <v>27240</v>
    <v>1936</v>
  </rv>
  <rv s="2">
    <v>155</v>
  </rv>
  <rv s="0">
    <v>https://www.bing.com/financeapi/forcetrigger?t=a1y7rw&amp;q=XNAS%3aVTRS&amp;form=skydnc</v>
    <v>Learn more on Bing</v>
  </rv>
  <rv s="1">
    <v>0</v>
    <v>VIATRIS INC. (XNAS:VTRS)</v>
    <v>2</v>
    <v>3</v>
    <v>Finance</v>
    <v>4</v>
    <v>en-US</v>
    <v>a1y7rw</v>
    <v>268435456</v>
    <v>1</v>
    <v>Powered by Refinitiv</v>
    <v>13.55</v>
    <v>6.85</v>
    <v>0.90439999999999998</v>
    <v>0.17</v>
    <v>1.6456999999999999E-2</v>
    <v>-0.17</v>
    <v>-1.619E-2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10.56</v>
    <v>Pharmaceuticals</v>
    <v>Stock</v>
    <v>45905.986768032031</v>
    <v>157</v>
    <v>10.36</v>
    <v>12241656000</v>
    <v>VIATRIS INC.</v>
    <v>VIATRIS INC.</v>
    <v>10.39</v>
    <v>0</v>
    <v>10.33</v>
    <v>10.5</v>
    <v>10.33</v>
    <v>1165872000</v>
    <v>VTRS</v>
    <v>VIATRIS INC. (XNAS:VTRS)</v>
    <v>7288982</v>
    <v>9275737</v>
    <v>2019</v>
  </rv>
  <rv s="2">
    <v>158</v>
  </rv>
  <rv s="0">
    <v>https://www.bing.com/financeapi/forcetrigger?t=a25pm7&amp;q=XNAS%3aWBA&amp;form=skydnc</v>
    <v>Learn more on Bing</v>
  </rv>
  <rv s="3">
    <v>5</v>
    <v>WALGREENS BOOTS ALLIANCE, INC. (XNAS:WBA)</v>
    <v>2</v>
    <v>24</v>
    <v>Finance</v>
    <v>25</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0.4975</v>
    <v>-3.17</v>
    <v>-2.8202999999999999E-2</v>
    <v>0.17</v>
    <v>1.5559999999999999E-3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111.78</v>
    <v>Oil &amp; Gas</v>
    <v>Stock</v>
    <v>45905.999938541405</v>
    <v>163</v>
    <v>109.02</v>
    <v>465674469810</v>
    <v>EXXON MOBIL CORPORATION</v>
    <v>EXXON MOBIL CORPORATION</v>
    <v>111.6</v>
    <v>15.9489</v>
    <v>112.4</v>
    <v>109.23</v>
    <v>109.4</v>
    <v>4263247000</v>
    <v>XOM</v>
    <v>EXXON MOBIL CORPORATION (XNYS:XOM)</v>
    <v>16826692</v>
    <v>15518418</v>
    <v>1882</v>
  </rv>
  <rv s="2">
    <v>164</v>
  </rv>
  <rv s="9">
    <v>26</v>
    <v>XPERI INC. (XNYS:XPER)</v>
    <v>27</v>
    <v>12</v>
    <v>Finance</v>
    <v>4</v>
    <v>en-US</v>
    <v>c7dbfr</v>
    <v>268435456</v>
    <v>1</v>
    <v>Powered by Refinitiv</v>
    <v>11.074999999999999</v>
    <v>5.6849999999999996</v>
    <v>1.149</v>
    <v>0.11</v>
    <v>1.8272E-2</v>
    <v>-0.06</v>
    <v>-9.7879999999999998E-3</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6.18</v>
    <v>Software &amp; IT Services</v>
    <v>Stock</v>
    <v>45905.997669849217</v>
    <v>6.0149999999999997</v>
    <v>283574800</v>
    <v>XPERI INC.</v>
    <v>XPERI INC.</v>
    <v>6.04</v>
    <v>6.02</v>
    <v>6.13</v>
    <v>6.07</v>
    <v>46260160</v>
    <v>XPER</v>
    <v>XPERI INC. (XNYS:XPER)</v>
    <v>423084</v>
    <v>566838</v>
    <v>2019</v>
  </rv>
  <rv s="2">
    <v>166</v>
  </rv>
  <rv s="0">
    <v>https://www.bing.com/financeapi/forcetrigger?t=ajezf2&amp;q=XMIL%3aENI&amp;form=skydnc</v>
    <v>Learn more on Bing</v>
  </rv>
  <rv s="10">
    <v>28</v>
    <v>Eni SpA (XMIL:ENI)</v>
    <v>2</v>
    <v>29</v>
    <v>Finance</v>
    <v>30</v>
    <v>en-US</v>
    <v>ajezf2</v>
    <v>268435456</v>
    <v>1</v>
    <v>Powered by Refinitiv</v>
    <v>15.39</v>
    <v>11.01</v>
    <v>1.1017999999999999</v>
    <v>-0.30199999999999999</v>
    <v>-2.0230000000000001E-2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14.99</v>
    <v>Oil &amp; Gas</v>
    <v>Stock</v>
    <v>45905.666666666664</v>
    <v>168</v>
    <v>14.506</v>
    <v>46974910000</v>
    <v>Eni SpA</v>
    <v>Eni SpA</v>
    <v>14.968</v>
    <v>18.650700000000001</v>
    <v>14.928000000000001</v>
    <v>14.625999999999999</v>
    <v>3146765000</v>
    <v>ENI</v>
    <v>Eni SpA (XMIL:ENI)</v>
    <v>14927417</v>
    <v>10556960</v>
  </rv>
  <rv s="2">
    <v>169</v>
  </rv>
  <rv s="0">
    <v>https://www.bing.com/financeapi/forcetrigger?t=ae8t4c&amp;q=XPAR%3aGLE&amp;form=skydnc</v>
    <v>Learn more on Bing</v>
  </rv>
  <rv s="10">
    <v>28</v>
    <v>Societe Generale SA (XPAR:GLE)</v>
    <v>2</v>
    <v>29</v>
    <v>Finance</v>
    <v>9</v>
    <v>en-US</v>
    <v>ae8t4c</v>
    <v>268435456</v>
    <v>1</v>
    <v>Powered by Refinitiv</v>
    <v>59.42</v>
    <v>21.08</v>
    <v>1.5658000000000001</v>
    <v>-1.04</v>
    <v>-1.9231000000000002E-2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54.4</v>
    <v>Banking Services</v>
    <v>Stock</v>
    <v>45905.666666666664</v>
    <v>171</v>
    <v>52.82</v>
    <v>42462550000</v>
    <v>Societe Generale SA</v>
    <v>Societe Generale SA</v>
    <v>54.36</v>
    <v>8.8834</v>
    <v>54.08</v>
    <v>53.04</v>
    <v>785180400</v>
    <v>GLE</v>
    <v>Societe Generale SA (XPAR:GLE)</v>
    <v>2111572</v>
    <v>3003100</v>
  </rv>
  <rv s="2">
    <v>172</v>
  </rv>
  <rv s="0">
    <v>https://www.bing.com/financeapi/forcetrigger?t=ae9qlh&amp;q=XPAR%3aORA&amp;form=skydnc</v>
    <v>Learn more on Bing</v>
  </rv>
  <rv s="3">
    <v>5</v>
    <v>Orange SA (XPAR:ORA)</v>
    <v>2</v>
    <v>8</v>
    <v>Finance</v>
    <v>9</v>
    <v>en-US</v>
    <v>ae9qlh</v>
    <v>268435456</v>
    <v>1</v>
    <v>Powered by Refinitiv</v>
    <v>14.56</v>
    <v>9.3699999999999992</v>
    <v>0.27610000000000001</v>
    <v>-0.09</v>
    <v>-6.5620000000000001E-3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13.75</v>
    <v>Telecommunications Services</v>
    <v>Stock</v>
    <v>45905.666666666664</v>
    <v>174</v>
    <v>13.57</v>
    <v>36482680000</v>
    <v>Orange SA</v>
    <v>Orange SA</v>
    <v>13.7</v>
    <v>43.319600000000001</v>
    <v>13.715</v>
    <v>13.625</v>
    <v>2660057000</v>
    <v>ORA</v>
    <v>Orange SA (XPAR:ORA)</v>
    <v>4366285</v>
    <v>5729350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3.4899</v>
    <v>0</v>
    <v>0</v>
    <v>1.9699999999999999E-2</v>
    <v>1.9314000000000001E-2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1.077</v>
    <v>Electrical Utilities &amp; IPPs</v>
    <v>Stock</v>
    <v>45905.998764617965</v>
    <v>177</v>
    <v>1.01</v>
    <v>106808586</v>
    <v>BLINK CHARGING CO.</v>
    <v>BLINK CHARGING CO.</v>
    <v>1.03</v>
    <v>0</v>
    <v>1.02</v>
    <v>1.02</v>
    <v>1.0397000000000001</v>
    <v>104714300</v>
    <v>BLNK</v>
    <v>BLINK CHARGING CO. (XNAS:BLNK)</v>
    <v>2168950</v>
    <v>2803617</v>
    <v>2006</v>
  </rv>
  <rv s="2">
    <v>178</v>
  </rv>
  <rv s="0">
    <v>https://www.bing.com/financeapi/forcetrigger?t=ao8g3m&amp;q=XLON%3aEZJ&amp;form=skydnc</v>
    <v>Learn more on Bing</v>
  </rv>
  <rv s="3">
    <v>5</v>
    <v>EASYJET PLC (XLON:EZJ)</v>
    <v>2</v>
    <v>6</v>
    <v>Finance</v>
    <v>7</v>
    <v>en-US</v>
    <v>ao8g3m</v>
    <v>268435456</v>
    <v>1</v>
    <v>Powered by Refinitiv</v>
    <v>594</v>
    <v>401.05</v>
    <v>2.7930000000000001</v>
    <v>3.5</v>
    <v>7.5060000000000005E-3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471.4</v>
    <v>Passenger Transportation Services</v>
    <v>Stock</v>
    <v>45905.64122349531</v>
    <v>180</v>
    <v>466.3</v>
    <v>3534601000</v>
    <v>EASYJET PLC</v>
    <v>EASYJET PLC</v>
    <v>468</v>
    <v>8.4337</v>
    <v>466.3</v>
    <v>469.8</v>
    <v>758010000</v>
    <v>EZJ</v>
    <v>EASYJET PLC (XLON:EZJ)</v>
    <v>3677210</v>
    <v>3165610</v>
    <v>2000</v>
  </rv>
  <rv s="2">
    <v>181</v>
  </rv>
  <rv s="0">
    <v>http://en.wikipedia.org/wiki/Ford_Motor_Company</v>
    <v>Wikipedia</v>
  </rv>
  <rv s="5">
    <v>39</v>
    <v>183</v>
  </rv>
  <rv s="6">
    <v>17</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13</v>
    <v>FORD MOTOR COMPANY (XNYS:F)</v>
    <v>15</v>
    <v>16</v>
    <v>Finance</v>
    <v>4</v>
    <v>en-US</v>
    <v>a1sjw7</v>
    <v>268435456</v>
    <v>1</v>
    <v>Powered by Refinitiv</v>
    <v>11.99</v>
    <v>8.4405999999999999</v>
    <v>1.5407999999999999</v>
    <v>0.06</v>
    <v>5.1370000000000001E-3</v>
    <v>0</v>
    <v>0</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11.91</v>
    <v>185</v>
    <v>Automobiles &amp; Auto Parts</v>
    <v>Stock</v>
    <v>45905.999493495314</v>
    <v>186</v>
    <v>11.66</v>
    <v>46723556400</v>
    <v>FORD MOTOR COMPANY</v>
    <v>FORD MOTOR COMPANY</v>
    <v>11.71</v>
    <v>15.0128</v>
    <v>11.68</v>
    <v>11.74</v>
    <v>11.74</v>
    <v>3979860000</v>
    <v>F</v>
    <v>FORD MOTOR COMPANY (XNYS:F)</v>
    <v>47547831</v>
    <v>55882391</v>
    <v>1919</v>
  </rv>
  <rv s="2">
    <v>187</v>
  </rv>
  <rv s="0">
    <v>https://www.bing.com/financeapi/forcetrigger?t=a1u1z2&amp;q=XNYS%3aGNRC&amp;form=skydnc</v>
    <v>Learn more on Bing</v>
  </rv>
  <rv s="1">
    <v>0</v>
    <v>GENERAC HOLDINGS INC. (XNYS:GNRC)</v>
    <v>2</v>
    <v>3</v>
    <v>Finance</v>
    <v>4</v>
    <v>en-US</v>
    <v>a1u1z2</v>
    <v>268435456</v>
    <v>1</v>
    <v>Powered by Refinitiv</v>
    <v>203.2499</v>
    <v>99.5</v>
    <v>1.6718999999999999</v>
    <v>3.12</v>
    <v>1.7509999999999998E-2</v>
    <v>0</v>
    <v>0</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181.60499999999999</v>
    <v>Machinery, Equipment &amp; Components</v>
    <v>Stock</v>
    <v>45905.988185532035</v>
    <v>189</v>
    <v>176.66</v>
    <v>10637949735</v>
    <v>GENERAC HOLDINGS INC.</v>
    <v>GENERAC HOLDINGS INC.</v>
    <v>179.24</v>
    <v>30.1053</v>
    <v>178.18</v>
    <v>181.3</v>
    <v>181.3</v>
    <v>58675950</v>
    <v>GNRC</v>
    <v>GENERAC HOLDINGS INC. (XNYS:GNRC)</v>
    <v>642765</v>
    <v>1004911</v>
    <v>2006</v>
  </rv>
  <rv s="2">
    <v>190</v>
  </rv>
  <rv s="0">
    <v>https://www.bing.com/financeapi/forcetrigger?t=a1u7xm&amp;q=XNYS%3aGS&amp;form=skydnc</v>
    <v>Learn more on Bing</v>
  </rv>
  <rv s="1">
    <v>0</v>
    <v>THE GOLDMAN SACHS GROUP, INC. (XNYS:GS)</v>
    <v>2</v>
    <v>3</v>
    <v>Finance</v>
    <v>4</v>
    <v>en-US</v>
    <v>a1u7xm</v>
    <v>268435456</v>
    <v>1</v>
    <v>Powered by Refinitiv</v>
    <v>757.35</v>
    <v>439.38</v>
    <v>1.4151</v>
    <v>-10.69</v>
    <v>-1.4274E-2</v>
    <v>-2.2000000000000002</v>
    <v>-2.98E-3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757.35</v>
    <v>Investment Banking &amp; Investment Services</v>
    <v>Stock</v>
    <v>45905.999708668751</v>
    <v>192</v>
    <v>727.15250000000003</v>
    <v>223471743231</v>
    <v>THE GOLDMAN SACHS GROUP, INC.</v>
    <v>THE GOLDMAN SACHS GROUP, INC.</v>
    <v>752.19</v>
    <v>16.503900000000002</v>
    <v>748.9</v>
    <v>738.21</v>
    <v>736.01</v>
    <v>302721100</v>
    <v>GS</v>
    <v>THE GOLDMAN SACHS GROUP, INC. (XNYS:GS)</v>
    <v>1822767</v>
    <v>1707160</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2.0226999999999999</v>
    <v>-0.03</v>
    <v>-1.7750999999999999E-2</v>
    <v>9.7999999999999997E-3</v>
    <v>5.9040000000000004E-3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1.76</v>
    <v>Automobiles &amp; Auto Parts</v>
    <v>Stock</v>
    <v>45905.997372580467</v>
    <v>195</v>
    <v>1.64</v>
    <v>114149003</v>
    <v>LUMINAR TECHNOLOGIES, INC.</v>
    <v>LUMINAR TECHNOLOGIES, INC.</v>
    <v>1.71</v>
    <v>0</v>
    <v>1.69</v>
    <v>1.66</v>
    <v>1.6698</v>
    <v>68764460</v>
    <v>LAZR</v>
    <v>LUMINAR TECHNOLOGIES, INC. (XNAS:LAZR)</v>
    <v>2543756</v>
    <v>3946831</v>
    <v>2018</v>
  </rv>
  <rv s="2">
    <v>196</v>
  </rv>
  <rv s="0">
    <v>https://www.bing.com/financeapi/forcetrigger?t=a1x6rw&amp;q=XNYS%3aLUV&amp;form=skydnc</v>
    <v>Learn more on Bing</v>
  </rv>
  <rv s="1">
    <v>0</v>
    <v>SOUTHWEST AIRLINES CO. (XNYS:LUV)</v>
    <v>2</v>
    <v>3</v>
    <v>Finance</v>
    <v>4</v>
    <v>en-US</v>
    <v>a1x6rw</v>
    <v>268435456</v>
    <v>1</v>
    <v>Powered by Refinitiv</v>
    <v>37.96</v>
    <v>23.815000000000001</v>
    <v>1.2143999999999999</v>
    <v>0.27</v>
    <v>8.6759999999999997E-3</v>
    <v>-0.02</v>
    <v>-6.3710000000000004E-4</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31.86</v>
    <v>Passenger Transportation Services</v>
    <v>Stock</v>
    <v>45905.975763853909</v>
    <v>198</v>
    <v>30.99</v>
    <v>16485641903</v>
    <v>SOUTHWEST AIRLINES CO.</v>
    <v>SOUTHWEST AIRLINES CO.</v>
    <v>31.23</v>
    <v>37.683100000000003</v>
    <v>31.12</v>
    <v>31.39</v>
    <v>31.37</v>
    <v>525187700</v>
    <v>LUV</v>
    <v>SOUTHWEST AIRLINES CO. (XNYS:LUV)</v>
    <v>8027905</v>
    <v>7619263</v>
    <v>1967</v>
  </rv>
  <rv s="2">
    <v>199</v>
  </rv>
  <rv s="0">
    <v>https://www.bing.com/financeapi/forcetrigger?t=a1x8w7&amp;q=XNYS%3aMA&amp;form=skydnc</v>
    <v>Learn more on Bing</v>
  </rv>
  <rv s="1">
    <v>0</v>
    <v>MASTERCARD INCORPORATED. (XNYS:MA)</v>
    <v>2</v>
    <v>3</v>
    <v>Finance</v>
    <v>4</v>
    <v>en-US</v>
    <v>a1x8w7</v>
    <v>268435456</v>
    <v>1</v>
    <v>Powered by Refinitiv</v>
    <v>601.77</v>
    <v>465.59</v>
    <v>0.98370000000000002</v>
    <v>-11.42</v>
    <v>-1.9172999999999999E-2</v>
    <v>-0.22</v>
    <v>-3.7659999999999999E-4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598.58000000000004</v>
    <v>Software &amp; IT Services</v>
    <v>Stock</v>
    <v>45905.99901518516</v>
    <v>201</v>
    <v>579.02520000000004</v>
    <v>528141773796</v>
    <v>MASTERCARD INCORPORATED.</v>
    <v>MASTERCARD INCORPORATED.</v>
    <v>595.47</v>
    <v>40.169400000000003</v>
    <v>595.64</v>
    <v>584.22</v>
    <v>584</v>
    <v>904011800</v>
    <v>MA</v>
    <v>MASTERCARD INCORPORATED. (XNYS:MA)</v>
    <v>2432345</v>
    <v>2561396</v>
    <v>2001</v>
  </rv>
  <rv s="2">
    <v>202</v>
  </rv>
  <rv s="0">
    <v>https://www.bing.com/financeapi/forcetrigger?t=a1yuvh&amp;q=XNAS%3aNVAX&amp;form=skydnc</v>
    <v>Learn more on Bing</v>
  </rv>
  <rv s="1">
    <v>0</v>
    <v>NOVAVAX, INC. (XNAS:NVAX)</v>
    <v>2</v>
    <v>3</v>
    <v>Finance</v>
    <v>4</v>
    <v>en-US</v>
    <v>a1yuvh</v>
    <v>268435456</v>
    <v>1</v>
    <v>Powered by Refinitiv</v>
    <v>15.22</v>
    <v>5.01</v>
    <v>2.7240000000000002</v>
    <v>0.11</v>
    <v>1.4121E-2</v>
    <v>-0.03</v>
    <v>-3.797E-3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7.9550000000000001</v>
    <v>Biotechnology &amp; Medical Research</v>
    <v>Stock</v>
    <v>45905.999816423435</v>
    <v>204</v>
    <v>7.6612999999999998</v>
    <v>1265265000</v>
    <v>NOVAVAX, INC.</v>
    <v>NOVAVAX, INC.</v>
    <v>7.89</v>
    <v>3.4540000000000002</v>
    <v>7.79</v>
    <v>7.9</v>
    <v>7.87</v>
    <v>162421600</v>
    <v>NVAX</v>
    <v>NOVAVAX, INC. (XNAS:NVAX)</v>
    <v>5445159</v>
    <v>8647727</v>
    <v>1987</v>
  </rv>
  <rv s="2">
    <v>205</v>
  </rv>
  <rv s="0">
    <v>http://en.wikipedia.org/wiki/Novartis</v>
    <v>Wikipedia</v>
  </rv>
  <rv s="5">
    <v>39</v>
    <v>207</v>
  </rv>
  <rv s="6">
    <v>17</v>
    <v>https://www.bing.com/th?id=AMMS_3a4201ed5d487670c98d0ce5663b2ca7&amp;qlt=95</v>
    <v>208</v>
    <v>0</v>
    <v>https://www.bing.com/images/search?form=xlimg&amp;q=novartis</v>
    <v>Image of Novartis Inc.</v>
  </rv>
  <rv s="0">
    <v>https://www.bing.com/financeapi/forcetrigger?t=a1yw77&amp;q=XNYS%3aNVS&amp;form=skydnc</v>
    <v>Learn more on Bing</v>
  </rv>
  <rv s="7">
    <v>13</v>
    <v>Novartis Inc. (XNYS:NVS)</v>
    <v>15</v>
    <v>16</v>
    <v>Finance</v>
    <v>4</v>
    <v>en-US</v>
    <v>a1yw77</v>
    <v>268435456</v>
    <v>1</v>
    <v>Powered by Refinitiv</v>
    <v>130.46</v>
    <v>96.061999999999998</v>
    <v>0.6341</v>
    <v>1.31</v>
    <v>1.0201E-2</v>
    <v>0.39</v>
    <v>3.006E-3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130.46</v>
    <v>209</v>
    <v>Pharmaceuticals</v>
    <v>Stock</v>
    <v>45905.973885705469</v>
    <v>210</v>
    <v>129.15</v>
    <v>275215700000</v>
    <v>Novartis Inc.</v>
    <v>Novartis Inc.</v>
    <v>129.82</v>
    <v>18.718699999999998</v>
    <v>128.41999999999999</v>
    <v>129.72999999999999</v>
    <v>130.12</v>
    <v>2112422000</v>
    <v>NVS</v>
    <v>Novartis Inc. (XNYS:NVS)</v>
    <v>1339550</v>
    <v>1328756</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0.96750000000000003</v>
    <v>-0.7</v>
    <v>-1.5018E-2</v>
    <v>-0.02</v>
    <v>-4.3560000000000002E-4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46.24</v>
    <v>Oil &amp; Gas</v>
    <v>Stock</v>
    <v>45905.999511041409</v>
    <v>213</v>
    <v>45.23</v>
    <v>45195631218</v>
    <v>OCCIDENTAL PETROLEUM CORPORATION</v>
    <v>OCCIDENTAL PETROLEUM CORPORATION</v>
    <v>46.24</v>
    <v>27.455400000000001</v>
    <v>46.61</v>
    <v>45.91</v>
    <v>45.89</v>
    <v>984439800</v>
    <v>OXY</v>
    <v>OCCIDENTAL PETROLEUM CORPORATION (XNYS:OXY)</v>
    <v>9840623</v>
    <v>9559081</v>
    <v>1986</v>
  </rv>
  <rv s="2">
    <v>214</v>
  </rv>
  <rv s="0">
    <v>https://www.bing.com/financeapi/forcetrigger?t=a1zqnm&amp;q=XNYS%3aPFE&amp;form=skydnc</v>
    <v>Learn more on Bing</v>
  </rv>
  <rv s="1">
    <v>0</v>
    <v>PFIZER INC. (XNYS:PFE)</v>
    <v>2</v>
    <v>3</v>
    <v>Finance</v>
    <v>4</v>
    <v>en-US</v>
    <v>a1zqnm</v>
    <v>268435456</v>
    <v>1</v>
    <v>Powered by Refinitiv</v>
    <v>30.43</v>
    <v>20.914999999999999</v>
    <v>0.50639999999999996</v>
    <v>0.34</v>
    <v>1.3854999999999999E-2</v>
    <v>-0.02</v>
    <v>-8.0390000000000008E-4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24.89</v>
    <v>Pharmaceuticals</v>
    <v>Stock</v>
    <v>45905.999749803123</v>
    <v>216</v>
    <v>24.504999999999999</v>
    <v>141456500000</v>
    <v>PFIZER INC.</v>
    <v>PFIZER INC.</v>
    <v>24.57</v>
    <v>17.7959</v>
    <v>24.54</v>
    <v>24.88</v>
    <v>24.86</v>
    <v>5685550000</v>
    <v>PFE</v>
    <v>PFIZER INC. (XNYS:PFE)</v>
    <v>34613225</v>
    <v>43656101</v>
    <v>1942</v>
  </rv>
  <rv s="2">
    <v>217</v>
  </rv>
  <rv s="0">
    <v>https://www.bing.com/financeapi/forcetrigger?t=a2215r&amp;q=XNYS%3aRIG&amp;form=skydnc</v>
    <v>Learn more on Bing</v>
  </rv>
  <rv s="4">
    <v>11</v>
    <v>Transocean Ltd (XNYS:RIG)</v>
    <v>2</v>
    <v>12</v>
    <v>Finance</v>
    <v>4</v>
    <v>en-US</v>
    <v>a2215r</v>
    <v>268435456</v>
    <v>1</v>
    <v>Powered by Refinitiv</v>
    <v>4.76</v>
    <v>1.97</v>
    <v>2.6911</v>
    <v>-0.03</v>
    <v>-9.6769999999999998E-3</v>
    <v>-0.01</v>
    <v>-3.2569999999999999E-3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3.14</v>
    <v>Oil &amp; Gas Related Equipment and Services</v>
    <v>Stock</v>
    <v>45905.99831770781</v>
    <v>219</v>
    <v>3.03</v>
    <v>2895394000</v>
    <v>Transocean Ltd</v>
    <v>Transocean Ltd</v>
    <v>3.07</v>
    <v>3.1</v>
    <v>3.07</v>
    <v>3.06</v>
    <v>943125000</v>
    <v>RIG</v>
    <v>Transocean Ltd (XNYS:RIG)</v>
    <v>20104307</v>
    <v>22862852</v>
    <v>2008</v>
  </rv>
  <rv s="2">
    <v>220</v>
  </rv>
  <rv s="0">
    <v>https://www.bing.com/financeapi/forcetrigger?t=a228w7&amp;q=XNYS%3aRRC&amp;form=skydnc</v>
    <v>Learn more on Bing</v>
  </rv>
  <rv s="1">
    <v>0</v>
    <v>RANGE RESOURCES CORPORATION (XNYS:RRC)</v>
    <v>2</v>
    <v>3</v>
    <v>Finance</v>
    <v>4</v>
    <v>en-US</v>
    <v>a228w7</v>
    <v>268435456</v>
    <v>1</v>
    <v>Powered by Refinitiv</v>
    <v>43.5</v>
    <v>27.55</v>
    <v>0.50629999999999997</v>
    <v>-0.24</v>
    <v>-6.8689999999999992E-3</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35.020000000000003</v>
    <v>Oil &amp; Gas</v>
    <v>Stock</v>
    <v>45905.958333344533</v>
    <v>222</v>
    <v>34.15</v>
    <v>8265231170</v>
    <v>RANGE RESOURCES CORPORATION</v>
    <v>RANGE RESOURCES CORPORATION</v>
    <v>34.71</v>
    <v>31.3324</v>
    <v>34.94</v>
    <v>34.700000000000003</v>
    <v>34.700000000000003</v>
    <v>238191100</v>
    <v>RRC</v>
    <v>RANGE RESOURCES CORPORATION (XNYS:RRC)</v>
    <v>2998652</v>
    <v>2371574</v>
    <v>1980</v>
  </rv>
  <rv s="2">
    <v>223</v>
  </rv>
  <rv s="0">
    <v>https://www.bing.com/financeapi/forcetrigger?t=a23i8m&amp;q=XNYS%3aSQ&amp;form=skydnc</v>
    <v>Learn more on Bing</v>
  </rv>
  <rv s="1">
    <v>0</v>
    <v>BLOCK, INC. (XNYS:XYZ)</v>
    <v>2</v>
    <v>3</v>
    <v>Finance</v>
    <v>4</v>
    <v>en-US</v>
    <v>a23i8m</v>
    <v>268435456</v>
    <v>1</v>
    <v>Powered by Refinitiv</v>
    <v>99.26</v>
    <v>44.27</v>
    <v>2.7463000000000002</v>
    <v>-0.81</v>
    <v>-1.0692999999999999E-2</v>
    <v>-0.33989999999999998</v>
    <v>-4.5360000000000001E-3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77.075000000000003</v>
    <v>Professional &amp; Commercial Services</v>
    <v>Stock</v>
    <v>45905.996865381247</v>
    <v>225</v>
    <v>73.69</v>
    <v>45682230000</v>
    <v>BLOCK, INC.</v>
    <v>BLOCK, INC.</v>
    <v>76.3</v>
    <v>44.733499999999999</v>
    <v>75.75</v>
    <v>74.94</v>
    <v>74.600099999999998</v>
    <v>609584000</v>
    <v>XYZ</v>
    <v>BLOCK, INC. (XNYS:XYZ)</v>
    <v>4785770</v>
    <v>7716194</v>
    <v>2009</v>
  </rv>
  <rv s="2">
    <v>226</v>
  </rv>
  <rv s="0">
    <v>https://www.bing.com/financeapi/forcetrigger?t=a2475r&amp;q=XNYS%3aTHC&amp;form=skydnc</v>
    <v>Learn more on Bing</v>
  </rv>
  <rv s="1">
    <v>0</v>
    <v>TENET HEALTHCARE CORPORATION (XNYS:THC)</v>
    <v>2</v>
    <v>3</v>
    <v>Finance</v>
    <v>4</v>
    <v>en-US</v>
    <v>a2475r</v>
    <v>268435456</v>
    <v>1</v>
    <v>Powered by Refinitiv</v>
    <v>196.73</v>
    <v>109.82389999999999</v>
    <v>1.5163</v>
    <v>3.66</v>
    <v>1.9011E-2</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196.73</v>
    <v>Healthcare Providers &amp; Services</v>
    <v>Stock</v>
    <v>45905.999455404686</v>
    <v>228</v>
    <v>192.98</v>
    <v>17332700000</v>
    <v>TENET HEALTHCARE CORPORATION</v>
    <v>TENET HEALTHCARE CORPORATION</v>
    <v>193.53</v>
    <v>12.729100000000001</v>
    <v>192.52</v>
    <v>196.18</v>
    <v>196.18</v>
    <v>88351000</v>
    <v>THC</v>
    <v>TENET HEALTHCARE CORPORATION (XNYS:THC)</v>
    <v>924023</v>
    <v>953068</v>
    <v>1975</v>
  </rv>
  <rv s="2">
    <v>229</v>
  </rv>
  <rv s="0">
    <v>https://www.bing.com/financeapi/forcetrigger?t=a265bh&amp;q=XNYS%3aX&amp;form=skydnc</v>
    <v>Learn more on Bing</v>
  </rv>
  <rv s="3">
    <v>5</v>
    <v>UNITED STATES STEEL CORPORATION (XNYS:X)</v>
    <v>2</v>
    <v>24</v>
    <v>Finance</v>
    <v>25</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1">
    <v>31</v>
    <v>iShs Digtl Sec UCITS ETF USD A (XLON:LOCK)</v>
    <v>32</v>
    <v>33</v>
    <v>Finance</v>
    <v>34</v>
    <v>en-US</v>
    <v>bhz7hw</v>
    <v>268435456</v>
    <v>1</v>
    <v>Powered by Refinitiv</v>
    <v>10.130000000000001</v>
    <v>7.351</v>
    <v>0.61380000000000001</v>
    <v>9.7000000000000003E-2</v>
    <v>9.7629999999999991E-3</v>
    <v>USD</v>
    <v>London Stock Exchange</v>
    <v>XLON</v>
    <v>4.0000000000000001E-3</v>
    <v>10.130000000000001</v>
    <v>ETF</v>
    <v>45905.651801828128</v>
    <v>234</v>
    <v>9.9890000000000008</v>
    <v>1635100744.3800001</v>
    <v>iShs Digtl Sec UCITS ETF USD A</v>
    <v>10.013999999999999</v>
    <v>9.9350000000000005</v>
    <v>10.032</v>
    <v>LOCK</v>
    <v>iShs Digtl Sec UCITS ETF USD A (XLON:LOCK)</v>
    <v>70921</v>
  </rv>
  <rv s="2">
    <v>235</v>
  </rv>
  <rv s="12">
    <v>12</v>
    <v>Volume average</v>
    <v>0</v>
  </rv>
  <rv s="13">
    <v>12</v>
    <v>1</v>
  </rv>
  <rv s="14">
    <v>35</v>
    <v>EUR/USD</v>
    <v>36</v>
    <v>37</v>
    <v>Finance</v>
    <v>38</v>
    <v>en-US</v>
    <v>av932w</v>
    <v>268435456</v>
    <v>1</v>
    <v>Powered by Refinitiv</v>
    <v>1.1829000000000001</v>
    <v>1.0176000000000001</v>
    <v>6.7999999999999996E-3</v>
    <v>5.8370000000000002E-3</v>
    <v>USD</v>
    <v>EUR</v>
    <v>Currency Pair</v>
    <v>45905.874976851854</v>
    <v>Euro/US Dollar FX Spot Rate</v>
    <v>1.1649</v>
    <v>1.1717</v>
    <v>EURUSD</v>
    <v>EUR/USD</v>
  </rv>
  <rv s="2">
    <v>239</v>
  </rv>
  <rv s="14">
    <v>35</v>
    <v>EUR/CHF</v>
    <v>36</v>
    <v>39</v>
    <v>Finance</v>
    <v>38</v>
    <v>en-US</v>
    <v>av923m</v>
    <v>268435456</v>
    <v>1</v>
    <v>Powered by Refinitiv</v>
    <v>0.96609999999999996</v>
    <v>0.92</v>
    <v>-2.8999999999999998E-3</v>
    <v>-3.0919999999999997E-3</v>
    <v>CHF</v>
    <v>EUR</v>
    <v>Currency Pair</v>
    <v>45905.874976851854</v>
    <v>Euro/Swiss Franc FX Cross Rate</v>
    <v>0.93799999999999994</v>
    <v>0.93510000000000004</v>
    <v>EURCHF</v>
    <v>EUR/CHF</v>
  </rv>
  <rv s="2">
    <v>241</v>
  </rv>
  <rv s="14">
    <v>35</v>
    <v>EUR/GBP</v>
    <v>36</v>
    <v>40</v>
    <v>Finance</v>
    <v>38</v>
    <v>en-US</v>
    <v>av92z2</v>
    <v>268435456</v>
    <v>1</v>
    <v>Powered by Refinitiv</v>
    <v>0.87629999999999997</v>
    <v>0.82189999999999996</v>
    <v>0</v>
    <v>0</v>
    <v>GBP</v>
    <v>EUR</v>
    <v>Currency Pair</v>
    <v>45905.874976851854</v>
    <v>Euro/UK Pound Sterling FX Cross Rate</v>
    <v>0.86709999999999998</v>
    <v>0.86709999999999998</v>
    <v>EURGBP</v>
    <v>EUR/GBP</v>
  </rv>
  <rv s="2">
    <v>243</v>
  </rv>
  <rv s="14">
    <v>35</v>
    <v>EUR/AUD</v>
    <v>36</v>
    <v>41</v>
    <v>Finance</v>
    <v>38</v>
    <v>en-US</v>
    <v>av8sfr</v>
    <v>268435456</v>
    <v>1</v>
    <v>Powered by Refinitiv</v>
    <v>1.8554999999999999</v>
    <v>1.5899000000000001</v>
    <v>-5.9999999999999995E-4</v>
    <v>-3.3579999999999998E-4</v>
    <v>AUD</v>
    <v>EUR</v>
    <v>Currency Pair</v>
    <v>45905.874976851854</v>
    <v>Euro/Australian Dollar FX Cross Rate</v>
    <v>1.7867</v>
    <v>1.7861</v>
    <v>EURAUD</v>
    <v>EUR/AUD</v>
  </rv>
  <rv s="2">
    <v>245</v>
  </rv>
  <rv s="14">
    <v>35</v>
    <v>EUR/CAD</v>
    <v>36</v>
    <v>42</v>
    <v>Finance</v>
    <v>38</v>
    <v>en-US</v>
    <v>av8ttc</v>
    <v>268435456</v>
    <v>1</v>
    <v>Powered by Refinitiv</v>
    <v>1.6225000000000001</v>
    <v>1.4484999999999999</v>
    <v>1.0800000000000001E-2</v>
    <v>6.7100000000000007E-3</v>
    <v>CAD</v>
    <v>EUR</v>
    <v>Currency Pair</v>
    <v>45905.875</v>
    <v>Euro/Canadian Dollar FX Cross Rate</v>
    <v>1.6094999999999999</v>
    <v>1.6203000000000001</v>
    <v>EURCAD</v>
    <v>EUR/CAD</v>
  </rv>
  <rv s="2">
    <v>247</v>
  </rv>
  <rv s="14">
    <v>35</v>
    <v>USD/JPY</v>
    <v>36</v>
    <v>43</v>
    <v>Finance</v>
    <v>38</v>
    <v>en-US</v>
    <v>avyomw</v>
    <v>268435456</v>
    <v>1</v>
    <v>Powered by Refinitiv</v>
    <v>158.87</v>
    <v>139.56</v>
    <v>-1.1000000000000001</v>
    <v>-7.4080000000000005E-3</v>
    <v>JPY</v>
    <v>USD</v>
    <v>Currency Pair</v>
    <v>45905.874918981484</v>
    <v>US Dollar/Japanese Yen FX Spot Rate</v>
    <v>148.47999999999999</v>
    <v>147.38</v>
    <v>USDJPY</v>
    <v>USD/JPY</v>
  </rv>
  <rv s="2">
    <v>249</v>
  </rv>
  <rv s="14">
    <v>35</v>
    <v>USD/CHF</v>
    <v>36</v>
    <v>39</v>
    <v>Finance</v>
    <v>38</v>
    <v>en-US</v>
    <v>avyt7w</v>
    <v>268435456</v>
    <v>1</v>
    <v>Powered by Refinitiv</v>
    <v>0.92</v>
    <v>0.78690000000000004</v>
    <v>-7.1999999999999998E-3</v>
    <v>-8.9409999999999993E-3</v>
    <v>CHF</v>
    <v>USD</v>
    <v>Currency Pair</v>
    <v>45905.874942129631</v>
    <v>US Dollar/Swiss Franc FX Spot Rate</v>
    <v>0.80530000000000002</v>
    <v>0.79810000000000003</v>
    <v>USDCHF</v>
    <v>USD/CHF</v>
  </rv>
  <rv s="2">
    <v>251</v>
  </rv>
  <rv s="14">
    <v>35</v>
    <v>USD/GBP</v>
    <v>36</v>
    <v>40</v>
    <v>Finance</v>
    <v>38</v>
    <v>en-US</v>
    <v>avyu4c</v>
    <v>268435456</v>
    <v>1</v>
    <v>Powered by Refinitiv</v>
    <v>0.82650000000000001</v>
    <v>0.72509999999999997</v>
    <v>-4.4000000000000003E-3</v>
    <v>-5.9109999999999996E-3</v>
    <v>GBP</v>
    <v>USD</v>
    <v>Currency Pair</v>
    <v>45905.87431712963</v>
    <v>US Dollar/UK Pound Sterling FX Cross Rate</v>
    <v>0.74439999999999995</v>
    <v>0.74</v>
    <v>USDGBP</v>
    <v>USD/GBP</v>
  </rv>
  <rv s="2">
    <v>253</v>
  </rv>
  <rv s="0">
    <v>https://www.bing.com/financeapi/forcetrigger?t=a6qja2&amp;q=DOW+JONES+INDU+AVERAGE+NDX&amp;form=skydnc</v>
    <v>Learn more on Bing</v>
  </rv>
  <rv s="15">
    <v>44</v>
    <v>DOW JONES INDU AVERAGE NDX</v>
    <v>32</v>
    <v>45</v>
    <v>Finance</v>
    <v>46</v>
    <v>en-US</v>
    <v>a6qja2</v>
    <v>268435456</v>
    <v>1</v>
    <v>Powered by Refinitiv</v>
    <v>45770.2</v>
    <v>36611.78</v>
    <v>-220.43</v>
    <v>-4.8320000000000004E-3</v>
    <v>US</v>
    <v>45770.2</v>
    <v>Index</v>
    <v>255</v>
    <v>45211.78</v>
    <v>DOW JONES INDU AVERAGE NDX</v>
    <v>45656.49</v>
    <v>45621.29</v>
    <v>45400.86</v>
    <v>DJI</v>
    <v>DOW JONES INDU AVERAGE NDX</v>
  </rv>
  <rv s="2">
    <v>256</v>
  </rv>
  <rv s="0">
    <v>https://www.bing.com/financeapi/forcetrigger?t=bxjpp2&amp;q=XLON%3aXNAS&amp;form=skydnc</v>
    <v>Learn more on Bing</v>
  </rv>
  <rv s="11">
    <v>31</v>
    <v>X NASDAQ 100 UCITS ETF 1C (XLON:XNAS)</v>
    <v>32</v>
    <v>33</v>
    <v>Finance</v>
    <v>34</v>
    <v>en-US</v>
    <v>bxjpp2</v>
    <v>268435456</v>
    <v>1</v>
    <v>Powered by Refinitiv</v>
    <v>55.46</v>
    <v>37.74</v>
    <v>1.123</v>
    <v>0.25</v>
    <v>4.5999999999999999E-3</v>
    <v>USD</v>
    <v>London Stock Exchange</v>
    <v>XLON</v>
    <v>2E-3</v>
    <v>55.07</v>
    <v>ETF</v>
    <v>45905.649587846878</v>
    <v>258</v>
    <v>54.4</v>
    <v>1555078296.0899999</v>
    <v>X NASDAQ 100 UCITS ETF 1C</v>
    <v>54.9</v>
    <v>54.35</v>
    <v>54.6</v>
    <v>XNAS</v>
    <v>X NASDAQ 100 UCITS ETF 1C (XLON:XNAS)</v>
    <v>6252</v>
  </rv>
  <rv s="2">
    <v>259</v>
  </rv>
  <rv s="12">
    <v>12</v>
    <v>Instrument type</v>
    <v>0</v>
  </rv>
  <rv s="0">
    <v>https://www.bing.com/financeapi/forcetrigger?t=a1qqvh&amp;q=XNAS%3aDAX&amp;form=skydnc</v>
    <v>Learn more on Bing</v>
  </rv>
  <rv s="16">
    <v>47</v>
    <v>Glbl X DAX Germany (XNAS:DAX)</v>
    <v>32</v>
    <v>48</v>
    <v>Finance</v>
    <v>49</v>
    <v>en-US</v>
    <v>a1qqvh</v>
    <v>268435456</v>
    <v>1</v>
    <v>Powered by Refinitiv</v>
    <v>46.088799999999999</v>
    <v>32.33</v>
    <v>1.0944</v>
    <v>-0.13039999999999999</v>
    <v>-2.9480000000000001E-3</v>
    <v>0</v>
    <v>0</v>
    <v>USD</v>
    <v>Nasdaq Stock Market</v>
    <v>XNAS</v>
    <v>2E-3</v>
    <v>44.488199999999999</v>
    <v>ETF</v>
    <v>45905.843750126565</v>
    <v>262</v>
    <v>43.96</v>
    <v>305665362.13999999</v>
    <v>Glbl X DAX Germany</v>
    <v>44.32</v>
    <v>44.23</v>
    <v>44.099600000000002</v>
    <v>44.099600000000002</v>
    <v>DAX</v>
    <v>Glbl X DAX Germany (XNAS:DAX)</v>
    <v>53859</v>
    <v>82532</v>
  </rv>
  <rv s="2">
    <v>263</v>
  </rv>
</rvData>
</file>

<file path=xl/richData/rdrichvaluestructure.xml><?xml version="1.0" encoding="utf-8"?>
<rvStructures xmlns="http://schemas.microsoft.com/office/spreadsheetml/2017/richdata" count="1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Instrument type" t="s"/>
    <k n="Last trade time"/>
    <k n="Name" t="s"/>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4">
      <v t="s">%EntityServiceId</v>
      <v t="s">_Format</v>
      <v t="s">%IsRefreshable</v>
      <v t="s">%EntityCulture</v>
      <v t="s">%EntityId</v>
      <v t="s">_Icon</v>
      <v t="s">_Display</v>
      <v t="s">Name</v>
      <v t="s">Price</v>
      <v t="s">_SubLabel</v>
      <v t="s">Last trade time</v>
      <v t="s">Ticker symbol</v>
      <v t="s">Change</v>
      <v t="s">Change (%)</v>
      <v t="s">Currency</v>
      <v t="s">From currency</v>
      <v t="s">Previous close</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0">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14</v>
      <v>1</v>
      <v>1</v>
      <v>1</v>
      <v>1</v>
    </spb>
    <spb s="11">
      <v>1</v>
      <v>2</v>
      <v>2</v>
      <v>1</v>
      <v>3</v>
      <v>1</v>
      <v>15</v>
      <v>1</v>
      <v>1</v>
      <v>4</v>
      <v>4</v>
      <v>5</v>
      <v>6</v>
      <v>1</v>
      <v>1</v>
      <v>1</v>
      <v>4</v>
      <v>7</v>
      <v>8</v>
      <v>9</v>
      <v>4</v>
      <v>1</v>
      <v>1</v>
      <v>5</v>
    </spb>
    <spb s="12">
      <v>Powered by Refinitiv</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20">
      <v>Delayed 15 minutes</v>
      <v>from previous close</v>
      <v>LSE</v>
      <v>from previous close</v>
      <v>GMT</v>
    </spb>
    <spb s="15">
      <v>8</v>
      <v>Name</v>
    </spb>
    <spb s="21">
      <v>1</v>
      <v>1</v>
    </spb>
    <spb s="22">
      <v>3</v>
      <v>1</v>
      <v>1</v>
      <v>5</v>
      <v>1</v>
      <v>1</v>
      <v>1</v>
      <v>7</v>
      <v>9</v>
    </spb>
    <spb s="23">
      <v>GMT</v>
    </spb>
    <spb s="22">
      <v>3</v>
      <v>18</v>
      <v>18</v>
      <v>5</v>
      <v>18</v>
      <v>18</v>
      <v>18</v>
      <v>7</v>
      <v>9</v>
    </spb>
    <spb s="22">
      <v>3</v>
      <v>20</v>
      <v>20</v>
      <v>5</v>
      <v>20</v>
      <v>20</v>
      <v>20</v>
      <v>7</v>
      <v>9</v>
    </spb>
    <spb s="22">
      <v>3</v>
      <v>21</v>
      <v>21</v>
      <v>5</v>
      <v>21</v>
      <v>21</v>
      <v>21</v>
      <v>7</v>
      <v>9</v>
    </spb>
    <spb s="22">
      <v>3</v>
      <v>22</v>
      <v>22</v>
      <v>5</v>
      <v>22</v>
      <v>22</v>
      <v>22</v>
      <v>7</v>
      <v>9</v>
    </spb>
    <spb s="22">
      <v>3</v>
      <v>23</v>
      <v>23</v>
      <v>5</v>
      <v>23</v>
      <v>23</v>
      <v>23</v>
      <v>7</v>
      <v>9</v>
    </spb>
    <spb s="0">
      <v>9</v>
      <v>Name</v>
      <v>LearnMoreOnLink</v>
    </spb>
    <spb s="24">
      <v>1</v>
      <v>1</v>
      <v>3</v>
      <v>1</v>
      <v>1</v>
      <v>1</v>
      <v>5</v>
      <v>1</v>
      <v>1</v>
      <v>1</v>
      <v>9</v>
    </spb>
    <spb s="25">
      <v>from previous close</v>
      <v>from previous close</v>
    </spb>
    <spb s="0">
      <v>10</v>
      <v>Name</v>
      <v>LearnMoreOnLink</v>
    </spb>
    <spb s="26">
      <v>1</v>
      <v>2</v>
      <v>1</v>
      <v>3</v>
      <v>1</v>
      <v>1</v>
      <v>1</v>
      <v>4</v>
      <v>5</v>
      <v>6</v>
      <v>1</v>
      <v>1</v>
      <v>5</v>
      <v>1</v>
      <v>4</v>
      <v>7</v>
      <v>9</v>
      <v>1</v>
      <v>1</v>
      <v>5</v>
    </spb>
    <spb s="27">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Name"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7">
  <tableColumns count="32">
    <tableColumn id="2" xr3:uid="{8118E0A9-5AF1-7F44-BE09-CF2D0F8A2399}" name="Ticker symbol" totalsRowLabel="Total" dataDxfId="46" totalsRowDxfId="13">
      <calculatedColumnFormula array="1">_xlfn.SINGLE(RTData[suffix])&amp;_FV(RTData[[#This Row],[Company Name]],"Ticker symbol",TRUE)</calculatedColumnFormula>
    </tableColumn>
    <tableColumn id="7" xr3:uid="{499A2502-9862-974B-B3F4-42E9D6C812C8}" name="ExchR" dataDxfId="45" totalsRowDxfId="12">
      <calculatedColumnFormula>RTData[[#This Row],[Currency]]</calculatedColumnFormula>
    </tableColumn>
    <tableColumn id="3" xr3:uid="{5A6CBBC9-8B27-C94D-8965-6BDAEC21DC67}" name="Company Name" dataDxfId="44" totalsRowDxfId="11"/>
    <tableColumn id="53" xr3:uid="{B14728A6-B009-7546-B848-E719B03540DC}" name="Currency" dataDxfId="43" totalsRowDxfId="10">
      <calculatedColumnFormula array="1">_FV(RTData[[#This Row],[Company Name]],"Currency")</calculatedColumnFormula>
    </tableColumn>
    <tableColumn id="20" xr3:uid="{D82CD65F-7990-6441-B746-5B546F13E893}" name="Last trade time" dataDxfId="42">
      <calculatedColumnFormula array="1">_FV(RTData[[#This Row],[Company Name]],"Last trade time",TRUE)</calculatedColumnFormula>
    </tableColumn>
    <tableColumn id="24" xr3:uid="{50AD8F7D-A008-1E4B-8CDC-ED5A311B2F87}" name="Close" dataDxfId="41">
      <calculatedColumnFormula array="1">_FV(RTData[[#This Row],[Company Name]],"Previous close",TRUE)</calculatedColumnFormula>
    </tableColumn>
    <tableColumn id="41" xr3:uid="{5E6391A6-59FD-5740-8C73-F858AA473A29}" name="Open" dataDxfId="40">
      <calculatedColumnFormula array="1">_FV(RTData[[#This Row],[Company Name]],"Open")</calculatedColumnFormula>
    </tableColumn>
    <tableColumn id="42" xr3:uid="{4E05AFBD-23DD-3143-BF73-10371B600ACA}" name="M-Price" dataDxfId="39">
      <calculatedColumnFormula array="1">_FV(RTData[[#This Row],[Company Name]],"Price")</calculatedColumnFormula>
    </tableColumn>
    <tableColumn id="43" xr3:uid="{E688C267-1B9D-F141-8056-E51CA38246AF}" name="Low" dataDxfId="38">
      <calculatedColumnFormula array="1">_FV(RTData[[#This Row],[Company Name]],"Low")</calculatedColumnFormula>
    </tableColumn>
    <tableColumn id="44" xr3:uid="{F544ECB3-E642-0B49-BC8C-3FF19572390B}" name="High" dataDxfId="37" totalsRowDxfId="9">
      <calculatedColumnFormula array="1">_FV(RTData[[#This Row],[Company Name]],"High")</calculatedColumnFormula>
    </tableColumn>
    <tableColumn id="45" xr3:uid="{719B2CAC-13BF-6E48-8695-F62AD7F1022B}" name="P/E" dataDxfId="36">
      <calculatedColumnFormula array="1">IFERROR(_FV(RTData[[#This Row],[Company Name]],"P/E",TRUE),99)</calculatedColumnFormula>
    </tableColumn>
    <tableColumn id="46" xr3:uid="{779A9617-BAD5-A445-AFD5-37567FCA27C4}" name="Change" totalsRowFunction="average" dataDxfId="35" totalsRowDxfId="8">
      <calculatedColumnFormula array="1">_FV(RTData[[#This Row],[Company Name]],"Change")</calculatedColumnFormula>
    </tableColumn>
    <tableColumn id="47" xr3:uid="{B66A6A9C-3452-4E40-8656-B7251B427A3F}" name="Change%" totalsRowFunction="max" dataDxfId="34" totalsRowDxfId="7" dataCellStyle="Percent">
      <calculatedColumnFormula array="1">_FV(RTData[[#This Row],[Company Name]],"Change (%)",TRUE)</calculatedColumnFormula>
    </tableColumn>
    <tableColumn id="48" xr3:uid="{DB75E524-1711-3047-A0FA-27F4B501D06A}" name="52_week_low" dataDxfId="33">
      <calculatedColumnFormula array="1">_FV(RTData[[#This Row],[Company Name]],"52 week low",TRUE)</calculatedColumnFormula>
    </tableColumn>
    <tableColumn id="49" xr3:uid="{AF4DD0CC-0EAF-094F-996C-D692420E9592}" name="52_week_high" dataDxfId="32">
      <calculatedColumnFormula array="1">_FV(RTData[[#This Row],[Company Name]],"52 week high",TRUE)</calculatedColumnFormula>
    </tableColumn>
    <tableColumn id="50" xr3:uid="{B4995C94-74C8-AB40-AEF1-25C01418FF11}" name="Volume" totalsRowFunction="max" dataDxfId="31" totalsRowDxfId="6">
      <calculatedColumnFormula array="1">_FV(RTData[[#This Row],[Company Name]],"Volume")</calculatedColumnFormula>
    </tableColumn>
    <tableColumn id="51" xr3:uid="{D7282A85-9AD4-3A4B-B3FA-A2A6E0F8F1EF}" name="Volume average" totalsRowFunction="average" dataDxfId="30" totalsRowDxfId="5">
      <calculatedColumnFormula array="1">_FV(RTData[[#This Row],[Company Name]],"Volume average",TRUE)</calculatedColumnFormula>
    </tableColumn>
    <tableColumn id="52" xr3:uid="{761404C5-AEDD-5640-8AA0-28CD8FF36D32}" name="Beta" dataDxfId="2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28" totalsRowDxfId="4" dataCellStyle="Percent">
      <calculatedColumnFormula>IFERROR(RTData[[#This Row],[Volume]]/RTData[[#This Row],[Volume average]],1)</calculatedColumnFormula>
    </tableColumn>
    <tableColumn id="11" xr3:uid="{551C9784-9D61-904F-BD9F-2415ABFADFB4}" name="Column1" dataDxfId="27" dataCellStyle="Percent"/>
    <tableColumn id="8" xr3:uid="{90408EC2-90F5-784C-8E52-9D73F1A46BE0}" name="1YT" dataDxfId="26" totalsRowDxfId="3">
      <calculatedColumnFormula>[1]Sheet2!$E2</calculatedColumnFormula>
    </tableColumn>
    <tableColumn id="9" xr3:uid="{82656052-4D5E-8C41-9A70-30228A467DE8}" name="Ddate" dataDxfId="25" totalsRowDxfId="2">
      <calculatedColumnFormula>[1]Sheet2!$F2</calculatedColumnFormula>
    </tableColumn>
    <tableColumn id="15" xr3:uid="{FA897C27-6E9E-4C44-A46F-4D6AD99895C6}" name="EarningDate" dataDxfId="24" totalsRowDxfId="1">
      <calculatedColumnFormula>[1]Sheet2!$G2</calculatedColumnFormula>
    </tableColumn>
    <tableColumn id="1" xr3:uid="{4849786B-34A5-AF4F-84A7-3D73882815FC}" name="RepDiv" dataDxfId="23">
      <calculatedColumnFormula>[1]Sheet2!$H2</calculatedColumnFormula>
    </tableColumn>
    <tableColumn id="13" xr3:uid="{90E79FCB-F3E0-AA4A-96E9-5A0084FC3877}" name="Broker" dataDxfId="22"/>
    <tableColumn id="12" xr3:uid="{C8725869-ED97-5247-8457-FA16BCBAD72F}" name="Stamp" dataDxfId="21">
      <calculatedColumnFormula array="1">_FV(RTData[[#This Row],[Company Name]],"Expense ratio",TRUE)</calculatedColumnFormula>
    </tableColumn>
    <tableColumn id="14" xr3:uid="{23E778F9-C953-6245-A7F5-663B0E49CA92}" name="Old1YT" dataDxfId="20"/>
    <tableColumn id="16" xr3:uid="{566E9185-0BE5-034F-88E1-D852F05FADC9}" name="YTChange" dataDxfId="19" totalsRowDxfId="0"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14"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18">
      <calculatedColumnFormula array="1">_FV(A98,"Price")</calculatedColumnFormula>
    </tableColumn>
    <tableColumn id="3" xr3:uid="{7735EDB4-8F6C-2B4F-9D87-70384666EE29}" name="52 W High" dataDxfId="17">
      <calculatedColumnFormula array="1">_FV(A98,"52 week high",TRUE)</calculatedColumnFormula>
    </tableColumn>
    <tableColumn id="4" xr3:uid="{2ECF53F1-E986-1E43-881C-9B2531046487}" name="1/RT" dataDxfId="16">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W3" activePane="bottomRight" state="frozen"/>
      <selection pane="topRight" activeCell="B1" sqref="B1"/>
      <selection pane="bottomLeft" activeCell="A3" sqref="A3"/>
      <selection pane="bottomRight" activeCell="AD92" sqref="AD92"/>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B1" s="2" t="s">
        <v>0</v>
      </c>
      <c r="C1" s="2"/>
      <c r="D1" s="3"/>
      <c r="E1" s="4" t="s">
        <v>0</v>
      </c>
      <c r="F1" s="5">
        <f ca="1">NOW()</f>
        <v>45906.606318634258</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0.85346078347699927</v>
      </c>
      <c r="C3" s="16" t="e" vm="1">
        <v>#VALUE!</v>
      </c>
      <c r="D3" s="17" t="str" cm="1">
        <f t="array" aca="1" ref="D3" ca="1">_FV(RTData[[#This Row],[Company Name]],"Currency")</f>
        <v>USD</v>
      </c>
      <c r="E3" s="18" cm="1">
        <f t="array" aca="1" ref="E3" ca="1">_FV(RTData[[#This Row],[Company Name]],"Last trade time",TRUE)</f>
        <v>45905.999991724217</v>
      </c>
      <c r="F3" s="19" cm="1">
        <f t="array" aca="1" ref="F3" ca="1">_FV(RTData[[#This Row],[Company Name]],"Previous close",TRUE)</f>
        <v>239.78</v>
      </c>
      <c r="G3" s="19" cm="1">
        <f t="array" aca="1" ref="G3" ca="1">_FV(RTData[[#This Row],[Company Name]],"Open")</f>
        <v>239.995</v>
      </c>
      <c r="H3" s="19" cm="1">
        <f t="array" aca="1" ref="H3" ca="1">_FV(RTData[[#This Row],[Company Name]],"Price")</f>
        <v>239.69</v>
      </c>
      <c r="I3" s="19" cm="1">
        <f t="array" aca="1" ref="I3" ca="1">_FV(RTData[[#This Row],[Company Name]],"Low")</f>
        <v>238.49010000000001</v>
      </c>
      <c r="J3" s="19" cm="1">
        <f t="array" aca="1" ref="J3" ca="1">_FV(RTData[[#This Row],[Company Name]],"High")</f>
        <v>241.32</v>
      </c>
      <c r="K3" s="20" cm="1">
        <f t="array" aca="1" ref="K3" ca="1">IFERROR(_FV(RTData[[#This Row],[Company Name]],"P/E",TRUE),99)</f>
        <v>33.0593</v>
      </c>
      <c r="L3" s="21" cm="1">
        <f t="array" aca="1" ref="L3" ca="1">_FV(RTData[[#This Row],[Company Name]],"Change")</f>
        <v>-0.09</v>
      </c>
      <c r="M3" s="22" cm="1">
        <f t="array" aca="1" ref="M3" ca="1">_FV(RTData[[#This Row],[Company Name]],"Change (%)",TRUE)</f>
        <v>-3.7530000000000002E-4</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54870397</v>
      </c>
      <c r="Q3" s="23" cm="1">
        <f t="array" aca="1" ref="Q3" ca="1">_FV(RTData[[#This Row],[Company Name]],"Volume average",TRUE)</f>
        <v>58275063</v>
      </c>
      <c r="R3" s="19" cm="1">
        <f t="array" aca="1" ref="R3" ca="1">_FV(RTData[[#This Row],[Company Name]],"Beta")</f>
        <v>1.0818000000000001</v>
      </c>
      <c r="T3" t="s">
        <v>20</v>
      </c>
      <c r="U3" t="str" cm="1">
        <f t="array" aca="1" ref="U3" ca="1">_FV(RTData[[#This Row],[Company Name]],"Exchange abbreviation",TRUE)</f>
        <v>XNAS</v>
      </c>
      <c r="V3" s="24">
        <f ca="1">IFERROR(RTData[[#This Row],[Volume]]/RTData[[#This Row],[Volume average]],1)</f>
        <v>0.94157593617702307</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0.85346078347699927</v>
      </c>
      <c r="C4" s="25" t="e" vm="2">
        <v>#VALUE!</v>
      </c>
      <c r="D4" s="17" t="str" cm="1">
        <f t="array" aca="1" ref="D4" ca="1">_FV(RTData[[#This Row],[Company Name]],"Currency")</f>
        <v>USD</v>
      </c>
      <c r="E4" s="18" cm="1">
        <f t="array" aca="1" ref="E4" ca="1">_FV(RTData[[#This Row],[Company Name]],"Last trade time",TRUE)</f>
        <v>45905.91493642344</v>
      </c>
      <c r="F4" s="19" cm="1">
        <f t="array" aca="1" ref="F4" ca="1">_FV(RTData[[#This Row],[Company Name]],"Previous close",TRUE)</f>
        <v>15.41</v>
      </c>
      <c r="G4" s="19" cm="1">
        <f t="array" aca="1" ref="G4" ca="1">_FV(RTData[[#This Row],[Company Name]],"Open")</f>
        <v>15.49</v>
      </c>
      <c r="H4" s="19" cm="1">
        <f t="array" aca="1" ref="H4" ca="1">_FV(RTData[[#This Row],[Company Name]],"Price")</f>
        <v>15.43</v>
      </c>
      <c r="I4" s="19" cm="1">
        <f t="array" aca="1" ref="I4" ca="1">_FV(RTData[[#This Row],[Company Name]],"Low")</f>
        <v>15.23</v>
      </c>
      <c r="J4" s="19" cm="1">
        <f t="array" aca="1" ref="J4" ca="1">_FV(RTData[[#This Row],[Company Name]],"High")</f>
        <v>15.62</v>
      </c>
      <c r="K4" s="20" cm="1">
        <f t="array" aca="1" ref="K4" ca="1">IFERROR(_FV(RTData[[#This Row],[Company Name]],"P/E",TRUE),99)</f>
        <v>20.782800000000002</v>
      </c>
      <c r="L4" s="21" cm="1">
        <f t="array" aca="1" ref="L4" ca="1">_FV(RTData[[#This Row],[Company Name]],"Change")</f>
        <v>0.02</v>
      </c>
      <c r="M4" s="22" cm="1">
        <f t="array" aca="1" ref="M4" ca="1">_FV(RTData[[#This Row],[Company Name]],"Change (%)",TRUE)</f>
        <v>1.2979999999999999E-3</v>
      </c>
      <c r="N4" s="19" cm="1">
        <f t="array" aca="1" ref="N4" ca="1">_FV(RTData[[#This Row],[Company Name]],"52 week low",TRUE)</f>
        <v>10.59</v>
      </c>
      <c r="O4" s="19" cm="1">
        <f t="array" aca="1" ref="O4" ca="1">_FV(RTData[[#This Row],[Company Name]],"52 week high",TRUE)</f>
        <v>17.46</v>
      </c>
      <c r="P4" s="23" cm="1">
        <f t="array" aca="1" ref="P4" ca="1">_FV(RTData[[#This Row],[Company Name]],"Volume")</f>
        <v>328714</v>
      </c>
      <c r="Q4" s="23" cm="1">
        <f t="array" aca="1" ref="Q4" ca="1">_FV(RTData[[#This Row],[Company Name]],"Volume average",TRUE)</f>
        <v>549053</v>
      </c>
      <c r="R4" s="19" cm="1">
        <f t="array" aca="1" ref="R4" ca="1">_FV(RTData[[#This Row],[Company Name]],"Beta")</f>
        <v>2.5304000000000002</v>
      </c>
      <c r="T4" t="s">
        <v>20</v>
      </c>
      <c r="U4" t="str" cm="1">
        <f t="array" aca="1" ref="U4" ca="1">_FV(RTData[[#This Row],[Company Name]],"Exchange abbreviation",TRUE)</f>
        <v>XNAS</v>
      </c>
      <c r="V4" s="24">
        <f ca="1">IFERROR(RTData[[#This Row],[Volume]]/RTData[[#This Row],[Volume average]],1)</f>
        <v>0.59869265808583139</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1.1532695190866105E-2</v>
      </c>
      <c r="C5" s="25" t="e" vm="3">
        <v>#VALUE!</v>
      </c>
      <c r="D5" s="17" t="str" cm="1">
        <f t="array" aca="1" ref="D5" ca="1">_FV(RTData[[#This Row],[Company Name]],"Currency")</f>
        <v>GBp</v>
      </c>
      <c r="E5" s="18" cm="1">
        <f t="array" aca="1" ref="E5" ca="1">_FV(RTData[[#This Row],[Company Name]],"Last trade time",TRUE)</f>
        <v>45905.649562372659</v>
      </c>
      <c r="F5" s="19" cm="1">
        <f t="array" aca="1" ref="F5" ca="1">_FV(RTData[[#This Row],[Company Name]],"Previous close",TRUE)</f>
        <v>54.4</v>
      </c>
      <c r="G5" s="19" cm="1">
        <f t="array" aca="1" ref="G5" ca="1">_FV(RTData[[#This Row],[Company Name]],"Open")</f>
        <v>54.4</v>
      </c>
      <c r="H5" s="19" cm="1">
        <f t="array" aca="1" ref="H5" ca="1">_FV(RTData[[#This Row],[Company Name]],"Price")</f>
        <v>54.4</v>
      </c>
      <c r="I5" s="19" cm="1">
        <f t="array" aca="1" ref="I5" ca="1">_FV(RTData[[#This Row],[Company Name]],"Low")</f>
        <v>53.2</v>
      </c>
      <c r="J5" s="19" cm="1">
        <f t="array" aca="1" ref="J5" ca="1">_FV(RTData[[#This Row],[Company Name]],"High")</f>
        <v>55.8</v>
      </c>
      <c r="K5" s="20" cm="1">
        <f t="array" aca="1" ref="K5" ca="1">IFERROR(_FV(RTData[[#This Row],[Company Name]],"P/E",TRUE),99)</f>
        <v>2.931</v>
      </c>
      <c r="L5" s="21" cm="1">
        <f t="array" aca="1" ref="L5" ca="1">_FV(RTData[[#This Row],[Company Name]],"Change")</f>
        <v>0</v>
      </c>
      <c r="M5" s="22" cm="1">
        <f t="array" aca="1" ref="M5" ca="1">_FV(RTData[[#This Row],[Company Name]],"Change (%)",TRUE)</f>
        <v>0</v>
      </c>
      <c r="N5" s="26" cm="1">
        <f t="array" aca="1" ref="N5" ca="1">_FV(RTData[[#This Row],[Company Name]],"52 week low",TRUE)</f>
        <v>33.064999999999998</v>
      </c>
      <c r="O5" s="26" cm="1">
        <f t="array" aca="1" ref="O5" ca="1">_FV(RTData[[#This Row],[Company Name]],"52 week high",TRUE)</f>
        <v>56.2</v>
      </c>
      <c r="P5" s="23" cm="1">
        <f t="array" aca="1" ref="P5" ca="1">_FV(RTData[[#This Row],[Company Name]],"Volume")</f>
        <v>1079934</v>
      </c>
      <c r="Q5" s="23" cm="1">
        <f t="array" aca="1" ref="Q5" ca="1">_FV(RTData[[#This Row],[Company Name]],"Volume average",TRUE)</f>
        <v>707530</v>
      </c>
      <c r="R5" s="19" cm="1">
        <f t="array" aca="1" ref="R5" ca="1">_FV(RTData[[#This Row],[Company Name]],"Beta")</f>
        <v>1.1366000000000001</v>
      </c>
      <c r="T5" t="s">
        <v>20</v>
      </c>
      <c r="U5" t="str" cm="1">
        <f t="array" aca="1" ref="U5" ca="1">_FV(RTData[[#This Row],[Company Name]],"Exchange abbreviation",TRUE)</f>
        <v>XLON</v>
      </c>
      <c r="V5" s="24">
        <f ca="1">IFERROR(RTData[[#This Row],[Volume]]/RTData[[#This Row],[Volume average]],1)</f>
        <v>1.5263437592752251</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0.85346078347699927</v>
      </c>
      <c r="C6" s="25" t="e" vm="4">
        <v>#VALUE!</v>
      </c>
      <c r="D6" s="17" t="str" cm="1">
        <f t="array" aca="1" ref="D6" ca="1">_FV(RTData[[#This Row],[Company Name]],"Currency")</f>
        <v>USD</v>
      </c>
      <c r="E6" s="18" cm="1">
        <f t="array" aca="1" ref="E6" ca="1">_FV(RTData[[#This Row],[Company Name]],"Last trade time",TRUE)</f>
        <v>45905.999998471874</v>
      </c>
      <c r="F6" s="19" cm="1">
        <f t="array" aca="1" ref="F6" ca="1">_FV(RTData[[#This Row],[Company Name]],"Previous close",TRUE)</f>
        <v>235.68</v>
      </c>
      <c r="G6" s="19" cm="1">
        <f t="array" aca="1" ref="G6" ca="1">_FV(RTData[[#This Row],[Company Name]],"Open")</f>
        <v>235.19</v>
      </c>
      <c r="H6" s="19" cm="1">
        <f t="array" aca="1" ref="H6" ca="1">_FV(RTData[[#This Row],[Company Name]],"Price")</f>
        <v>232.33</v>
      </c>
      <c r="I6" s="19" cm="1">
        <f t="array" aca="1" ref="I6" ca="1">_FV(RTData[[#This Row],[Company Name]],"Low")</f>
        <v>231.93</v>
      </c>
      <c r="J6" s="19" cm="1">
        <f t="array" aca="1" ref="J6" ca="1">_FV(RTData[[#This Row],[Company Name]],"High")</f>
        <v>236</v>
      </c>
      <c r="K6" s="20" cm="1">
        <f t="array" aca="1" ref="K6" ca="1">IFERROR(_FV(RTData[[#This Row],[Company Name]],"P/E",TRUE),99)</f>
        <v>35.964199999999998</v>
      </c>
      <c r="L6" s="21" cm="1">
        <f t="array" aca="1" ref="L6" ca="1">_FV(RTData[[#This Row],[Company Name]],"Change")</f>
        <v>-3.35</v>
      </c>
      <c r="M6" s="22" cm="1">
        <f t="array" aca="1" ref="M6" ca="1">_FV(RTData[[#This Row],[Company Name]],"Change (%)",TRUE)</f>
        <v>-1.4213999999999999E-2</v>
      </c>
      <c r="N6" s="19" cm="1">
        <f t="array" aca="1" ref="N6" ca="1">_FV(RTData[[#This Row],[Company Name]],"52 week low",TRUE)</f>
        <v>161.38</v>
      </c>
      <c r="O6" s="19" cm="1">
        <f t="array" aca="1" ref="O6" ca="1">_FV(RTData[[#This Row],[Company Name]],"52 week high",TRUE)</f>
        <v>242.52</v>
      </c>
      <c r="P6" s="23" cm="1">
        <f t="array" aca="1" ref="P6" ca="1">_FV(RTData[[#This Row],[Company Name]],"Volume")</f>
        <v>36721802</v>
      </c>
      <c r="Q6" s="23" cm="1">
        <f t="array" aca="1" ref="Q6" ca="1">_FV(RTData[[#This Row],[Company Name]],"Volume average",TRUE)</f>
        <v>44381753</v>
      </c>
      <c r="R6" s="19" cm="1">
        <f t="array" aca="1" ref="R6" ca="1">_FV(RTData[[#This Row],[Company Name]],"Beta")</f>
        <v>1.2955000000000001</v>
      </c>
      <c r="T6" t="s">
        <v>20</v>
      </c>
      <c r="U6" t="str" cm="1">
        <f t="array" aca="1" ref="U6" ca="1">_FV(RTData[[#This Row],[Company Name]],"Exchange abbreviation",TRUE)</f>
        <v>XNAS</v>
      </c>
      <c r="V6" s="24">
        <f ca="1">IFERROR(RTData[[#This Row],[Volume]]/RTData[[#This Row],[Volume average]],1)</f>
        <v>0.82740765106777103</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45905.666666666664</v>
      </c>
      <c r="F7" s="29" cm="1">
        <f t="array" aca="1" ref="F7" ca="1">_FV(RTData[[#This Row],[Company Name]],"Previous close",TRUE)</f>
        <v>0.872</v>
      </c>
      <c r="G7" s="19" cm="1">
        <f t="array" aca="1" ref="G7" ca="1">_FV(RTData[[#This Row],[Company Name]],"Open")</f>
        <v>0.89200000000000002</v>
      </c>
      <c r="H7" s="29" cm="1">
        <f t="array" aca="1" ref="H7" ca="1">_FV(RTData[[#This Row],[Company Name]],"Price")</f>
        <v>0.91</v>
      </c>
      <c r="I7" s="29" cm="1">
        <f t="array" aca="1" ref="I7" ca="1">_FV(RTData[[#This Row],[Company Name]],"Low")</f>
        <v>0.89</v>
      </c>
      <c r="J7" s="29" cm="1">
        <f t="array" aca="1" ref="J7" ca="1">_FV(RTData[[#This Row],[Company Name]],"High")</f>
        <v>0.91</v>
      </c>
      <c r="K7" s="20" cm="1">
        <f t="array" aca="1" ref="K7" ca="1">IFERROR(_FV(RTData[[#This Row],[Company Name]],"P/E",TRUE),99)</f>
        <v>0</v>
      </c>
      <c r="L7" s="21" cm="1">
        <f t="array" aca="1" ref="L7" ca="1">_FV(RTData[[#This Row],[Company Name]],"Change")</f>
        <v>3.7999999999999999E-2</v>
      </c>
      <c r="M7" s="22" cm="1">
        <f t="array" aca="1" ref="M7" ca="1">_FV(RTData[[#This Row],[Company Name]],"Change (%)",TRUE)</f>
        <v>4.3577999999999999E-2</v>
      </c>
      <c r="N7" s="29" cm="1">
        <f t="array" aca="1" ref="N7" ca="1">_FV(RTData[[#This Row],[Company Name]],"52 week low",TRUE)</f>
        <v>0.65</v>
      </c>
      <c r="O7" s="29" cm="1">
        <f t="array" aca="1" ref="O7" ca="1">_FV(RTData[[#This Row],[Company Name]],"52 week high",TRUE)</f>
        <v>1.99</v>
      </c>
      <c r="P7" s="23" cm="1">
        <f t="array" aca="1" ref="P7" ca="1">_FV(RTData[[#This Row],[Company Name]],"Volume")</f>
        <v>676</v>
      </c>
      <c r="Q7" s="23" cm="1">
        <f t="array" aca="1" ref="Q7" ca="1">_FV(RTData[[#This Row],[Company Name]],"Volume average",TRUE)</f>
        <v>4030</v>
      </c>
      <c r="R7" s="19" cm="1">
        <f t="array" aca="1" ref="R7" ca="1">_FV(RTData[[#This Row],[Company Name]],"Beta")</f>
        <v>0.99280000000000002</v>
      </c>
      <c r="T7" t="s">
        <v>20</v>
      </c>
      <c r="U7" t="str" cm="1">
        <f t="array" aca="1" ref="U7" ca="1">_FV(RTData[[#This Row],[Company Name]],"Exchange abbreviation",TRUE)</f>
        <v>XPAR</v>
      </c>
      <c r="V7" s="24">
        <f ca="1">IFERROR(RTData[[#This Row],[Volume]]/RTData[[#This Row],[Volume average]],1)</f>
        <v>0.16774193548387098</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45905.666666666664</v>
      </c>
      <c r="F8" s="29" cm="1">
        <f t="array" aca="1" ref="F8" ca="1">_FV(RTData[[#This Row],[Company Name]],"Previous close",TRUE)</f>
        <v>647.6</v>
      </c>
      <c r="G8" s="29" cm="1">
        <f t="array" aca="1" ref="G8" ca="1">_FV(RTData[[#This Row],[Company Name]],"Open")</f>
        <v>660</v>
      </c>
      <c r="H8" s="29" cm="1">
        <f t="array" aca="1" ref="H8" ca="1">_FV(RTData[[#This Row],[Company Name]],"Price")</f>
        <v>660.2</v>
      </c>
      <c r="I8" s="29" cm="1">
        <f t="array" aca="1" ref="I8" ca="1">_FV(RTData[[#This Row],[Company Name]],"Low")</f>
        <v>653.1</v>
      </c>
      <c r="J8" s="29" cm="1">
        <f t="array" aca="1" ref="J8" ca="1">_FV(RTData[[#This Row],[Company Name]],"High")</f>
        <v>666.3</v>
      </c>
      <c r="K8" s="20" cm="1">
        <f t="array" aca="1" ref="K8" ca="1">IFERROR(_FV(RTData[[#This Row],[Company Name]],"P/E",TRUE),99)</f>
        <v>25.349299999999999</v>
      </c>
      <c r="L8" s="21" cm="1">
        <f t="array" aca="1" ref="L8" ca="1">_FV(RTData[[#This Row],[Company Name]],"Change")</f>
        <v>12.6</v>
      </c>
      <c r="M8" s="22" cm="1">
        <f t="array" aca="1" ref="M8" ca="1">_FV(RTData[[#This Row],[Company Name]],"Change (%)",TRUE)</f>
        <v>1.9456000000000001E-2</v>
      </c>
      <c r="N8" s="29" cm="1">
        <f t="array" aca="1" ref="N8" ca="1">_FV(RTData[[#This Row],[Company Name]],"52 week low",TRUE)</f>
        <v>508.4</v>
      </c>
      <c r="O8" s="29" cm="1">
        <f t="array" aca="1" ref="O8" ca="1">_FV(RTData[[#This Row],[Company Name]],"52 week high",TRUE)</f>
        <v>819.7</v>
      </c>
      <c r="P8" s="23" cm="1">
        <f t="array" aca="1" ref="P8" ca="1">_FV(RTData[[#This Row],[Company Name]],"Volume")</f>
        <v>897446</v>
      </c>
      <c r="Q8" s="23" cm="1">
        <f t="array" aca="1" ref="Q8" ca="1">_FV(RTData[[#This Row],[Company Name]],"Volume average",TRUE)</f>
        <v>475690</v>
      </c>
      <c r="R8" s="19" cm="1">
        <f t="array" aca="1" ref="R8" ca="1">_FV(RTData[[#This Row],[Company Name]],"Beta")</f>
        <v>1.8642000000000001</v>
      </c>
      <c r="T8" t="s">
        <v>20</v>
      </c>
      <c r="U8" t="str" cm="1">
        <f t="array" aca="1" ref="U8" ca="1">_FV(RTData[[#This Row],[Company Name]],"Exchange abbreviation",TRUE)</f>
        <v>XAMS</v>
      </c>
      <c r="V8" s="24">
        <f ca="1">IFERROR(RTData[[#This Row],[Volume]]/RTData[[#This Row],[Volume average]],1)</f>
        <v>1.8866194370283167</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0.85346078347699927</v>
      </c>
      <c r="C9" s="25" t="e" vm="7">
        <v>#VALUE!</v>
      </c>
      <c r="D9" s="30" t="str" cm="1">
        <f t="array" aca="1" ref="D9" ca="1">_FV(RTData[[#This Row],[Company Name]],"Currency")</f>
        <v>USD</v>
      </c>
      <c r="E9" s="31" cm="1">
        <f t="array" aca="1" ref="E9" ca="1">_FV(RTData[[#This Row],[Company Name]],"Last trade time",TRUE)</f>
        <v>45905.989281006252</v>
      </c>
      <c r="F9" s="19" cm="1">
        <f t="array" aca="1" ref="F9" ca="1">_FV(RTData[[#This Row],[Company Name]],"Previous close",TRUE)</f>
        <v>81.78</v>
      </c>
      <c r="G9" s="19" cm="1">
        <f t="array" aca="1" ref="G9" ca="1">_FV(RTData[[#This Row],[Company Name]],"Open")</f>
        <v>82.05</v>
      </c>
      <c r="H9" s="19" cm="1">
        <f t="array" aca="1" ref="H9" ca="1">_FV(RTData[[#This Row],[Company Name]],"Price")</f>
        <v>81.7</v>
      </c>
      <c r="I9" s="32" cm="1">
        <f t="array" aca="1" ref="I9" ca="1">_FV(RTData[[#This Row],[Company Name]],"Low")</f>
        <v>81.540000000000006</v>
      </c>
      <c r="J9" s="32" cm="1">
        <f t="array" aca="1" ref="J9" ca="1">_FV(RTData[[#This Row],[Company Name]],"High")</f>
        <v>82.41</v>
      </c>
      <c r="K9" s="20" cm="1">
        <f t="array" aca="1" ref="K9" ca="1">IFERROR(_FV(RTData[[#This Row],[Company Name]],"P/E",TRUE),99)</f>
        <v>30.759399999999999</v>
      </c>
      <c r="L9" s="33" cm="1">
        <f t="array" aca="1" ref="L9" ca="1">_FV(RTData[[#This Row],[Company Name]],"Change")</f>
        <v>-0.08</v>
      </c>
      <c r="M9" s="34" cm="1">
        <f t="array" aca="1" ref="M9" ca="1">_FV(RTData[[#This Row],[Company Name]],"Change (%)",TRUE)</f>
        <v>-9.7820000000000003E-4</v>
      </c>
      <c r="N9" s="32" cm="1">
        <f t="array" aca="1" ref="N9" ca="1">_FV(RTData[[#This Row],[Company Name]],"52 week low",TRUE)</f>
        <v>61.24</v>
      </c>
      <c r="O9" s="32" cm="1">
        <f t="array" aca="1" ref="O9" ca="1">_FV(RTData[[#This Row],[Company Name]],"52 week high",TRUE)</f>
        <v>84.3</v>
      </c>
      <c r="P9" s="35" cm="1">
        <f t="array" aca="1" ref="P9" ca="1">_FV(RTData[[#This Row],[Company Name]],"Volume")</f>
        <v>2464583</v>
      </c>
      <c r="Q9" s="35" cm="1">
        <f t="array" aca="1" ref="Q9" ca="1">_FV(RTData[[#This Row],[Company Name]],"Volume average",TRUE)</f>
        <v>4151554</v>
      </c>
      <c r="R9" s="32" cm="1">
        <f t="array" aca="1" ref="R9" ca="1">_FV(RTData[[#This Row],[Company Name]],"Beta")</f>
        <v>0.37840000000000001</v>
      </c>
      <c r="T9" t="s">
        <v>20</v>
      </c>
      <c r="U9" s="36" t="str" cm="1">
        <f t="array" aca="1" ref="U9" ca="1">_FV(RTData[[#This Row],[Company Name]],"Exchange abbreviation",TRUE)</f>
        <v>XNAS</v>
      </c>
      <c r="V9" s="140">
        <f ca="1">IFERROR(RTData[[#This Row],[Volume]]/RTData[[#This Row],[Volume average]],1)</f>
        <v>0.5936531236255147</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0.85346078347699927</v>
      </c>
      <c r="C10" s="25" t="e" vm="8">
        <v>#VALUE!</v>
      </c>
      <c r="D10" s="17" t="str" cm="1">
        <f t="array" aca="1" ref="D10" ca="1">_FV(RTData[[#This Row],[Company Name]],"Currency")</f>
        <v>USD</v>
      </c>
      <c r="E10" s="18" cm="1">
        <f t="array" aca="1" ref="E10" ca="1">_FV(RTData[[#This Row],[Company Name]],"Last trade time",TRUE)</f>
        <v>45905.983967337503</v>
      </c>
      <c r="F10" s="19" cm="1">
        <f t="array" aca="1" ref="F10" ca="1">_FV(RTData[[#This Row],[Company Name]],"Previous close",TRUE)</f>
        <v>1.85</v>
      </c>
      <c r="G10" s="19" cm="1">
        <f t="array" aca="1" ref="G10" ca="1">_FV(RTData[[#This Row],[Company Name]],"Open")</f>
        <v>1.86</v>
      </c>
      <c r="H10" s="19" cm="1">
        <f t="array" aca="1" ref="H10" ca="1">_FV(RTData[[#This Row],[Company Name]],"Price")</f>
        <v>1.99</v>
      </c>
      <c r="I10" s="19" cm="1">
        <f t="array" aca="1" ref="I10" ca="1">_FV(RTData[[#This Row],[Company Name]],"Low")</f>
        <v>1.86</v>
      </c>
      <c r="J10" s="19" cm="1">
        <f t="array" aca="1" ref="J10" ca="1">_FV(RTData[[#This Row],[Company Name]],"High")</f>
        <v>2</v>
      </c>
      <c r="K10" s="20" cm="1">
        <f t="array" aca="1" ref="K10" ca="1">IFERROR(_FV(RTData[[#This Row],[Company Name]],"P/E",TRUE),99)</f>
        <v>0</v>
      </c>
      <c r="L10" s="21" cm="1">
        <f t="array" aca="1" ref="L10" ca="1">_FV(RTData[[#This Row],[Company Name]],"Change")</f>
        <v>0.14000000000000001</v>
      </c>
      <c r="M10" s="22" cm="1">
        <f t="array" aca="1" ref="M10" ca="1">_FV(RTData[[#This Row],[Company Name]],"Change (%)",TRUE)</f>
        <v>7.5675999999999993E-2</v>
      </c>
      <c r="N10" s="19" cm="1">
        <f t="array" aca="1" ref="N10" ca="1">_FV(RTData[[#This Row],[Company Name]],"52 week low",TRUE)</f>
        <v>1</v>
      </c>
      <c r="O10" s="19" cm="1">
        <f t="array" aca="1" ref="O10" ca="1">_FV(RTData[[#This Row],[Company Name]],"52 week high",TRUE)</f>
        <v>2.2799999999999998</v>
      </c>
      <c r="P10" s="23" cm="1">
        <f t="array" aca="1" ref="P10" ca="1">_FV(RTData[[#This Row],[Company Name]],"Volume")</f>
        <v>5296323</v>
      </c>
      <c r="Q10" s="23" cm="1">
        <f t="array" aca="1" ref="Q10" ca="1">_FV(RTData[[#This Row],[Company Name]],"Volume average",TRUE)</f>
        <v>3843547</v>
      </c>
      <c r="R10" s="19" cm="1">
        <f t="array" aca="1" ref="R10" ca="1">_FV(RTData[[#This Row],[Company Name]],"Beta")</f>
        <v>1.7793000000000001</v>
      </c>
      <c r="T10" t="s">
        <v>20</v>
      </c>
      <c r="U10" t="str" cm="1">
        <f t="array" aca="1" ref="U10" ca="1">_FV(RTData[[#This Row],[Company Name]],"Exchange abbreviation",TRUE)</f>
        <v>XNAS</v>
      </c>
      <c r="V10" s="24">
        <f ca="1">IFERROR(RTData[[#This Row],[Volume]]/RTData[[#This Row],[Volume average]],1)</f>
        <v>1.3779779458921668</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0.85346078347699927</v>
      </c>
      <c r="C11" s="25" t="e" vm="9">
        <v>#VALUE!</v>
      </c>
      <c r="D11" s="17" t="str" cm="1">
        <f t="array" aca="1" ref="D11" ca="1">_FV(RTData[[#This Row],[Company Name]],"Currency")</f>
        <v>USD</v>
      </c>
      <c r="E11" s="18" cm="1">
        <f t="array" aca="1" ref="E11" ca="1">_FV(RTData[[#This Row],[Company Name]],"Last trade time",TRUE)</f>
        <v>45905.999852962501</v>
      </c>
      <c r="F11" s="19" cm="1">
        <f t="array" aca="1" ref="F11" ca="1">_FV(RTData[[#This Row],[Company Name]],"Previous close",TRUE)</f>
        <v>2.82</v>
      </c>
      <c r="G11" s="19" cm="1">
        <f t="array" aca="1" ref="G11" ca="1">_FV(RTData[[#This Row],[Company Name]],"Open")</f>
        <v>2.75</v>
      </c>
      <c r="H11" s="19" cm="1">
        <f t="array" aca="1" ref="H11" ca="1">_FV(RTData[[#This Row],[Company Name]],"Price")</f>
        <v>2.75</v>
      </c>
      <c r="I11" s="19" cm="1">
        <f t="array" aca="1" ref="I11" ca="1">_FV(RTData[[#This Row],[Company Name]],"Low")</f>
        <v>2.5299999999999998</v>
      </c>
      <c r="J11" s="19" cm="1">
        <f t="array" aca="1" ref="J11" ca="1">_FV(RTData[[#This Row],[Company Name]],"High")</f>
        <v>2.79</v>
      </c>
      <c r="K11" s="20" cm="1">
        <f t="array" aca="1" ref="K11" ca="1">IFERROR(_FV(RTData[[#This Row],[Company Name]],"P/E",TRUE),99)</f>
        <v>0</v>
      </c>
      <c r="L11" s="21" cm="1">
        <f t="array" aca="1" ref="L11" ca="1">_FV(RTData[[#This Row],[Company Name]],"Change")</f>
        <v>-7.0000000000000007E-2</v>
      </c>
      <c r="M11" s="22" cm="1">
        <f t="array" aca="1" ref="M11" ca="1">_FV(RTData[[#This Row],[Company Name]],"Change (%)",TRUE)</f>
        <v>-2.4822999999999998E-2</v>
      </c>
      <c r="N11" s="19" cm="1">
        <f t="array" aca="1" ref="N11" ca="1">_FV(RTData[[#This Row],[Company Name]],"52 week low",TRUE)</f>
        <v>2.08</v>
      </c>
      <c r="O11" s="19" cm="1">
        <f t="array" aca="1" ref="O11" ca="1">_FV(RTData[[#This Row],[Company Name]],"52 week high",TRUE)</f>
        <v>10.16</v>
      </c>
      <c r="P11" s="23" cm="1">
        <f t="array" aca="1" ref="P11" ca="1">_FV(RTData[[#This Row],[Company Name]],"Volume")</f>
        <v>129780</v>
      </c>
      <c r="Q11" s="23" cm="1">
        <f t="array" aca="1" ref="Q11" ca="1">_FV(RTData[[#This Row],[Company Name]],"Volume average",TRUE)</f>
        <v>1946755</v>
      </c>
      <c r="R11" s="19" cm="1">
        <f t="array" aca="1" ref="R11" ca="1">_FV(RTData[[#This Row],[Company Name]],"Beta")</f>
        <v>0.35589999999999999</v>
      </c>
      <c r="T11" t="s">
        <v>20</v>
      </c>
      <c r="U11" t="str" cm="1">
        <f t="array" aca="1" ref="U11" ca="1">_FV(RTData[[#This Row],[Company Name]],"Exchange abbreviation",TRUE)</f>
        <v>XNAS</v>
      </c>
      <c r="V11" s="24">
        <f ca="1">IFERROR(RTData[[#This Row],[Volume]]/RTData[[#This Row],[Volume average]],1)</f>
        <v>6.6664783190488783E-2</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0.85346078347699927</v>
      </c>
      <c r="C12" s="25" t="e" vm="10">
        <v>#VALUE!</v>
      </c>
      <c r="D12" s="17" t="str" cm="1">
        <f t="array" aca="1" ref="D12" ca="1">_FV(RTData[[#This Row],[Company Name]],"Currency")</f>
        <v>USD</v>
      </c>
      <c r="E12" s="18" cm="1">
        <f t="array" aca="1" ref="E12" ca="1">_FV(RTData[[#This Row],[Company Name]],"Last trade time",TRUE)</f>
        <v>45905.997651550781</v>
      </c>
      <c r="F12" s="19" cm="1">
        <f t="array" aca="1" ref="F12" ca="1">_FV(RTData[[#This Row],[Company Name]],"Previous close",TRUE)</f>
        <v>97.08</v>
      </c>
      <c r="G12" s="19" cm="1">
        <f t="array" aca="1" ref="G12" ca="1">_FV(RTData[[#This Row],[Company Name]],"Open")</f>
        <v>97.37</v>
      </c>
      <c r="H12" s="19" cm="1">
        <f t="array" aca="1" ref="H12" ca="1">_FV(RTData[[#This Row],[Company Name]],"Price")</f>
        <v>95.4</v>
      </c>
      <c r="I12" s="19" cm="1">
        <f t="array" aca="1" ref="I12" ca="1">_FV(RTData[[#This Row],[Company Name]],"Low")</f>
        <v>94.15</v>
      </c>
      <c r="J12" s="19" cm="1">
        <f t="array" aca="1" ref="J12" ca="1">_FV(RTData[[#This Row],[Company Name]],"High")</f>
        <v>97.98</v>
      </c>
      <c r="K12" s="20" cm="1">
        <f t="array" aca="1" ref="K12" ca="1">IFERROR(_FV(RTData[[#This Row],[Company Name]],"P/E",TRUE),99)</f>
        <v>14.3513</v>
      </c>
      <c r="L12" s="21" cm="1">
        <f t="array" aca="1" ref="L12" ca="1">_FV(RTData[[#This Row],[Company Name]],"Change")</f>
        <v>-1.68</v>
      </c>
      <c r="M12" s="22" cm="1">
        <f t="array" aca="1" ref="M12" ca="1">_FV(RTData[[#This Row],[Company Name]],"Change (%)",TRUE)</f>
        <v>-1.7305000000000001E-2</v>
      </c>
      <c r="N12" s="19" cm="1">
        <f t="array" aca="1" ref="N12" ca="1">_FV(RTData[[#This Row],[Company Name]],"52 week low",TRUE)</f>
        <v>55.51</v>
      </c>
      <c r="O12" s="19" cm="1">
        <f t="array" aca="1" ref="O12" ca="1">_FV(RTData[[#This Row],[Company Name]],"52 week high",TRUE)</f>
        <v>97.98</v>
      </c>
      <c r="P12" s="23" cm="1">
        <f t="array" aca="1" ref="P12" ca="1">_FV(RTData[[#This Row],[Company Name]],"Volume")</f>
        <v>17020821</v>
      </c>
      <c r="Q12" s="23" cm="1">
        <f t="array" aca="1" ref="Q12" ca="1">_FV(RTData[[#This Row],[Company Name]],"Volume average",TRUE)</f>
        <v>13587708</v>
      </c>
      <c r="R12" s="19" cm="1">
        <f t="array" aca="1" ref="R12" ca="1">_FV(RTData[[#This Row],[Company Name]],"Beta")</f>
        <v>1.3585</v>
      </c>
      <c r="T12" t="s">
        <v>20</v>
      </c>
      <c r="U12" t="str" cm="1">
        <f t="array" aca="1" ref="U12" ca="1">_FV(RTData[[#This Row],[Company Name]],"Exchange abbreviation",TRUE)</f>
        <v>XNYS</v>
      </c>
      <c r="V12" s="24">
        <f ca="1">IFERROR(RTData[[#This Row],[Volume]]/RTData[[#This Row],[Volume average]],1)</f>
        <v>1.2526631423047949</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0.85346078347699927</v>
      </c>
      <c r="C13" s="25" t="e" vm="11">
        <v>#VALUE!</v>
      </c>
      <c r="D13" s="17" t="str" cm="1">
        <f t="array" aca="1" ref="D13" ca="1">_FV(RTData[[#This Row],[Company Name]],"Currency")</f>
        <v>USD</v>
      </c>
      <c r="E13" s="18" cm="1">
        <f t="array" aca="1" ref="E13" ca="1">_FV(RTData[[#This Row],[Company Name]],"Last trade time",TRUE)</f>
        <v>45905.999658923436</v>
      </c>
      <c r="F13" s="19" cm="1">
        <f t="array" aca="1" ref="F13" ca="1">_FV(RTData[[#This Row],[Company Name]],"Previous close",TRUE)</f>
        <v>67.989999999999995</v>
      </c>
      <c r="G13" s="19" cm="1">
        <f t="array" aca="1" ref="G13" ca="1">_FV(RTData[[#This Row],[Company Name]],"Open")</f>
        <v>67.715000000000003</v>
      </c>
      <c r="H13" s="19" cm="1">
        <f t="array" aca="1" ref="H13" ca="1">_FV(RTData[[#This Row],[Company Name]],"Price")</f>
        <v>66.900000000000006</v>
      </c>
      <c r="I13" s="19" cm="1">
        <f t="array" aca="1" ref="I13" ca="1">_FV(RTData[[#This Row],[Company Name]],"Low")</f>
        <v>66.48</v>
      </c>
      <c r="J13" s="19" cm="1">
        <f t="array" aca="1" ref="J13" ca="1">_FV(RTData[[#This Row],[Company Name]],"High")</f>
        <v>68.099999999999994</v>
      </c>
      <c r="K13" s="20" cm="1">
        <f t="array" aca="1" ref="K13" ca="1">IFERROR(_FV(RTData[[#This Row],[Company Name]],"P/E",TRUE),99)</f>
        <v>28.742100000000001</v>
      </c>
      <c r="L13" s="21" cm="1">
        <f t="array" aca="1" ref="L13" ca="1">_FV(RTData[[#This Row],[Company Name]],"Change")</f>
        <v>-1.0900000000000001</v>
      </c>
      <c r="M13" s="22" cm="1">
        <f t="array" aca="1" ref="M13" ca="1">_FV(RTData[[#This Row],[Company Name]],"Change (%)",TRUE)</f>
        <v>-1.6032000000000001E-2</v>
      </c>
      <c r="N13" s="19" cm="1">
        <f t="array" aca="1" ref="N13" ca="1">_FV(RTData[[#This Row],[Company Name]],"52 week low",TRUE)</f>
        <v>47.850099999999998</v>
      </c>
      <c r="O13" s="19" cm="1">
        <f t="array" aca="1" ref="O13" ca="1">_FV(RTData[[#This Row],[Company Name]],"52 week high",TRUE)</f>
        <v>72.55</v>
      </c>
      <c r="P13" s="23" cm="1">
        <f t="array" aca="1" ref="P13" ca="1">_FV(RTData[[#This Row],[Company Name]],"Volume")</f>
        <v>21050788</v>
      </c>
      <c r="Q13" s="23" cm="1">
        <f t="array" aca="1" ref="Q13" ca="1">_FV(RTData[[#This Row],[Company Name]],"Volume average",TRUE)</f>
        <v>21391928</v>
      </c>
      <c r="R13" s="19" cm="1">
        <f t="array" aca="1" ref="R13" ca="1">_FV(RTData[[#This Row],[Company Name]],"Beta")</f>
        <v>0.97709999999999997</v>
      </c>
      <c r="T13" t="s">
        <v>20</v>
      </c>
      <c r="U13" t="str" cm="1">
        <f t="array" aca="1" ref="U13" ca="1">_FV(RTData[[#This Row],[Company Name]],"Exchange abbreviation",TRUE)</f>
        <v>XNAS</v>
      </c>
      <c r="V13" s="24">
        <f ca="1">IFERROR(RTData[[#This Row],[Volume]]/RTData[[#This Row],[Volume average]],1)</f>
        <v>0.98405286330432673</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0.85346078347699927</v>
      </c>
      <c r="C14" s="25" t="e" vm="12">
        <v>#VALUE!</v>
      </c>
      <c r="D14" s="17" t="str" cm="1">
        <f t="array" aca="1" ref="D14" ca="1">_FV(RTData[[#This Row],[Company Name]],"Currency")</f>
        <v>USD</v>
      </c>
      <c r="E14" s="18" cm="1">
        <f t="array" aca="1" ref="E14" ca="1">_FV(RTData[[#This Row],[Company Name]],"Last trade time",TRUE)</f>
        <v>45905.997153310156</v>
      </c>
      <c r="F14" s="19" cm="1">
        <f t="array" aca="1" ref="F14" ca="1">_FV(RTData[[#This Row],[Company Name]],"Previous close",TRUE)</f>
        <v>73.69</v>
      </c>
      <c r="G14" s="19" cm="1">
        <f t="array" aca="1" ref="G14" ca="1">_FV(RTData[[#This Row],[Company Name]],"Open")</f>
        <v>73.38</v>
      </c>
      <c r="H14" s="19" cm="1">
        <f t="array" aca="1" ref="H14" ca="1">_FV(RTData[[#This Row],[Company Name]],"Price")</f>
        <v>73.78</v>
      </c>
      <c r="I14" s="19" cm="1">
        <f t="array" aca="1" ref="I14" ca="1">_FV(RTData[[#This Row],[Company Name]],"Low")</f>
        <v>73.06</v>
      </c>
      <c r="J14" s="19" cm="1">
        <f t="array" aca="1" ref="J14" ca="1">_FV(RTData[[#This Row],[Company Name]],"High")</f>
        <v>74.489999999999995</v>
      </c>
      <c r="K14" s="20" cm="1">
        <f t="array" aca="1" ref="K14" ca="1">IFERROR(_FV(RTData[[#This Row],[Company Name]],"P/E",TRUE),99)</f>
        <v>20.5656</v>
      </c>
      <c r="L14" s="21" cm="1">
        <f t="array" aca="1" ref="L14" ca="1">_FV(RTData[[#This Row],[Company Name]],"Change")</f>
        <v>0.09</v>
      </c>
      <c r="M14" s="22" cm="1">
        <f t="array" aca="1" ref="M14" ca="1">_FV(RTData[[#This Row],[Company Name]],"Change (%)",TRUE)</f>
        <v>1.2210000000000001E-3</v>
      </c>
      <c r="N14" s="19" cm="1">
        <f t="array" aca="1" ref="N14" ca="1">_FV(RTData[[#This Row],[Company Name]],"52 week low",TRUE)</f>
        <v>43.56</v>
      </c>
      <c r="O14" s="19" cm="1">
        <f t="array" aca="1" ref="O14" ca="1">_FV(RTData[[#This Row],[Company Name]],"52 week high",TRUE)</f>
        <v>74.53</v>
      </c>
      <c r="P14" s="23" cm="1">
        <f t="array" aca="1" ref="P14" ca="1">_FV(RTData[[#This Row],[Company Name]],"Volume")</f>
        <v>5075189</v>
      </c>
      <c r="Q14" s="23" cm="1">
        <f t="array" aca="1" ref="Q14" ca="1">_FV(RTData[[#This Row],[Company Name]],"Volume average",TRUE)</f>
        <v>7265373</v>
      </c>
      <c r="R14" s="19" cm="1">
        <f t="array" aca="1" ref="R14" ca="1">_FV(RTData[[#This Row],[Company Name]],"Beta")</f>
        <v>0.60780000000000001</v>
      </c>
      <c r="T14" t="s">
        <v>20</v>
      </c>
      <c r="U14" t="str" cm="1">
        <f t="array" aca="1" ref="U14" ca="1">_FV(RTData[[#This Row],[Company Name]],"Exchange abbreviation",TRUE)</f>
        <v>XNYS</v>
      </c>
      <c r="V14" s="24">
        <f ca="1">IFERROR(RTData[[#This Row],[Volume]]/RTData[[#This Row],[Volume average]],1)</f>
        <v>0.69854486479909561</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0.85346078347699927</v>
      </c>
      <c r="C15" s="25" t="e" vm="13">
        <v>#VALUE!</v>
      </c>
      <c r="D15" s="17" t="str" cm="1">
        <f t="array" aca="1" ref="D15" ca="1">_FV(RTData[[#This Row],[Company Name]],"Currency")</f>
        <v>USD</v>
      </c>
      <c r="E15" s="18" cm="1">
        <f t="array" aca="1" ref="E15" ca="1">_FV(RTData[[#This Row],[Company Name]],"Last trade time",TRUE)</f>
        <v>45905.995490601563</v>
      </c>
      <c r="F15" s="19" cm="1">
        <f t="array" aca="1" ref="F15" ca="1">_FV(RTData[[#This Row],[Company Name]],"Previous close",TRUE)</f>
        <v>2.0499999999999998</v>
      </c>
      <c r="G15" s="19" cm="1">
        <f t="array" aca="1" ref="G15" ca="1">_FV(RTData[[#This Row],[Company Name]],"Open")</f>
        <v>2.09</v>
      </c>
      <c r="H15" s="19" cm="1">
        <f t="array" aca="1" ref="H15" ca="1">_FV(RTData[[#This Row],[Company Name]],"Price")</f>
        <v>2.12</v>
      </c>
      <c r="I15" s="19" cm="1">
        <f t="array" aca="1" ref="I15" ca="1">_FV(RTData[[#This Row],[Company Name]],"Low")</f>
        <v>2.0421</v>
      </c>
      <c r="J15" s="19" cm="1">
        <f t="array" aca="1" ref="J15" ca="1">_FV(RTData[[#This Row],[Company Name]],"High")</f>
        <v>2.14</v>
      </c>
      <c r="K15" s="20" cm="1">
        <f t="array" ref="K15">IFERROR(_FV(RTData[[#This Row],[Company Name]],"P/E",TRUE),99)</f>
        <v>99</v>
      </c>
      <c r="L15" s="21" cm="1">
        <f t="array" aca="1" ref="L15" ca="1">_FV(RTData[[#This Row],[Company Name]],"Change")</f>
        <v>7.0000000000000007E-2</v>
      </c>
      <c r="M15" s="22" cm="1">
        <f t="array" aca="1" ref="M15" ca="1">_FV(RTData[[#This Row],[Company Name]],"Change (%)",TRUE)</f>
        <v>3.4146000000000003E-2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2570864</v>
      </c>
      <c r="Q15" s="23" cm="1">
        <f t="array" aca="1" ref="Q15" ca="1">_FV(RTData[[#This Row],[Company Name]],"Volume average",TRUE)</f>
        <v>4638924</v>
      </c>
      <c r="R15" s="19" cm="1">
        <f t="array" aca="1" ref="R15" ca="1">_FV(RTData[[#This Row],[Company Name]],"Beta")</f>
        <v>2.0886</v>
      </c>
      <c r="T15" t="s">
        <v>20</v>
      </c>
      <c r="U15" t="str" cm="1">
        <f t="array" aca="1" ref="U15" ca="1">_FV(RTData[[#This Row],[Company Name]],"Exchange abbreviation",TRUE)</f>
        <v>XNYS</v>
      </c>
      <c r="V15" s="24">
        <f ca="1">IFERROR(RTData[[#This Row],[Volume]]/RTData[[#This Row],[Volume average]],1)</f>
        <v>0.55419403292660108</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0.85346078347699927</v>
      </c>
      <c r="C16" s="25" t="e" vm="14">
        <v>#VALUE!</v>
      </c>
      <c r="D16" s="17" t="str" cm="1">
        <f t="array" aca="1" ref="D16" ca="1">_FV(RTData[[#This Row],[Company Name]],"Currency")</f>
        <v>USD</v>
      </c>
      <c r="E16" s="18" cm="1">
        <f t="array" aca="1" ref="E16" ca="1">_FV(RTData[[#This Row],[Company Name]],"Last trade time",TRUE)</f>
        <v>45905.998333818752</v>
      </c>
      <c r="F16" s="19" cm="1">
        <f t="array" aca="1" ref="F16" ca="1">_FV(RTData[[#This Row],[Company Name]],"Previous close",TRUE)</f>
        <v>118.81</v>
      </c>
      <c r="G16" s="19" cm="1">
        <f t="array" aca="1" ref="G16" ca="1">_FV(RTData[[#This Row],[Company Name]],"Open")</f>
        <v>118.91</v>
      </c>
      <c r="H16" s="19" cm="1">
        <f t="array" aca="1" ref="H16" ca="1">_FV(RTData[[#This Row],[Company Name]],"Price")</f>
        <v>117.91</v>
      </c>
      <c r="I16" s="19" cm="1">
        <f t="array" aca="1" ref="I16" ca="1">_FV(RTData[[#This Row],[Company Name]],"Low")</f>
        <v>117.7</v>
      </c>
      <c r="J16" s="19" cm="1">
        <f t="array" aca="1" ref="J16" ca="1">_FV(RTData[[#This Row],[Company Name]],"High")</f>
        <v>119.78</v>
      </c>
      <c r="K16" s="20" cm="1">
        <f t="array" aca="1" ref="K16" ca="1">IFERROR(_FV(RTData[[#This Row],[Company Name]],"P/E",TRUE),99)</f>
        <v>18.626999999999999</v>
      </c>
      <c r="L16" s="21" cm="1">
        <f t="array" aca="1" ref="L16" ca="1">_FV(RTData[[#This Row],[Company Name]],"Change")</f>
        <v>-0.9</v>
      </c>
      <c r="M16" s="22" cm="1">
        <f t="array" aca="1" ref="M16" ca="1">_FV(RTData[[#This Row],[Company Name]],"Change (%)",TRUE)</f>
        <v>-7.5749999999999993E-3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6669126</v>
      </c>
      <c r="Q16" s="23" cm="1">
        <f t="array" aca="1" ref="Q16" ca="1">_FV(RTData[[#This Row],[Company Name]],"Volume average",TRUE)</f>
        <v>8144722</v>
      </c>
      <c r="R16" s="19" cm="1">
        <f t="array" aca="1" ref="R16" ca="1">_FV(RTData[[#This Row],[Company Name]],"Beta")</f>
        <v>1.5549999999999999</v>
      </c>
      <c r="T16" t="s">
        <v>20</v>
      </c>
      <c r="U16" t="str" cm="1">
        <f t="array" aca="1" ref="U16" ca="1">_FV(RTData[[#This Row],[Company Name]],"Exchange abbreviation",TRUE)</f>
        <v>XNYS</v>
      </c>
      <c r="V16" s="24">
        <f ca="1">IFERROR(RTData[[#This Row],[Volume]]/RTData[[#This Row],[Volume average]],1)</f>
        <v>0.81882794771878031</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45905.681145833332</v>
      </c>
      <c r="F17" s="29" cm="1">
        <f t="array" aca="1" ref="F17" ca="1">_FV(RTData[[#This Row],[Company Name]],"Previous close",TRUE)</f>
        <v>26.74</v>
      </c>
      <c r="G17" s="29" cm="1">
        <f t="array" aca="1" ref="G17" ca="1">_FV(RTData[[#This Row],[Company Name]],"Open")</f>
        <v>26.8</v>
      </c>
      <c r="H17" s="29" cm="1">
        <f t="array" aca="1" ref="H17" ca="1">_FV(RTData[[#This Row],[Company Name]],"Price")</f>
        <v>26.8</v>
      </c>
      <c r="I17" s="29" cm="1">
        <f t="array" aca="1" ref="I17" ca="1">_FV(RTData[[#This Row],[Company Name]],"Low")</f>
        <v>26.67</v>
      </c>
      <c r="J17" s="29" cm="1">
        <f t="array" aca="1" ref="J17" ca="1">_FV(RTData[[#This Row],[Company Name]],"High")</f>
        <v>27.03</v>
      </c>
      <c r="K17" s="20" cm="1">
        <f t="array" aca="1" ref="K17" ca="1">IFERROR(_FV(RTData[[#This Row],[Company Name]],"P/E",TRUE),99)</f>
        <v>30.725000000000001</v>
      </c>
      <c r="L17" s="21" cm="1">
        <f t="array" aca="1" ref="L17" ca="1">_FV(RTData[[#This Row],[Company Name]],"Change")</f>
        <v>0.06</v>
      </c>
      <c r="M17" s="22" cm="1">
        <f t="array" aca="1" ref="M17" ca="1">_FV(RTData[[#This Row],[Company Name]],"Change (%)",TRUE)</f>
        <v>2.2439999999999999E-3</v>
      </c>
      <c r="N17" s="29" cm="1">
        <f t="array" aca="1" ref="N17" ca="1">_FV(RTData[[#This Row],[Company Name]],"52 week low",TRUE)</f>
        <v>26.25</v>
      </c>
      <c r="O17" s="29" cm="1">
        <f t="array" aca="1" ref="O17" ca="1">_FV(RTData[[#This Row],[Company Name]],"52 week high",TRUE)</f>
        <v>41.17</v>
      </c>
      <c r="P17" s="23" cm="1">
        <f t="array" aca="1" ref="P17" ca="1">_FV(RTData[[#This Row],[Company Name]],"Volume")</f>
        <v>1791185</v>
      </c>
      <c r="Q17" s="23" cm="1">
        <f t="array" aca="1" ref="Q17" ca="1">_FV(RTData[[#This Row],[Company Name]],"Volume average",TRUE)</f>
        <v>1714440</v>
      </c>
      <c r="R17" s="29" cm="1">
        <f t="array" aca="1" ref="R17" ca="1">_FV(RTData[[#This Row],[Company Name]],"Beta")</f>
        <v>0.68440000000000001</v>
      </c>
      <c r="T17" t="s">
        <v>20</v>
      </c>
      <c r="U17" t="str" cm="1">
        <f t="array" aca="1" ref="U17" ca="1">_FV(RTData[[#This Row],[Company Name]],"Exchange abbreviation",TRUE)</f>
        <v>XPAR</v>
      </c>
      <c r="V17" s="24">
        <f ca="1">IFERROR(RTData[[#This Row],[Volume]]/RTData[[#This Row],[Volume average]],1)</f>
        <v>1.0447638879167542</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0.85346078347699927</v>
      </c>
      <c r="C18" s="25" t="e" vm="16">
        <v>#VALUE!</v>
      </c>
      <c r="D18" s="17" t="str" cm="1">
        <f t="array" aca="1" ref="D18" ca="1">_FV(RTData[[#This Row],[Company Name]],"Currency")</f>
        <v>USD</v>
      </c>
      <c r="E18" s="18" cm="1">
        <f t="array" aca="1" ref="E18" ca="1">_FV(RTData[[#This Row],[Company Name]],"Last trade time",TRUE)</f>
        <v>45905.958333356248</v>
      </c>
      <c r="F18" s="19" cm="1">
        <f t="array" aca="1" ref="F18" ca="1">_FV(RTData[[#This Row],[Company Name]],"Previous close",TRUE)</f>
        <v>135.56</v>
      </c>
      <c r="G18" s="19" cm="1">
        <f t="array" aca="1" ref="G18" ca="1">_FV(RTData[[#This Row],[Company Name]],"Open")</f>
        <v>135.5</v>
      </c>
      <c r="H18" s="19" cm="1">
        <f t="array" aca="1" ref="H18" ca="1">_FV(RTData[[#This Row],[Company Name]],"Price")</f>
        <v>137.87</v>
      </c>
      <c r="I18" s="19" cm="1">
        <f t="array" aca="1" ref="I18" ca="1">_FV(RTData[[#This Row],[Company Name]],"Low")</f>
        <v>135.5</v>
      </c>
      <c r="J18" s="19" cm="1">
        <f t="array" aca="1" ref="J18" ca="1">_FV(RTData[[#This Row],[Company Name]],"High")</f>
        <v>138.37</v>
      </c>
      <c r="K18" s="20" cm="1">
        <f t="array" aca="1" ref="K18" ca="1">IFERROR(_FV(RTData[[#This Row],[Company Name]],"P/E",TRUE),99)</f>
        <v>13.5471</v>
      </c>
      <c r="L18" s="21" cm="1">
        <f t="array" aca="1" ref="L18" ca="1">_FV(RTData[[#This Row],[Company Name]],"Change")</f>
        <v>2.31</v>
      </c>
      <c r="M18" s="22" cm="1">
        <f t="array" aca="1" ref="M18" ca="1">_FV(RTData[[#This Row],[Company Name]],"Change (%)",TRUE)</f>
        <v>1.704E-2</v>
      </c>
      <c r="N18" s="19" cm="1">
        <f t="array" aca="1" ref="N18" ca="1">_FV(RTData[[#This Row],[Company Name]],"52 week low",TRUE)</f>
        <v>126.07</v>
      </c>
      <c r="O18" s="19" cm="1">
        <f t="array" aca="1" ref="O18" ca="1">_FV(RTData[[#This Row],[Company Name]],"52 week high",TRUE)</f>
        <v>179.6</v>
      </c>
      <c r="P18" s="23" cm="1">
        <f t="array" aca="1" ref="P18" ca="1">_FV(RTData[[#This Row],[Company Name]],"Volume")</f>
        <v>659996</v>
      </c>
      <c r="Q18" s="23" cm="1">
        <f t="array" aca="1" ref="Q18" ca="1">_FV(RTData[[#This Row],[Company Name]],"Volume average",TRUE)</f>
        <v>867802</v>
      </c>
      <c r="R18" s="19" cm="1">
        <f t="array" aca="1" ref="R18" ca="1">_FV(RTData[[#This Row],[Company Name]],"Beta")</f>
        <v>1.1385000000000001</v>
      </c>
      <c r="T18" t="s">
        <v>20</v>
      </c>
      <c r="U18" t="str" cm="1">
        <f t="array" aca="1" ref="U18" ca="1">_FV(RTData[[#This Row],[Company Name]],"Exchange abbreviation",TRUE)</f>
        <v>XNYS</v>
      </c>
      <c r="V18" s="24">
        <f ca="1">IFERROR(RTData[[#This Row],[Volume]]/RTData[[#This Row],[Volume average]],1)</f>
        <v>0.76053754197386036</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0.85346078347699927</v>
      </c>
      <c r="C19" s="25" t="e" vm="17">
        <v>#VALUE!</v>
      </c>
      <c r="D19" s="17" t="str" cm="1">
        <f t="array" aca="1" ref="D19" ca="1">_FV(RTData[[#This Row],[Company Name]],"Currency")</f>
        <v>USD</v>
      </c>
      <c r="E19" s="18" cm="1">
        <f t="array" aca="1" ref="E19" ca="1">_FV(RTData[[#This Row],[Company Name]],"Last trade time",TRUE)</f>
        <v>45905.958333344533</v>
      </c>
      <c r="F19" s="19" cm="1">
        <f t="array" aca="1" ref="F19" ca="1">_FV(RTData[[#This Row],[Company Name]],"Previous close",TRUE)</f>
        <v>14.5</v>
      </c>
      <c r="G19" s="19" cm="1">
        <f t="array" aca="1" ref="G19" ca="1">_FV(RTData[[#This Row],[Company Name]],"Open")</f>
        <v>14.58</v>
      </c>
      <c r="H19" s="19" cm="1">
        <f t="array" aca="1" ref="H19" ca="1">_FV(RTData[[#This Row],[Company Name]],"Price")</f>
        <v>14.79</v>
      </c>
      <c r="I19" s="19" cm="1">
        <f t="array" aca="1" ref="I19" ca="1">_FV(RTData[[#This Row],[Company Name]],"Low")</f>
        <v>14.48</v>
      </c>
      <c r="J19" s="19" cm="1">
        <f t="array" aca="1" ref="J19" ca="1">_FV(RTData[[#This Row],[Company Name]],"High")</f>
        <v>15.0389</v>
      </c>
      <c r="K19" s="20" cm="1">
        <f t="array" aca="1" ref="K19" ca="1">IFERROR(_FV(RTData[[#This Row],[Company Name]],"P/E",TRUE),99)</f>
        <v>7.0800999999999998</v>
      </c>
      <c r="L19" s="21" cm="1">
        <f t="array" aca="1" ref="L19" ca="1">_FV(RTData[[#This Row],[Company Name]],"Change")</f>
        <v>0.28999999999999998</v>
      </c>
      <c r="M19" s="22" cm="1">
        <f t="array" aca="1" ref="M19" ca="1">_FV(RTData[[#This Row],[Company Name]],"Change (%)",TRUE)</f>
        <v>0.02</v>
      </c>
      <c r="N19" s="19" cm="1">
        <f t="array" aca="1" ref="N19" ca="1">_FV(RTData[[#This Row],[Company Name]],"52 week low",TRUE)</f>
        <v>12.24</v>
      </c>
      <c r="O19" s="19" cm="1">
        <f t="array" aca="1" ref="O19" ca="1">_FV(RTData[[#This Row],[Company Name]],"52 week high",TRUE)</f>
        <v>24.83</v>
      </c>
      <c r="P19" s="23" cm="1">
        <f t="array" aca="1" ref="P19" ca="1">_FV(RTData[[#This Row],[Company Name]],"Volume")</f>
        <v>1787203</v>
      </c>
      <c r="Q19" s="23" cm="1">
        <f t="array" aca="1" ref="Q19" ca="1">_FV(RTData[[#This Row],[Company Name]],"Volume average",TRUE)</f>
        <v>1843100</v>
      </c>
      <c r="R19" s="19" cm="1">
        <f t="array" aca="1" ref="R19" ca="1">_FV(RTData[[#This Row],[Company Name]],"Beta")</f>
        <v>1.1398999999999999</v>
      </c>
      <c r="T19" t="s">
        <v>20</v>
      </c>
      <c r="U19" t="str" cm="1">
        <f t="array" aca="1" ref="U19" ca="1">_FV(RTData[[#This Row],[Company Name]],"Exchange abbreviation",TRUE)</f>
        <v>XNYS</v>
      </c>
      <c r="V19" s="24">
        <f ca="1">IFERROR(RTData[[#This Row],[Volume]]/RTData[[#This Row],[Volume average]],1)</f>
        <v>0.96967229124844012</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45905.770833333336</v>
      </c>
      <c r="F20" s="29" cm="1">
        <f t="array" aca="1" ref="F20" ca="1">_FV(RTData[[#This Row],[Company Name]],"Previous close",TRUE)</f>
        <v>14.925000000000001</v>
      </c>
      <c r="G20" s="29" cm="1">
        <f t="array" aca="1" ref="G20" ca="1">_FV(RTData[[#This Row],[Company Name]],"Open")</f>
        <v>14.91</v>
      </c>
      <c r="H20" s="29" cm="1">
        <f t="array" aca="1" ref="H20" ca="1">_FV(RTData[[#This Row],[Company Name]],"Price")</f>
        <v>15.175000000000001</v>
      </c>
      <c r="I20" s="29" cm="1">
        <f t="array" aca="1" ref="I20" ca="1">_FV(RTData[[#This Row],[Company Name]],"Low")</f>
        <v>14.895</v>
      </c>
      <c r="J20" s="29" cm="1">
        <f t="array" aca="1" ref="J20" ca="1">_FV(RTData[[#This Row],[Company Name]],"High")</f>
        <v>15.175000000000001</v>
      </c>
      <c r="K20" s="20" cm="1">
        <f t="array" aca="1" ref="K20" ca="1">IFERROR(_FV(RTData[[#This Row],[Company Name]],"P/E",TRUE),99)</f>
        <v>12.360200000000001</v>
      </c>
      <c r="L20" s="21" cm="1">
        <f t="array" aca="1" ref="L20" ca="1">_FV(RTData[[#This Row],[Company Name]],"Change")</f>
        <v>0.25</v>
      </c>
      <c r="M20" s="22" cm="1">
        <f t="array" aca="1" ref="M20" ca="1">_FV(RTData[[#This Row],[Company Name]],"Change (%)",TRUE)</f>
        <v>1.6750000000000001E-2</v>
      </c>
      <c r="N20" s="29" cm="1">
        <f t="array" aca="1" ref="N20" ca="1">_FV(RTData[[#This Row],[Company Name]],"52 week low",TRUE)</f>
        <v>10.435</v>
      </c>
      <c r="O20" s="29" cm="1">
        <f t="array" aca="1" ref="O20" ca="1">_FV(RTData[[#This Row],[Company Name]],"52 week high",TRUE)</f>
        <v>16.55</v>
      </c>
      <c r="P20" s="23" cm="1">
        <f t="array" aca="1" ref="P20" ca="1">_FV(RTData[[#This Row],[Company Name]],"Volume")</f>
        <v>6564190</v>
      </c>
      <c r="Q20" s="23" cm="1">
        <f t="array" aca="1" ref="Q20" ca="1">_FV(RTData[[#This Row],[Company Name]],"Volume average",TRUE)</f>
        <v>3889840</v>
      </c>
      <c r="R20" s="29" cm="1">
        <f t="array" aca="1" ref="R20" ca="1">_FV(RTData[[#This Row],[Company Name]],"Beta")</f>
        <v>0.71319999999999995</v>
      </c>
      <c r="T20" t="s">
        <v>20</v>
      </c>
      <c r="U20" t="str" cm="1">
        <f t="array" aca="1" ref="U20" ca="1">_FV(RTData[[#This Row],[Company Name]],"Exchange abbreviation",TRUE)</f>
        <v>XETR</v>
      </c>
      <c r="V20" s="24">
        <f ca="1">IFERROR(RTData[[#This Row],[Volume]]/RTData[[#This Row],[Volume average]],1)</f>
        <v>1.6875218517985315</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0.85346078347699927</v>
      </c>
      <c r="C21" s="25" t="e" vm="19">
        <v>#VALUE!</v>
      </c>
      <c r="D21" s="17" t="str" cm="1">
        <f t="array" aca="1" ref="D21" ca="1">_FV(RTData[[#This Row],[Company Name]],"Currency")</f>
        <v>USD</v>
      </c>
      <c r="E21" s="18" cm="1">
        <f t="array" aca="1" ref="E21" ca="1">_FV(RTData[[#This Row],[Company Name]],"Last trade time",TRUE)</f>
        <v>45905.999563853904</v>
      </c>
      <c r="F21" s="19" cm="1">
        <f t="array" aca="1" ref="F21" ca="1">_FV(RTData[[#This Row],[Company Name]],"Previous close",TRUE)</f>
        <v>0.2316</v>
      </c>
      <c r="G21" s="19" cm="1">
        <f t="array" aca="1" ref="G21" ca="1">_FV(RTData[[#This Row],[Company Name]],"Open")</f>
        <v>0.23150000000000001</v>
      </c>
      <c r="H21" s="19" cm="1">
        <f t="array" aca="1" ref="H21" ca="1">_FV(RTData[[#This Row],[Company Name]],"Price")</f>
        <v>0.2329</v>
      </c>
      <c r="I21" s="19" cm="1">
        <f t="array" aca="1" ref="I21" ca="1">_FV(RTData[[#This Row],[Company Name]],"Low")</f>
        <v>0.23130000000000001</v>
      </c>
      <c r="J21" s="19" cm="1">
        <f t="array" aca="1" ref="J21" ca="1">_FV(RTData[[#This Row],[Company Name]],"High")</f>
        <v>0.23499999999999999</v>
      </c>
      <c r="K21" s="20" cm="1">
        <f t="array" aca="1" ref="K21" ca="1">IFERROR(_FV(RTData[[#This Row],[Company Name]],"P/E",TRUE),99)</f>
        <v>0</v>
      </c>
      <c r="L21" s="21" cm="1">
        <f t="array" aca="1" ref="L21" ca="1">_FV(RTData[[#This Row],[Company Name]],"Change")</f>
        <v>1.2999999999999999E-3</v>
      </c>
      <c r="M21" s="22" cm="1">
        <f t="array" aca="1" ref="M21" ca="1">_FV(RTData[[#This Row],[Company Name]],"Change (%)",TRUE)</f>
        <v>5.6129999999999999E-3</v>
      </c>
      <c r="N21" s="19" cm="1">
        <f t="array" aca="1" ref="N21" ca="1">_FV(RTData[[#This Row],[Company Name]],"52 week low",TRUE)</f>
        <v>0.17330000000000001</v>
      </c>
      <c r="O21" s="19" cm="1">
        <f t="array" aca="1" ref="O21" ca="1">_FV(RTData[[#This Row],[Company Name]],"52 week high",TRUE)</f>
        <v>0.97570000000000001</v>
      </c>
      <c r="P21" s="23" cm="1">
        <f t="array" aca="1" ref="P21" ca="1">_FV(RTData[[#This Row],[Company Name]],"Volume")</f>
        <v>2170539</v>
      </c>
      <c r="Q21" s="23" cm="1">
        <f t="array" aca="1" ref="Q21" ca="1">_FV(RTData[[#This Row],[Company Name]],"Volume average",TRUE)</f>
        <v>13842832</v>
      </c>
      <c r="R21" s="19" cm="1">
        <f t="array" aca="1" ref="R21" ca="1">_FV(RTData[[#This Row],[Company Name]],"Beta")</f>
        <v>1.6245000000000001</v>
      </c>
      <c r="T21" t="s">
        <v>20</v>
      </c>
      <c r="U21" t="str" cm="1">
        <f t="array" aca="1" ref="U21" ca="1">_FV(RTData[[#This Row],[Company Name]],"Exchange abbreviation",TRUE)</f>
        <v>XNAS</v>
      </c>
      <c r="V21" s="24">
        <f ca="1">IFERROR(RTData[[#This Row],[Volume]]/RTData[[#This Row],[Volume average]],1)</f>
        <v>0.15679876776659574</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0.85346078347699927</v>
      </c>
      <c r="C22" s="25" t="e" vm="20">
        <v>#VALUE!</v>
      </c>
      <c r="D22" s="17" t="str" cm="1">
        <f t="array" aca="1" ref="D22" ca="1">_FV(RTData[[#This Row],[Company Name]],"Currency")</f>
        <v>USD</v>
      </c>
      <c r="E22" s="18" cm="1">
        <f t="array" aca="1" ref="E22" ca="1">_FV(RTData[[#This Row],[Company Name]],"Last trade time",TRUE)</f>
        <v>45905.998227696095</v>
      </c>
      <c r="F22" s="19" cm="1">
        <f t="array" aca="1" ref="F22" ca="1">_FV(RTData[[#This Row],[Company Name]],"Previous close",TRUE)</f>
        <v>58</v>
      </c>
      <c r="G22" s="19" cm="1">
        <f t="array" aca="1" ref="G22" ca="1">_FV(RTData[[#This Row],[Company Name]],"Open")</f>
        <v>58.08</v>
      </c>
      <c r="H22" s="19" cm="1">
        <f t="array" aca="1" ref="H22" ca="1">_FV(RTData[[#This Row],[Company Name]],"Price")</f>
        <v>58.27</v>
      </c>
      <c r="I22" s="19" cm="1">
        <f t="array" aca="1" ref="I22" ca="1">_FV(RTData[[#This Row],[Company Name]],"Low")</f>
        <v>57.755000000000003</v>
      </c>
      <c r="J22" s="19" cm="1">
        <f t="array" aca="1" ref="J22" ca="1">_FV(RTData[[#This Row],[Company Name]],"High")</f>
        <v>58.805</v>
      </c>
      <c r="K22" s="20" cm="1">
        <f t="array" aca="1" ref="K22" ca="1">IFERROR(_FV(RTData[[#This Row],[Company Name]],"P/E",TRUE),99)</f>
        <v>8.3602000000000007</v>
      </c>
      <c r="L22" s="21" cm="1">
        <f t="array" aca="1" ref="L22" ca="1">_FV(RTData[[#This Row],[Company Name]],"Change")</f>
        <v>0.27</v>
      </c>
      <c r="M22" s="22" cm="1">
        <f t="array" aca="1" ref="M22" ca="1">_FV(RTData[[#This Row],[Company Name]],"Change (%)",TRUE)</f>
        <v>4.6550000000000003E-3</v>
      </c>
      <c r="N22" s="19" cm="1">
        <f t="array" aca="1" ref="N22" ca="1">_FV(RTData[[#This Row],[Company Name]],"52 week low",TRUE)</f>
        <v>41.6</v>
      </c>
      <c r="O22" s="19" cm="1">
        <f t="array" aca="1" ref="O22" ca="1">_FV(RTData[[#This Row],[Company Name]],"52 week high",TRUE)</f>
        <v>61.24</v>
      </c>
      <c r="P22" s="23" cm="1">
        <f t="array" aca="1" ref="P22" ca="1">_FV(RTData[[#This Row],[Company Name]],"Volume")</f>
        <v>7378092</v>
      </c>
      <c r="Q22" s="23" cm="1">
        <f t="array" aca="1" ref="Q22" ca="1">_FV(RTData[[#This Row],[Company Name]],"Volume average",TRUE)</f>
        <v>6899790</v>
      </c>
      <c r="R22" s="19" cm="1">
        <f t="array" aca="1" ref="R22" ca="1">_FV(RTData[[#This Row],[Company Name]],"Beta")</f>
        <v>1.3385</v>
      </c>
      <c r="T22" t="s">
        <v>20</v>
      </c>
      <c r="U22" t="str" cm="1">
        <f t="array" aca="1" ref="U22" ca="1">_FV(RTData[[#This Row],[Company Name]],"Exchange abbreviation",TRUE)</f>
        <v>XNYS</v>
      </c>
      <c r="V22" s="24">
        <f ca="1">IFERROR(RTData[[#This Row],[Volume]]/RTData[[#This Row],[Volume average]],1)</f>
        <v>1.0693212402116585</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0.85346078347699927</v>
      </c>
      <c r="C23" s="25" t="e" vm="21">
        <v>#VALUE!</v>
      </c>
      <c r="D23" s="17" t="str" cm="1">
        <f t="array" aca="1" ref="D23" ca="1">_FV(RTData[[#This Row],[Company Name]],"Currency")</f>
        <v>USD</v>
      </c>
      <c r="E23" s="18" cm="1">
        <f t="array" aca="1" ref="E23" ca="1">_FV(RTData[[#This Row],[Company Name]],"Last trade time",TRUE)</f>
        <v>45905.997589316408</v>
      </c>
      <c r="F23" s="19" cm="1">
        <f t="array" aca="1" ref="F23" ca="1">_FV(RTData[[#This Row],[Company Name]],"Previous close",TRUE)</f>
        <v>23.16</v>
      </c>
      <c r="G23" s="19" cm="1">
        <f t="array" aca="1" ref="G23" ca="1">_FV(RTData[[#This Row],[Company Name]],"Open")</f>
        <v>23.16</v>
      </c>
      <c r="H23" s="19" cm="1">
        <f t="array" aca="1" ref="H23" ca="1">_FV(RTData[[#This Row],[Company Name]],"Price")</f>
        <v>23.52</v>
      </c>
      <c r="I23" s="19" cm="1">
        <f t="array" aca="1" ref="I23" ca="1">_FV(RTData[[#This Row],[Company Name]],"Low")</f>
        <v>22.7</v>
      </c>
      <c r="J23" s="19" cm="1">
        <f t="array" aca="1" ref="J23" ca="1">_FV(RTData[[#This Row],[Company Name]],"High")</f>
        <v>23.56</v>
      </c>
      <c r="K23" s="20" cm="1">
        <f t="array" aca="1" ref="K23" ca="1">IFERROR(_FV(RTData[[#This Row],[Company Name]],"P/E",TRUE),99)</f>
        <v>27.779399999999999</v>
      </c>
      <c r="L23" s="21" cm="1">
        <f t="array" aca="1" ref="L23" ca="1">_FV(RTData[[#This Row],[Company Name]],"Change")</f>
        <v>0.36</v>
      </c>
      <c r="M23" s="22" cm="1">
        <f t="array" aca="1" ref="M23" ca="1">_FV(RTData[[#This Row],[Company Name]],"Change (%)",TRUE)</f>
        <v>1.5544000000000001E-2</v>
      </c>
      <c r="N23" s="19" cm="1">
        <f t="array" aca="1" ref="N23" ca="1">_FV(RTData[[#This Row],[Company Name]],"52 week low",TRUE)</f>
        <v>11.965</v>
      </c>
      <c r="O23" s="19" cm="1">
        <f t="array" aca="1" ref="O23" ca="1">_FV(RTData[[#This Row],[Company Name]],"52 week high",TRUE)</f>
        <v>24.66</v>
      </c>
      <c r="P23" s="23" cm="1">
        <f t="array" aca="1" ref="P23" ca="1">_FV(RTData[[#This Row],[Company Name]],"Volume")</f>
        <v>24237483</v>
      </c>
      <c r="Q23" s="23" cm="1">
        <f t="array" aca="1" ref="Q23" ca="1">_FV(RTData[[#This Row],[Company Name]],"Volume average",TRUE)</f>
        <v>19278360</v>
      </c>
      <c r="R23" s="19" cm="1">
        <f t="array" aca="1" ref="R23" ca="1">_FV(RTData[[#This Row],[Company Name]],"Beta")</f>
        <v>1.4483999999999999</v>
      </c>
      <c r="T23" t="s">
        <v>20</v>
      </c>
      <c r="U23" t="str" cm="1">
        <f t="array" aca="1" ref="U23" ca="1">_FV(RTData[[#This Row],[Company Name]],"Exchange abbreviation",TRUE)</f>
        <v>XNYS</v>
      </c>
      <c r="V23" s="24">
        <f ca="1">IFERROR(RTData[[#This Row],[Volume]]/RTData[[#This Row],[Volume average]],1)</f>
        <v>1.2572378044605454</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0.85346078347699927</v>
      </c>
      <c r="C24" s="25" t="e" vm="22">
        <v>#VALUE!</v>
      </c>
      <c r="D24" s="17" t="str" cm="1">
        <f t="array" aca="1" ref="D24" ca="1">_FV(RTData[[#This Row],[Company Name]],"Currency")</f>
        <v>USD</v>
      </c>
      <c r="E24" s="18" cm="1">
        <f t="array" aca="1" ref="E24" ca="1">_FV(RTData[[#This Row],[Company Name]],"Last trade time",TRUE)</f>
        <v>45905.999771700779</v>
      </c>
      <c r="F24" s="19" cm="1">
        <f t="array" aca="1" ref="F24" ca="1">_FV(RTData[[#This Row],[Company Name]],"Previous close",TRUE)</f>
        <v>28.92</v>
      </c>
      <c r="G24" s="19" cm="1">
        <f t="array" aca="1" ref="G24" ca="1">_FV(RTData[[#This Row],[Company Name]],"Open")</f>
        <v>29.05</v>
      </c>
      <c r="H24" s="19" cm="1">
        <f t="array" aca="1" ref="H24" ca="1">_FV(RTData[[#This Row],[Company Name]],"Price")</f>
        <v>29.34</v>
      </c>
      <c r="I24" s="19" cm="1">
        <f t="array" aca="1" ref="I24" ca="1">_FV(RTData[[#This Row],[Company Name]],"Low")</f>
        <v>28.895</v>
      </c>
      <c r="J24" s="19" cm="1">
        <f t="array" aca="1" ref="J24" ca="1">_FV(RTData[[#This Row],[Company Name]],"High")</f>
        <v>29.45</v>
      </c>
      <c r="K24" s="20" cm="1">
        <f t="array" aca="1" ref="K24" ca="1">IFERROR(_FV(RTData[[#This Row],[Company Name]],"P/E",TRUE),99)</f>
        <v>10.6881</v>
      </c>
      <c r="L24" s="21" cm="1">
        <f t="array" aca="1" ref="L24" ca="1">_FV(RTData[[#This Row],[Company Name]],"Change")</f>
        <v>0.42</v>
      </c>
      <c r="M24" s="22" cm="1">
        <f t="array" aca="1" ref="M24" ca="1">_FV(RTData[[#This Row],[Company Name]],"Change (%)",TRUE)</f>
        <v>1.4522999999999999E-2</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8677808</v>
      </c>
      <c r="Q24" s="23" cm="1">
        <f t="array" aca="1" ref="Q24" ca="1">_FV(RTData[[#This Row],[Company Name]],"Volume average",TRUE)</f>
        <v>9085272</v>
      </c>
      <c r="R24" s="19" cm="1">
        <f t="array" aca="1" ref="R24" ca="1">_FV(RTData[[#This Row],[Company Name]],"Beta")</f>
        <v>1.3141</v>
      </c>
      <c r="T24" t="s">
        <v>20</v>
      </c>
      <c r="U24" t="str" cm="1">
        <f t="array" aca="1" ref="U24" ca="1">_FV(RTData[[#This Row],[Company Name]],"Exchange abbreviation",TRUE)</f>
        <v>XNYS</v>
      </c>
      <c r="V24" s="24">
        <f ca="1">IFERROR(RTData[[#This Row],[Volume]]/RTData[[#This Row],[Volume average]],1)</f>
        <v>0.9551511501251696</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1.1532695190866105E-2</v>
      </c>
      <c r="C25" s="25" t="e" vm="23">
        <v>#VALUE!</v>
      </c>
      <c r="D25" s="17" t="str" cm="1">
        <f t="array" aca="1" ref="D25" ca="1">_FV(RTData[[#This Row],[Company Name]],"Currency")</f>
        <v>GBp</v>
      </c>
      <c r="E25" s="18" cm="1">
        <f t="array" aca="1" ref="E25" ca="1">_FV(RTData[[#This Row],[Company Name]],"Last trade time",TRUE)</f>
        <v>45905.62336168906</v>
      </c>
      <c r="F25" s="26" cm="1">
        <f t="array" aca="1" ref="F25" ca="1">_FV(RTData[[#This Row],[Company Name]],"Previous close",TRUE)</f>
        <v>390</v>
      </c>
      <c r="G25" s="26" cm="1">
        <f t="array" aca="1" ref="G25" ca="1">_FV(RTData[[#This Row],[Company Name]],"Open")</f>
        <v>390.8</v>
      </c>
      <c r="H25" s="26" cm="1">
        <f t="array" aca="1" ref="H25" ca="1">_FV(RTData[[#This Row],[Company Name]],"Price")</f>
        <v>390.7</v>
      </c>
      <c r="I25" s="26" cm="1">
        <f t="array" aca="1" ref="I25" ca="1">_FV(RTData[[#This Row],[Company Name]],"Low")</f>
        <v>385.8</v>
      </c>
      <c r="J25" s="26" cm="1">
        <f t="array" aca="1" ref="J25" ca="1">_FV(RTData[[#This Row],[Company Name]],"High")</f>
        <v>393.5</v>
      </c>
      <c r="K25" s="20" cm="1">
        <f t="array" aca="1" ref="K25" ca="1">IFERROR(_FV(RTData[[#This Row],[Company Name]],"P/E",TRUE),99)</f>
        <v>7.0258000000000003</v>
      </c>
      <c r="L25" s="21" cm="1">
        <f t="array" aca="1" ref="L25" ca="1">_FV(RTData[[#This Row],[Company Name]],"Change")</f>
        <v>0.7</v>
      </c>
      <c r="M25" s="22" cm="1">
        <f t="array" aca="1" ref="M25" ca="1">_FV(RTData[[#This Row],[Company Name]],"Change (%)",TRUE)</f>
        <v>1.7949999999999999E-3</v>
      </c>
      <c r="N25" s="26" cm="1">
        <f t="array" aca="1" ref="N25" ca="1">_FV(RTData[[#This Row],[Company Name]],"52 week low",TRUE)</f>
        <v>180.6</v>
      </c>
      <c r="O25" s="26" cm="1">
        <f t="array" aca="1" ref="O25" ca="1">_FV(RTData[[#This Row],[Company Name]],"52 week high",TRUE)</f>
        <v>396.7</v>
      </c>
      <c r="P25" s="23" cm="1">
        <f t="array" aca="1" ref="P25" ca="1">_FV(RTData[[#This Row],[Company Name]],"Volume")</f>
        <v>11836586</v>
      </c>
      <c r="Q25" s="23" cm="1">
        <f t="array" aca="1" ref="Q25" ca="1">_FV(RTData[[#This Row],[Company Name]],"Volume average",TRUE)</f>
        <v>11453210</v>
      </c>
      <c r="R25" s="19" cm="1">
        <f t="array" aca="1" ref="R25" ca="1">_FV(RTData[[#This Row],[Company Name]],"Beta")</f>
        <v>2.8026</v>
      </c>
      <c r="T25" t="s">
        <v>20</v>
      </c>
      <c r="U25" t="str" cm="1">
        <f t="array" aca="1" ref="U25" ca="1">_FV(RTData[[#This Row],[Company Name]],"Exchange abbreviation",TRUE)</f>
        <v>XLON</v>
      </c>
      <c r="V25" s="24">
        <f ca="1">IFERROR(RTData[[#This Row],[Volume]]/RTData[[#This Row],[Volume average]],1)</f>
        <v>1.0334732358875809</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0.85346078347699927</v>
      </c>
      <c r="C26" s="25" t="e" vm="24">
        <v>#VALUE!</v>
      </c>
      <c r="D26" s="17" t="str" cm="1">
        <f t="array" aca="1" ref="D26" ca="1">_FV(RTData[[#This Row],[Company Name]],"Currency")</f>
        <v>USD</v>
      </c>
      <c r="E26" s="18" cm="1">
        <f t="array" aca="1" ref="E26" ca="1">_FV(RTData[[#This Row],[Company Name]],"Last trade time",TRUE)</f>
        <v>45905.999521596874</v>
      </c>
      <c r="F26" s="19" cm="1">
        <f t="array" aca="1" ref="F26" ca="1">_FV(RTData[[#This Row],[Company Name]],"Previous close",TRUE)</f>
        <v>67.84</v>
      </c>
      <c r="G26" s="19" cm="1">
        <f t="array" aca="1" ref="G26" ca="1">_FV(RTData[[#This Row],[Company Name]],"Open")</f>
        <v>67.92</v>
      </c>
      <c r="H26" s="19" cm="1">
        <f t="array" aca="1" ref="H26" ca="1">_FV(RTData[[#This Row],[Company Name]],"Price")</f>
        <v>67.75</v>
      </c>
      <c r="I26" s="19" cm="1">
        <f t="array" aca="1" ref="I26" ca="1">_FV(RTData[[#This Row],[Company Name]],"Low")</f>
        <v>67.31</v>
      </c>
      <c r="J26" s="19" cm="1">
        <f t="array" aca="1" ref="J26" ca="1">_FV(RTData[[#This Row],[Company Name]],"High")</f>
        <v>68.2</v>
      </c>
      <c r="K26" s="20" cm="1">
        <f t="array" aca="1" ref="K26" ca="1">IFERROR(_FV(RTData[[#This Row],[Company Name]],"P/E",TRUE),99)</f>
        <v>18.4558</v>
      </c>
      <c r="L26" s="21" cm="1">
        <f t="array" aca="1" ref="L26" ca="1">_FV(RTData[[#This Row],[Company Name]],"Change")</f>
        <v>-0.09</v>
      </c>
      <c r="M26" s="22" cm="1">
        <f t="array" aca="1" ref="M26" ca="1">_FV(RTData[[#This Row],[Company Name]],"Change (%)",TRUE)</f>
        <v>-1.3270000000000001E-3</v>
      </c>
      <c r="N26" s="19" cm="1">
        <f t="array" aca="1" ref="N26" ca="1">_FV(RTData[[#This Row],[Company Name]],"52 week low",TRUE)</f>
        <v>50.69</v>
      </c>
      <c r="O26" s="19" cm="1">
        <f t="array" aca="1" ref="O26" ca="1">_FV(RTData[[#This Row],[Company Name]],"52 week high",TRUE)</f>
        <v>74.900000000000006</v>
      </c>
      <c r="P26" s="23" cm="1">
        <f t="array" aca="1" ref="P26" ca="1">_FV(RTData[[#This Row],[Company Name]],"Volume")</f>
        <v>5575671</v>
      </c>
      <c r="Q26" s="23" cm="1">
        <f t="array" aca="1" ref="Q26" ca="1">_FV(RTData[[#This Row],[Company Name]],"Volume average",TRUE)</f>
        <v>6792744</v>
      </c>
      <c r="R26" s="19" cm="1">
        <f t="array" aca="1" ref="R26" ca="1">_FV(RTData[[#This Row],[Company Name]],"Beta")</f>
        <v>0.57350000000000001</v>
      </c>
      <c r="T26" t="s">
        <v>20</v>
      </c>
      <c r="U26" t="str" cm="1">
        <f t="array" aca="1" ref="U26" ca="1">_FV(RTData[[#This Row],[Company Name]],"Exchange abbreviation",TRUE)</f>
        <v>XNYS</v>
      </c>
      <c r="V26" s="24">
        <f ca="1">IFERROR(RTData[[#This Row],[Volume]]/RTData[[#This Row],[Volume average]],1)</f>
        <v>0.82082748886164414</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0.85346078347699927</v>
      </c>
      <c r="C27" s="25" t="e" vm="25">
        <v>#VALUE!</v>
      </c>
      <c r="D27" s="17" t="str" cm="1">
        <f t="array" aca="1" ref="D27" ca="1">_FV(RTData[[#This Row],[Company Name]],"Currency")</f>
        <v>USD</v>
      </c>
      <c r="E27" s="18" cm="1">
        <f t="array" aca="1" ref="E27" ca="1">_FV(RTData[[#This Row],[Company Name]],"Last trade time",TRUE)</f>
        <v>45905.840325960155</v>
      </c>
      <c r="F27" s="19" cm="1">
        <f t="array" aca="1" ref="F27" ca="1">_FV(RTData[[#This Row],[Company Name]],"Previous close",TRUE)</f>
        <v>12.17</v>
      </c>
      <c r="G27" s="19" cm="1">
        <f t="array" aca="1" ref="G27" ca="1">_FV(RTData[[#This Row],[Company Name]],"Open")</f>
        <v>12.25</v>
      </c>
      <c r="H27" s="19" cm="1">
        <f t="array" aca="1" ref="H27" ca="1">_FV(RTData[[#This Row],[Company Name]],"Price")</f>
        <v>12.17</v>
      </c>
      <c r="I27" s="19" cm="1">
        <f t="array" aca="1" ref="I27" ca="1">_FV(RTData[[#This Row],[Company Name]],"Low")</f>
        <v>12.04</v>
      </c>
      <c r="J27" s="19" cm="1">
        <f t="array" aca="1" ref="J27" ca="1">_FV(RTData[[#This Row],[Company Name]],"High")</f>
        <v>12.25</v>
      </c>
      <c r="K27" s="20" cm="1">
        <f t="array" aca="1" ref="K27" ca="1">IFERROR(_FV(RTData[[#This Row],[Company Name]],"P/E",TRUE),99)</f>
        <v>0</v>
      </c>
      <c r="L27" s="21" cm="1">
        <f t="array" aca="1" ref="L27" ca="1">_FV(RTData[[#This Row],[Company Name]],"Change")</f>
        <v>0</v>
      </c>
      <c r="M27" s="22" cm="1">
        <f t="array" aca="1" ref="M27" ca="1">_FV(RTData[[#This Row],[Company Name]],"Change (%)",TRUE)</f>
        <v>0</v>
      </c>
      <c r="N27" s="19" cm="1">
        <f t="array" aca="1" ref="N27" ca="1">_FV(RTData[[#This Row],[Company Name]],"52 week low",TRUE)</f>
        <v>3.8001</v>
      </c>
      <c r="O27" s="19" cm="1">
        <f t="array" aca="1" ref="O27" ca="1">_FV(RTData[[#This Row],[Company Name]],"52 week high",TRUE)</f>
        <v>17.309999999999999</v>
      </c>
      <c r="P27" s="23" cm="1">
        <f t="array" aca="1" ref="P27" ca="1">_FV(RTData[[#This Row],[Company Name]],"Volume")</f>
        <v>23049</v>
      </c>
      <c r="Q27" s="23" cm="1">
        <f t="array" aca="1" ref="Q27" ca="1">_FV(RTData[[#This Row],[Company Name]],"Volume average",TRUE)</f>
        <v>66414</v>
      </c>
      <c r="R27" s="19" cm="1">
        <f t="array" aca="1" ref="R27" ca="1">_FV(RTData[[#This Row],[Company Name]],"Beta")</f>
        <v>0.49680000000000002</v>
      </c>
      <c r="T27" t="s">
        <v>20</v>
      </c>
      <c r="U27" t="str" cm="1">
        <f t="array" aca="1" ref="U27" ca="1">_FV(RTData[[#This Row],[Company Name]],"Exchange abbreviation",TRUE)</f>
        <v>XNAS</v>
      </c>
      <c r="V27" s="24">
        <f ca="1">IFERROR(RTData[[#This Row],[Volume]]/RTData[[#This Row],[Volume average]],1)</f>
        <v>0.34705032071551178</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0.85346078347699927</v>
      </c>
      <c r="C28" s="25" t="e" vm="26">
        <v>#VALUE!</v>
      </c>
      <c r="D28" s="17" t="str" cm="1">
        <f t="array" aca="1" ref="D28" ca="1">_FV(RTData[[#This Row],[Company Name]],"Currency")</f>
        <v>USD</v>
      </c>
      <c r="E28" s="18" cm="1">
        <f t="array" aca="1" ref="E28" ca="1">_FV(RTData[[#This Row],[Company Name]],"Last trade time",TRUE)</f>
        <v>45905.999805543754</v>
      </c>
      <c r="F28" s="19" cm="1">
        <f t="array" aca="1" ref="F28" ca="1">_FV(RTData[[#This Row],[Company Name]],"Previous close",TRUE)</f>
        <v>4.97</v>
      </c>
      <c r="G28" s="19" cm="1">
        <f t="array" aca="1" ref="G28" ca="1">_FV(RTData[[#This Row],[Company Name]],"Open")</f>
        <v>4.97</v>
      </c>
      <c r="H28" s="19" cm="1">
        <f t="array" aca="1" ref="H28" ca="1">_FV(RTData[[#This Row],[Company Name]],"Price")</f>
        <v>4.75</v>
      </c>
      <c r="I28" s="19" cm="1">
        <f t="array" aca="1" ref="I28" ca="1">_FV(RTData[[#This Row],[Company Name]],"Low")</f>
        <v>4.71</v>
      </c>
      <c r="J28" s="19" cm="1">
        <f t="array" aca="1" ref="J28" ca="1">_FV(RTData[[#This Row],[Company Name]],"High")</f>
        <v>5.01</v>
      </c>
      <c r="K28" s="20" cm="1">
        <f t="array" ref="K28">IFERROR(_FV(RTData[[#This Row],[Company Name]],"P/E",TRUE),99)</f>
        <v>99</v>
      </c>
      <c r="L28" s="21" cm="1">
        <f t="array" aca="1" ref="L28" ca="1">_FV(RTData[[#This Row],[Company Name]],"Change")</f>
        <v>-0.22</v>
      </c>
      <c r="M28" s="22" cm="1">
        <f t="array" aca="1" ref="M28" ca="1">_FV(RTData[[#This Row],[Company Name]],"Change (%)",TRUE)</f>
        <v>-4.4266E-2</v>
      </c>
      <c r="N28" s="19" cm="1">
        <f t="array" aca="1" ref="N28" ca="1">_FV(RTData[[#This Row],[Company Name]],"52 week low",TRUE)</f>
        <v>3.01</v>
      </c>
      <c r="O28" s="19" cm="1">
        <f t="array" aca="1" ref="O28" ca="1">_FV(RTData[[#This Row],[Company Name]],"52 week high",TRUE)</f>
        <v>10.33</v>
      </c>
      <c r="P28" s="23" cm="1">
        <f t="array" aca="1" ref="P28" ca="1">_FV(RTData[[#This Row],[Company Name]],"Volume")</f>
        <v>16250082</v>
      </c>
      <c r="Q28" s="23" cm="1">
        <f t="array" aca="1" ref="Q28" ca="1">_FV(RTData[[#This Row],[Company Name]],"Volume average",TRUE)</f>
        <v>14480944</v>
      </c>
      <c r="R28" s="19" cm="1">
        <f t="array" aca="1" ref="R28" ca="1">_FV(RTData[[#This Row],[Company Name]],"Beta")</f>
        <v>1.4073</v>
      </c>
      <c r="T28" t="s">
        <v>20</v>
      </c>
      <c r="U28" t="str" cm="1">
        <f t="array" aca="1" ref="U28" ca="1">_FV(RTData[[#This Row],[Company Name]],"Exchange abbreviation",TRUE)</f>
        <v>XNYS</v>
      </c>
      <c r="V28" s="24">
        <f ca="1">IFERROR(RTData[[#This Row],[Volume]]/RTData[[#This Row],[Volume average]],1)</f>
        <v>1.1221700739951761</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0.85346078347699927</v>
      </c>
      <c r="C29" s="25" t="e" vm="27">
        <v>#VALUE!</v>
      </c>
      <c r="D29" s="17" t="str" cm="1">
        <f t="array" aca="1" ref="D29" ca="1">_FV(RTData[[#This Row],[Company Name]],"Currency")</f>
        <v>USD</v>
      </c>
      <c r="E29" s="18" cm="1">
        <f t="array" aca="1" ref="E29" ca="1">_FV(RTData[[#This Row],[Company Name]],"Last trade time",TRUE)</f>
        <v>45905.999667916403</v>
      </c>
      <c r="F29" s="19" cm="1">
        <f t="array" aca="1" ref="F29" ca="1">_FV(RTData[[#This Row],[Company Name]],"Previous close",TRUE)</f>
        <v>24.28</v>
      </c>
      <c r="G29" s="19" cm="1">
        <f t="array" aca="1" ref="G29" ca="1">_FV(RTData[[#This Row],[Company Name]],"Open")</f>
        <v>24.66</v>
      </c>
      <c r="H29" s="19" cm="1">
        <f t="array" aca="1" ref="H29" ca="1">_FV(RTData[[#This Row],[Company Name]],"Price")</f>
        <v>25.14</v>
      </c>
      <c r="I29" s="19" cm="1">
        <f t="array" aca="1" ref="I29" ca="1">_FV(RTData[[#This Row],[Company Name]],"Low")</f>
        <v>24.605399999999999</v>
      </c>
      <c r="J29" s="19" cm="1">
        <f t="array" aca="1" ref="J29" ca="1">_FV(RTData[[#This Row],[Company Name]],"High")</f>
        <v>25.48</v>
      </c>
      <c r="K29" s="20" cm="1">
        <f t="array" aca="1" ref="K29" ca="1">IFERROR(_FV(RTData[[#This Row],[Company Name]],"P/E",TRUE),99)</f>
        <v>0</v>
      </c>
      <c r="L29" s="21" cm="1">
        <f t="array" aca="1" ref="L29" ca="1">_FV(RTData[[#This Row],[Company Name]],"Change")</f>
        <v>0.86</v>
      </c>
      <c r="M29" s="22" cm="1">
        <f t="array" aca="1" ref="M29" ca="1">_FV(RTData[[#This Row],[Company Name]],"Change (%)",TRUE)</f>
        <v>3.542E-2</v>
      </c>
      <c r="N29" s="19" cm="1">
        <f t="array" aca="1" ref="N29" ca="1">_FV(RTData[[#This Row],[Company Name]],"52 week low",TRUE)</f>
        <v>23.15</v>
      </c>
      <c r="O29" s="19" cm="1">
        <f t="array" aca="1" ref="O29" ca="1">_FV(RTData[[#This Row],[Company Name]],"52 week high",TRUE)</f>
        <v>79.958699999999993</v>
      </c>
      <c r="P29" s="23" cm="1">
        <f t="array" aca="1" ref="P29" ca="1">_FV(RTData[[#This Row],[Company Name]],"Volume")</f>
        <v>13040610</v>
      </c>
      <c r="Q29" s="23" cm="1">
        <f t="array" aca="1" ref="Q29" ca="1">_FV(RTData[[#This Row],[Company Name]],"Volume average",TRUE)</f>
        <v>9768259</v>
      </c>
      <c r="R29" s="19" cm="1">
        <f t="array" aca="1" ref="R29" ca="1">_FV(RTData[[#This Row],[Company Name]],"Beta")</f>
        <v>2.0028999999999999</v>
      </c>
      <c r="T29" t="s">
        <v>20</v>
      </c>
      <c r="U29" t="str" cm="1">
        <f t="array" aca="1" ref="U29" ca="1">_FV(RTData[[#This Row],[Company Name]],"Exchange abbreviation",TRUE)</f>
        <v>XNAS</v>
      </c>
      <c r="V29" s="24">
        <f ca="1">IFERROR(RTData[[#This Row],[Volume]]/RTData[[#This Row],[Volume average]],1)</f>
        <v>1.3349983860993038</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0.85346078347699927</v>
      </c>
      <c r="C30" s="25" t="e" vm="28">
        <v>#VALUE!</v>
      </c>
      <c r="D30" s="17" t="str" cm="1">
        <f t="array" aca="1" ref="D30" ca="1">_FV(RTData[[#This Row],[Company Name]],"Currency")</f>
        <v>USD</v>
      </c>
      <c r="E30" s="18" cm="1">
        <f t="array" aca="1" ref="E30" ca="1">_FV(RTData[[#This Row],[Company Name]],"Last trade time",TRUE)</f>
        <v>45905.999992557816</v>
      </c>
      <c r="F30" s="19" cm="1">
        <f t="array" aca="1" ref="F30" ca="1">_FV(RTData[[#This Row],[Company Name]],"Previous close",TRUE)</f>
        <v>507.97</v>
      </c>
      <c r="G30" s="19" cm="1">
        <f t="array" aca="1" ref="G30" ca="1">_FV(RTData[[#This Row],[Company Name]],"Open")</f>
        <v>509.07</v>
      </c>
      <c r="H30" s="19" cm="1">
        <f t="array" aca="1" ref="H30" ca="1">_FV(RTData[[#This Row],[Company Name]],"Price")</f>
        <v>495</v>
      </c>
      <c r="I30" s="19" cm="1">
        <f t="array" aca="1" ref="I30" ca="1">_FV(RTData[[#This Row],[Company Name]],"Low")</f>
        <v>492.37</v>
      </c>
      <c r="J30" s="19" cm="1">
        <f t="array" aca="1" ref="J30" ca="1">_FV(RTData[[#This Row],[Company Name]],"High")</f>
        <v>511.97</v>
      </c>
      <c r="K30" s="20" cm="1">
        <f t="array" aca="1" ref="K30" ca="1">IFERROR(_FV(RTData[[#This Row],[Company Name]],"P/E",TRUE),99)</f>
        <v>37.238300000000002</v>
      </c>
      <c r="L30" s="21" cm="1">
        <f t="array" aca="1" ref="L30" ca="1">_FV(RTData[[#This Row],[Company Name]],"Change")</f>
        <v>-12.97</v>
      </c>
      <c r="M30" s="22" cm="1">
        <f t="array" aca="1" ref="M30" ca="1">_FV(RTData[[#This Row],[Company Name]],"Change (%)",TRUE)</f>
        <v>-2.5533E-2</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31994846</v>
      </c>
      <c r="Q30" s="23" cm="1">
        <f t="array" aca="1" ref="Q30" ca="1">_FV(RTData[[#This Row],[Company Name]],"Volume average",TRUE)</f>
        <v>22260405</v>
      </c>
      <c r="R30" s="19" cm="1">
        <f t="array" aca="1" ref="R30" ca="1">_FV(RTData[[#This Row],[Company Name]],"Beta")</f>
        <v>1.0294000000000001</v>
      </c>
      <c r="T30" t="s">
        <v>20</v>
      </c>
      <c r="U30" t="str" cm="1">
        <f t="array" aca="1" ref="U30" ca="1">_FV(RTData[[#This Row],[Company Name]],"Exchange abbreviation",TRUE)</f>
        <v>XNAS</v>
      </c>
      <c r="V30" s="24">
        <f ca="1">IFERROR(RTData[[#This Row],[Volume]]/RTData[[#This Row],[Volume average]],1)</f>
        <v>1.4372984678400955</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0.85346078347699927</v>
      </c>
      <c r="C31" s="25" t="e" vm="29">
        <v>#VALUE!</v>
      </c>
      <c r="D31" s="17" t="str" cm="1">
        <f t="array" aca="1" ref="D31" ca="1">_FV(RTData[[#This Row],[Company Name]],"Currency")</f>
        <v>USD</v>
      </c>
      <c r="E31" s="18" cm="1">
        <f t="array" aca="1" ref="E31" ca="1">_FV(RTData[[#This Row],[Company Name]],"Last trade time",TRUE)</f>
        <v>45905.99798078672</v>
      </c>
      <c r="F31" s="19" cm="1">
        <f t="array" aca="1" ref="F31" ca="1">_FV(RTData[[#This Row],[Company Name]],"Previous close",TRUE)</f>
        <v>70.87</v>
      </c>
      <c r="G31" s="19" cm="1">
        <f t="array" aca="1" ref="G31" ca="1">_FV(RTData[[#This Row],[Company Name]],"Open")</f>
        <v>71.25</v>
      </c>
      <c r="H31" s="19" cm="1">
        <f t="array" aca="1" ref="H31" ca="1">_FV(RTData[[#This Row],[Company Name]],"Price")</f>
        <v>70.900000000000006</v>
      </c>
      <c r="I31" s="19" cm="1">
        <f t="array" aca="1" ref="I31" ca="1">_FV(RTData[[#This Row],[Company Name]],"Low")</f>
        <v>70.254999999999995</v>
      </c>
      <c r="J31" s="19" cm="1">
        <f t="array" aca="1" ref="J31" ca="1">_FV(RTData[[#This Row],[Company Name]],"High")</f>
        <v>71.73</v>
      </c>
      <c r="K31" s="20" cm="1">
        <f t="array" aca="1" ref="K31" ca="1">IFERROR(_FV(RTData[[#This Row],[Company Name]],"P/E",TRUE),99)</f>
        <v>26.5166</v>
      </c>
      <c r="L31" s="21" cm="1">
        <f t="array" aca="1" ref="L31" ca="1">_FV(RTData[[#This Row],[Company Name]],"Change")</f>
        <v>0.03</v>
      </c>
      <c r="M31" s="22" cm="1">
        <f t="array" aca="1" ref="M31" ca="1">_FV(RTData[[#This Row],[Company Name]],"Change (%)",TRUE)</f>
        <v>4.2329999999999999E-4</v>
      </c>
      <c r="N31" s="19" cm="1">
        <f t="array" aca="1" ref="N31" ca="1">_FV(RTData[[#This Row],[Company Name]],"52 week low",TRUE)</f>
        <v>61.72</v>
      </c>
      <c r="O31" s="19" cm="1">
        <f t="array" aca="1" ref="O31" ca="1">_FV(RTData[[#This Row],[Company Name]],"52 week high",TRUE)</f>
        <v>86.1</v>
      </c>
      <c r="P31" s="23" cm="1">
        <f t="array" aca="1" ref="P31" ca="1">_FV(RTData[[#This Row],[Company Name]],"Volume")</f>
        <v>10067583</v>
      </c>
      <c r="Q31" s="23" cm="1">
        <f t="array" aca="1" ref="Q31" ca="1">_FV(RTData[[#This Row],[Company Name]],"Volume average",TRUE)</f>
        <v>9419875</v>
      </c>
      <c r="R31" s="19" cm="1">
        <f t="array" aca="1" ref="R31" ca="1">_FV(RTData[[#This Row],[Company Name]],"Beta")</f>
        <v>0.64770000000000005</v>
      </c>
      <c r="T31" t="s">
        <v>20</v>
      </c>
      <c r="U31" t="str" cm="1">
        <f t="array" aca="1" ref="U31" ca="1">_FV(RTData[[#This Row],[Company Name]],"Exchange abbreviation",TRUE)</f>
        <v>XNYS</v>
      </c>
      <c r="V31" s="24">
        <f ca="1">IFERROR(RTData[[#This Row],[Volume]]/RTData[[#This Row],[Volume average]],1)</f>
        <v>1.0687597234570523</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0.85346078347699927</v>
      </c>
      <c r="C32" s="25" t="e" vm="30">
        <v>#VALUE!</v>
      </c>
      <c r="D32" s="17" t="str" cm="1">
        <f t="array" aca="1" ref="D32" ca="1">_FV(RTData[[#This Row],[Company Name]],"Currency")</f>
        <v>USD</v>
      </c>
      <c r="E32" s="18" cm="1">
        <f t="array" aca="1" ref="E32" ca="1">_FV(RTData[[#This Row],[Company Name]],"Last trade time",TRUE)</f>
        <v>45905.999823332815</v>
      </c>
      <c r="F32" s="19" cm="1">
        <f t="array" aca="1" ref="F32" ca="1">_FV(RTData[[#This Row],[Company Name]],"Previous close",TRUE)</f>
        <v>74.88</v>
      </c>
      <c r="G32" s="19" cm="1">
        <f t="array" aca="1" ref="G32" ca="1">_FV(RTData[[#This Row],[Company Name]],"Open")</f>
        <v>76.12</v>
      </c>
      <c r="H32" s="19" cm="1">
        <f t="array" aca="1" ref="H32" ca="1">_FV(RTData[[#This Row],[Company Name]],"Price")</f>
        <v>76.17</v>
      </c>
      <c r="I32" s="19" cm="1">
        <f t="array" aca="1" ref="I32" ca="1">_FV(RTData[[#This Row],[Company Name]],"Low")</f>
        <v>75.52</v>
      </c>
      <c r="J32" s="19" cm="1">
        <f t="array" aca="1" ref="J32" ca="1">_FV(RTData[[#This Row],[Company Name]],"High")</f>
        <v>77.3</v>
      </c>
      <c r="K32" s="20" cm="1">
        <f t="array" aca="1" ref="K32" ca="1">IFERROR(_FV(RTData[[#This Row],[Company Name]],"P/E",TRUE),99)</f>
        <v>13.5534</v>
      </c>
      <c r="L32" s="21" cm="1">
        <f t="array" aca="1" ref="L32" ca="1">_FV(RTData[[#This Row],[Company Name]],"Change")</f>
        <v>1.29</v>
      </c>
      <c r="M32" s="22" cm="1">
        <f t="array" aca="1" ref="M32" ca="1">_FV(RTData[[#This Row],[Company Name]],"Change (%)",TRUE)</f>
        <v>1.7228E-2</v>
      </c>
      <c r="N32" s="19" cm="1">
        <f t="array" aca="1" ref="N32" ca="1">_FV(RTData[[#This Row],[Company Name]],"52 week low",TRUE)</f>
        <v>36.86</v>
      </c>
      <c r="O32" s="19" cm="1">
        <f t="array" aca="1" ref="O32" ca="1">_FV(RTData[[#This Row],[Company Name]],"52 week high",TRUE)</f>
        <v>77.3</v>
      </c>
      <c r="P32" s="23" cm="1">
        <f t="array" aca="1" ref="P32" ca="1">_FV(RTData[[#This Row],[Company Name]],"Volume")</f>
        <v>8678651</v>
      </c>
      <c r="Q32" s="23" cm="1">
        <f t="array" aca="1" ref="Q32" ca="1">_FV(RTData[[#This Row],[Company Name]],"Volume average",TRUE)</f>
        <v>8707968</v>
      </c>
      <c r="R32" s="19" cm="1">
        <f t="array" aca="1" ref="R32" ca="1">_FV(RTData[[#This Row],[Company Name]],"Beta")</f>
        <v>0.33300000000000002</v>
      </c>
      <c r="T32" t="s">
        <v>20</v>
      </c>
      <c r="U32" t="str" cm="1">
        <f t="array" aca="1" ref="U32" ca="1">_FV(RTData[[#This Row],[Company Name]],"Exchange abbreviation",TRUE)</f>
        <v>XNYS</v>
      </c>
      <c r="V32" s="24">
        <f ca="1">IFERROR(RTData[[#This Row],[Volume]]/RTData[[#This Row],[Volume average]],1)</f>
        <v>0.99663331330569882</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0.85346078347699927</v>
      </c>
      <c r="C33" s="25" t="e" vm="31">
        <v>#VALUE!</v>
      </c>
      <c r="D33" s="17" t="str" cm="1">
        <f t="array" aca="1" ref="D33" ca="1">_FV(RTData[[#This Row],[Company Name]],"Currency")</f>
        <v>USD</v>
      </c>
      <c r="E33" s="18" cm="1">
        <f t="array" aca="1" ref="E33" ca="1">_FV(RTData[[#This Row],[Company Name]],"Last trade time",TRUE)</f>
        <v>45905.999999872656</v>
      </c>
      <c r="F33" s="19" cm="1">
        <f t="array" aca="1" ref="F33" ca="1">_FV(RTData[[#This Row],[Company Name]],"Previous close",TRUE)</f>
        <v>1257.48</v>
      </c>
      <c r="G33" s="19" cm="1">
        <f t="array" aca="1" ref="G33" ca="1">_FV(RTData[[#This Row],[Company Name]],"Open")</f>
        <v>1260</v>
      </c>
      <c r="H33" s="19" cm="1">
        <f t="array" aca="1" ref="H33" ca="1">_FV(RTData[[#This Row],[Company Name]],"Price")</f>
        <v>1243.82</v>
      </c>
      <c r="I33" s="19" cm="1">
        <f t="array" aca="1" ref="I33" ca="1">_FV(RTData[[#This Row],[Company Name]],"Low")</f>
        <v>1239.0201</v>
      </c>
      <c r="J33" s="19" cm="1">
        <f t="array" aca="1" ref="J33" ca="1">_FV(RTData[[#This Row],[Company Name]],"High")</f>
        <v>1267.0999999999999</v>
      </c>
      <c r="K33" s="20" cm="1">
        <f t="array" aca="1" ref="K33" ca="1">IFERROR(_FV(RTData[[#This Row],[Company Name]],"P/E",TRUE),99)</f>
        <v>53.002299999999998</v>
      </c>
      <c r="L33" s="21" cm="1">
        <f t="array" aca="1" ref="L33" ca="1">_FV(RTData[[#This Row],[Company Name]],"Change")</f>
        <v>-13.66</v>
      </c>
      <c r="M33" s="22" cm="1">
        <f t="array" aca="1" ref="M33" ca="1">_FV(RTData[[#This Row],[Company Name]],"Change (%)",TRUE)</f>
        <v>-1.0863000000000001E-2</v>
      </c>
      <c r="N33" s="19" cm="1">
        <f t="array" aca="1" ref="N33" ca="1">_FV(RTData[[#This Row],[Company Name]],"52 week low",TRUE)</f>
        <v>660.8</v>
      </c>
      <c r="O33" s="19" cm="1">
        <f t="array" aca="1" ref="O33" ca="1">_FV(RTData[[#This Row],[Company Name]],"52 week high",TRUE)</f>
        <v>1341.15</v>
      </c>
      <c r="P33" s="23" cm="1">
        <f t="array" aca="1" ref="P33" ca="1">_FV(RTData[[#This Row],[Company Name]],"Volume")</f>
        <v>2379673</v>
      </c>
      <c r="Q33" s="23" cm="1">
        <f t="array" aca="1" ref="Q33" ca="1">_FV(RTData[[#This Row],[Company Name]],"Volume average",TRUE)</f>
        <v>2773553</v>
      </c>
      <c r="R33" s="19" cm="1">
        <f t="array" aca="1" ref="R33" ca="1">_FV(RTData[[#This Row],[Company Name]],"Beta")</f>
        <v>1.6045</v>
      </c>
      <c r="T33" t="s">
        <v>20</v>
      </c>
      <c r="U33" t="str" cm="1">
        <f t="array" aca="1" ref="U33" ca="1">_FV(RTData[[#This Row],[Company Name]],"Exchange abbreviation",TRUE)</f>
        <v>XNAS</v>
      </c>
      <c r="V33" s="24">
        <f ca="1">IFERROR(RTData[[#This Row],[Volume]]/RTData[[#This Row],[Volume average]],1)</f>
        <v>0.85798720990729216</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0.85346078347699927</v>
      </c>
      <c r="C34" s="16" t="e" vm="32">
        <v>#VALUE!</v>
      </c>
      <c r="D34" s="17" t="str" cm="1">
        <f t="array" aca="1" ref="D34" ca="1">_FV(RTData[[#This Row],[Company Name]],"Currency")</f>
        <v>USD</v>
      </c>
      <c r="E34" s="18" cm="1">
        <f t="array" aca="1" ref="E34" ca="1">_FV(RTData[[#This Row],[Company Name]],"Last trade time",TRUE)</f>
        <v>45905.990174536717</v>
      </c>
      <c r="F34" s="19" cm="1">
        <f t="array" aca="1" ref="F34" ca="1">_FV(RTData[[#This Row],[Company Name]],"Previous close",TRUE)</f>
        <v>4</v>
      </c>
      <c r="G34" s="19" cm="1">
        <f t="array" aca="1" ref="G34" ca="1">_FV(RTData[[#This Row],[Company Name]],"Open")</f>
        <v>4</v>
      </c>
      <c r="H34" s="19" cm="1">
        <f t="array" aca="1" ref="H34" ca="1">_FV(RTData[[#This Row],[Company Name]],"Price")</f>
        <v>4.09</v>
      </c>
      <c r="I34" s="19" cm="1">
        <f t="array" aca="1" ref="I34" ca="1">_FV(RTData[[#This Row],[Company Name]],"Low")</f>
        <v>3.8</v>
      </c>
      <c r="J34" s="19" cm="1">
        <f t="array" aca="1" ref="J34" ca="1">_FV(RTData[[#This Row],[Company Name]],"High")</f>
        <v>4.2</v>
      </c>
      <c r="K34" s="20" cm="1">
        <f t="array" ref="K34">IFERROR(_FV(RTData[[#This Row],[Company Name]],"P/E",TRUE),99)</f>
        <v>99</v>
      </c>
      <c r="L34" s="21" cm="1">
        <f t="array" aca="1" ref="L34" ca="1">_FV(RTData[[#This Row],[Company Name]],"Change")</f>
        <v>0.09</v>
      </c>
      <c r="M34" s="22" cm="1">
        <f t="array" aca="1" ref="M34" ca="1">_FV(RTData[[#This Row],[Company Name]],"Change (%)",TRUE)</f>
        <v>2.2499999999999999E-2</v>
      </c>
      <c r="N34" s="19" cm="1">
        <f t="array" aca="1" ref="N34" ca="1">_FV(RTData[[#This Row],[Company Name]],"52 week low",TRUE)</f>
        <v>3.8</v>
      </c>
      <c r="O34" s="19" cm="1">
        <f t="array" aca="1" ref="O34" ca="1">_FV(RTData[[#This Row],[Company Name]],"52 week high",TRUE)</f>
        <v>24.36</v>
      </c>
      <c r="P34" s="23" cm="1">
        <f t="array" aca="1" ref="P34" ca="1">_FV(RTData[[#This Row],[Company Name]],"Volume")</f>
        <v>351507</v>
      </c>
      <c r="Q34" s="23" cm="1">
        <f t="array" aca="1" ref="Q34" ca="1">_FV(RTData[[#This Row],[Company Name]],"Volume average",TRUE)</f>
        <v>260248</v>
      </c>
      <c r="R34" s="19" cm="1">
        <f t="array" aca="1" ref="R34" ca="1">_FV(RTData[[#This Row],[Company Name]],"Beta")</f>
        <v>0.57679999999999998</v>
      </c>
      <c r="T34" t="s">
        <v>20</v>
      </c>
      <c r="U34" t="str" cm="1">
        <f t="array" aca="1" ref="U34" ca="1">_FV(RTData[[#This Row],[Company Name]],"Exchange abbreviation",TRUE)</f>
        <v>XNYS</v>
      </c>
      <c r="V34" s="24">
        <f ca="1">IFERROR(RTData[[#This Row],[Volume]]/RTData[[#This Row],[Volume average]],1)</f>
        <v>1.3506616765546708</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0.85346078347699927</v>
      </c>
      <c r="C35" s="25" t="e" vm="33">
        <v>#VALUE!</v>
      </c>
      <c r="D35" s="17" t="str" cm="1">
        <f t="array" aca="1" ref="D35" ca="1">_FV(RTData[[#This Row],[Company Name]],"Currency")</f>
        <v>USD</v>
      </c>
      <c r="E35" s="18" cm="1">
        <f t="array" aca="1" ref="E35" ca="1">_FV(RTData[[#This Row],[Company Name]],"Last trade time",TRUE)</f>
        <v>45905.998594883597</v>
      </c>
      <c r="F35" s="19" cm="1">
        <f t="array" aca="1" ref="F35" ca="1">_FV(RTData[[#This Row],[Company Name]],"Previous close",TRUE)</f>
        <v>33.58</v>
      </c>
      <c r="G35" s="19" cm="1">
        <f t="array" aca="1" ref="G35" ca="1">_FV(RTData[[#This Row],[Company Name]],"Open")</f>
        <v>34.54</v>
      </c>
      <c r="H35" s="19" cm="1">
        <f t="array" aca="1" ref="H35" ca="1">_FV(RTData[[#This Row],[Company Name]],"Price")</f>
        <v>34.6</v>
      </c>
      <c r="I35" s="19" cm="1">
        <f t="array" aca="1" ref="I35" ca="1">_FV(RTData[[#This Row],[Company Name]],"Low")</f>
        <v>33.72</v>
      </c>
      <c r="J35" s="19" cm="1">
        <f t="array" aca="1" ref="J35" ca="1">_FV(RTData[[#This Row],[Company Name]],"High")</f>
        <v>34.75</v>
      </c>
      <c r="K35" s="20" cm="1">
        <f t="array" aca="1" ref="K35" ca="1">IFERROR(_FV(RTData[[#This Row],[Company Name]],"P/E",TRUE),99)</f>
        <v>24.0228</v>
      </c>
      <c r="L35" s="21" cm="1">
        <f t="array" aca="1" ref="L35" ca="1">_FV(RTData[[#This Row],[Company Name]],"Change")</f>
        <v>1.02</v>
      </c>
      <c r="M35" s="22" cm="1">
        <f t="array" aca="1" ref="M35" ca="1">_FV(RTData[[#This Row],[Company Name]],"Change (%)",TRUE)</f>
        <v>3.0374999999999999E-2</v>
      </c>
      <c r="N35" s="19" cm="1">
        <f t="array" aca="1" ref="N35" ca="1">_FV(RTData[[#This Row],[Company Name]],"52 week low",TRUE)</f>
        <v>18.5</v>
      </c>
      <c r="O35" s="19" cm="1">
        <f t="array" aca="1" ref="O35" ca="1">_FV(RTData[[#This Row],[Company Name]],"52 week high",TRUE)</f>
        <v>35</v>
      </c>
      <c r="P35" s="23" cm="1">
        <f t="array" aca="1" ref="P35" ca="1">_FV(RTData[[#This Row],[Company Name]],"Volume")</f>
        <v>6506900</v>
      </c>
      <c r="Q35" s="23" cm="1">
        <f t="array" aca="1" ref="Q35" ca="1">_FV(RTData[[#This Row],[Company Name]],"Volume average",TRUE)</f>
        <v>5002407</v>
      </c>
      <c r="R35" s="19" cm="1">
        <f t="array" aca="1" ref="R35" ca="1">_FV(RTData[[#This Row],[Company Name]],"Beta")</f>
        <v>0.83379999999999999</v>
      </c>
      <c r="T35" t="s">
        <v>20</v>
      </c>
      <c r="U35" t="str" cm="1">
        <f t="array" aca="1" ref="U35" ca="1">_FV(RTData[[#This Row],[Company Name]],"Exchange abbreviation",TRUE)</f>
        <v>XNYS</v>
      </c>
      <c r="V35" s="24">
        <f ca="1">IFERROR(RTData[[#This Row],[Volume]]/RTData[[#This Row],[Volume average]],1)</f>
        <v>1.300753817112442</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0.85346078347699927</v>
      </c>
      <c r="C36" s="25" t="e" vm="34">
        <v>#VALUE!</v>
      </c>
      <c r="D36" s="17" t="str" cm="1">
        <f t="array" aca="1" ref="D36" ca="1">_FV(RTData[[#This Row],[Company Name]],"Currency")</f>
        <v>USD</v>
      </c>
      <c r="E36" s="18" cm="1">
        <f t="array" aca="1" ref="E36" ca="1">_FV(RTData[[#This Row],[Company Name]],"Last trade time",TRUE)</f>
        <v>45905.934035057813</v>
      </c>
      <c r="F36" s="19" cm="1">
        <f t="array" aca="1" ref="F36" ca="1">_FV(RTData[[#This Row],[Company Name]],"Previous close",TRUE)</f>
        <v>4.42</v>
      </c>
      <c r="G36" s="19" cm="1">
        <f t="array" aca="1" ref="G36" ca="1">_FV(RTData[[#This Row],[Company Name]],"Open")</f>
        <v>4.3600000000000003</v>
      </c>
      <c r="H36" s="19" cm="1">
        <f t="array" aca="1" ref="H36" ca="1">_FV(RTData[[#This Row],[Company Name]],"Price")</f>
        <v>4.12</v>
      </c>
      <c r="I36" s="19" cm="1">
        <f t="array" aca="1" ref="I36" ca="1">_FV(RTData[[#This Row],[Company Name]],"Low")</f>
        <v>4.12</v>
      </c>
      <c r="J36" s="19" cm="1">
        <f t="array" aca="1" ref="J36" ca="1">_FV(RTData[[#This Row],[Company Name]],"High")</f>
        <v>4.3600000000000003</v>
      </c>
      <c r="K36" s="20" cm="1">
        <f t="array" aca="1" ref="K36" ca="1">IFERROR(_FV(RTData[[#This Row],[Company Name]],"P/E",TRUE),99)</f>
        <v>0</v>
      </c>
      <c r="L36" s="21" cm="1">
        <f t="array" aca="1" ref="L36" ca="1">_FV(RTData[[#This Row],[Company Name]],"Change")</f>
        <v>-0.3</v>
      </c>
      <c r="M36" s="22" cm="1">
        <f t="array" aca="1" ref="M36" ca="1">_FV(RTData[[#This Row],[Company Name]],"Change (%)",TRUE)</f>
        <v>-6.7873000000000003E-2</v>
      </c>
      <c r="N36" s="19" cm="1">
        <f t="array" aca="1" ref="N36" ca="1">_FV(RTData[[#This Row],[Company Name]],"52 week low",TRUE)</f>
        <v>3.895</v>
      </c>
      <c r="O36" s="19" cm="1">
        <f t="array" aca="1" ref="O36" ca="1">_FV(RTData[[#This Row],[Company Name]],"52 week high",TRUE)</f>
        <v>9.17</v>
      </c>
      <c r="P36" s="23" cm="1">
        <f t="array" aca="1" ref="P36" ca="1">_FV(RTData[[#This Row],[Company Name]],"Volume")</f>
        <v>33186</v>
      </c>
      <c r="Q36" s="23" cm="1">
        <f t="array" aca="1" ref="Q36" ca="1">_FV(RTData[[#This Row],[Company Name]],"Volume average",TRUE)</f>
        <v>137615</v>
      </c>
      <c r="R36" s="19" cm="1">
        <f t="array" aca="1" ref="R36" ca="1">_FV(RTData[[#This Row],[Company Name]],"Beta")</f>
        <v>0.31080000000000002</v>
      </c>
      <c r="T36" t="s">
        <v>20</v>
      </c>
      <c r="U36" t="str" cm="1">
        <f t="array" aca="1" ref="U36" ca="1">_FV(RTData[[#This Row],[Company Name]],"Exchange abbreviation",TRUE)</f>
        <v>XNAS</v>
      </c>
      <c r="V36" s="24">
        <f ca="1">IFERROR(RTData[[#This Row],[Volume]]/RTData[[#This Row],[Volume average]],1)</f>
        <v>0.24115103731424628</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0.61716965993951733</v>
      </c>
      <c r="C37" s="113" t="e" vm="35">
        <v>#VALUE!</v>
      </c>
      <c r="D37" s="17" t="str" cm="1">
        <f t="array" aca="1" ref="D37" ca="1">_FV(RTData[[#This Row],[Company Name]],"Currency")</f>
        <v>USD</v>
      </c>
      <c r="E37" s="18" cm="1">
        <f t="array" aca="1" ref="E37" ca="1">_FV(RTData[[#This Row],[Company Name]],"Last trade time",TRUE)</f>
        <v>45905.99641021953</v>
      </c>
      <c r="F37" s="37" cm="1">
        <f t="array" aca="1" ref="F37" ca="1">_FV(RTData[[#This Row],[Company Name]],"Previous close",TRUE)</f>
        <v>5.2549999999999999</v>
      </c>
      <c r="G37" s="37" cm="1">
        <f t="array" aca="1" ref="G37" ca="1">_FV(RTData[[#This Row],[Company Name]],"Open")</f>
        <v>5.3</v>
      </c>
      <c r="H37" s="37" cm="1">
        <f t="array" aca="1" ref="H37" ca="1">_FV(RTData[[#This Row],[Company Name]],"Price")</f>
        <v>5.28</v>
      </c>
      <c r="I37" s="37" cm="1">
        <f t="array" aca="1" ref="I37" ca="1">_FV(RTData[[#This Row],[Company Name]],"Low")</f>
        <v>5.15</v>
      </c>
      <c r="J37" s="37" cm="1">
        <f t="array" aca="1" ref="J37" ca="1">_FV(RTData[[#This Row],[Company Name]],"High")</f>
        <v>5.33</v>
      </c>
      <c r="K37" s="20" cm="1">
        <f t="array" aca="1" ref="K37" ca="1">IFERROR(_FV(RTData[[#This Row],[Company Name]],"P/E",TRUE),99)</f>
        <v>0</v>
      </c>
      <c r="L37" s="21" cm="1">
        <f t="array" aca="1" ref="L37" ca="1">_FV(RTData[[#This Row],[Company Name]],"Change")</f>
        <v>2.5000000000000001E-2</v>
      </c>
      <c r="M37" s="22" cm="1">
        <f t="array" aca="1" ref="M37" ca="1">_FV(RTData[[#This Row],[Company Name]],"Change (%)",TRUE)</f>
        <v>4.7569999999999999E-3</v>
      </c>
      <c r="N37" s="37" cm="1">
        <f t="array" aca="1" ref="N37" ca="1">_FV(RTData[[#This Row],[Company Name]],"52 week low",TRUE)</f>
        <v>2.625</v>
      </c>
      <c r="O37" s="37" cm="1">
        <f t="array" aca="1" ref="O37" ca="1">_FV(RTData[[#This Row],[Company Name]],"52 week high",TRUE)</f>
        <v>7.79</v>
      </c>
      <c r="P37" s="23" cm="1">
        <f t="array" aca="1" ref="P37" ca="1">_FV(RTData[[#This Row],[Company Name]],"Volume")</f>
        <v>505111</v>
      </c>
      <c r="Q37" s="23" cm="1">
        <f t="array" aca="1" ref="Q37" ca="1">_FV(RTData[[#This Row],[Company Name]],"Volume average",TRUE)</f>
        <v>1424264</v>
      </c>
      <c r="R37" s="19" cm="1">
        <f t="array" aca="1" ref="R37" ca="1">_FV(RTData[[#This Row],[Company Name]],"Beta")</f>
        <v>0.38179999999999997</v>
      </c>
      <c r="T37" t="s">
        <v>20</v>
      </c>
      <c r="U37" t="str" cm="1">
        <f t="array" aca="1" ref="U37" ca="1">_FV(RTData[[#This Row],[Company Name]],"Exchange abbreviation",TRUE)</f>
        <v>XNAS</v>
      </c>
      <c r="V37" s="24">
        <f ca="1">IFERROR(RTData[[#This Row],[Volume]]/RTData[[#This Row],[Volume average]],1)</f>
        <v>0.3546470317300725</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0.85346078347699927</v>
      </c>
      <c r="C38" s="25" t="e" vm="36">
        <v>#VALUE!</v>
      </c>
      <c r="D38" s="17" t="str" cm="1">
        <f t="array" aca="1" ref="D38" ca="1">_FV(RTData[[#This Row],[Company Name]],"Currency")</f>
        <v>USD</v>
      </c>
      <c r="E38" s="18" cm="1">
        <f t="array" aca="1" ref="E38" ca="1">_FV(RTData[[#This Row],[Company Name]],"Last trade time",TRUE)</f>
        <v>45905.965074582811</v>
      </c>
      <c r="F38" s="19" cm="1">
        <f t="array" aca="1" ref="F38" ca="1">_FV(RTData[[#This Row],[Company Name]],"Previous close",TRUE)</f>
        <v>0.86219999999999997</v>
      </c>
      <c r="G38" s="19" cm="1">
        <f t="array" aca="1" ref="G38" ca="1">_FV(RTData[[#This Row],[Company Name]],"Open")</f>
        <v>0.87</v>
      </c>
      <c r="H38" s="19" cm="1">
        <f t="array" aca="1" ref="H38" ca="1">_FV(RTData[[#This Row],[Company Name]],"Price")</f>
        <v>1</v>
      </c>
      <c r="I38" s="19" cm="1">
        <f t="array" aca="1" ref="I38" ca="1">_FV(RTData[[#This Row],[Company Name]],"Low")</f>
        <v>0.84009999999999996</v>
      </c>
      <c r="J38" s="19" cm="1">
        <f t="array" aca="1" ref="J38" ca="1">_FV(RTData[[#This Row],[Company Name]],"High")</f>
        <v>1.05</v>
      </c>
      <c r="K38" s="20" cm="1">
        <f t="array" ref="K38">IFERROR(_FV(RTData[[#This Row],[Company Name]],"P/E",TRUE),99)</f>
        <v>99</v>
      </c>
      <c r="L38" s="21" cm="1">
        <f t="array" aca="1" ref="L38" ca="1">_FV(RTData[[#This Row],[Company Name]],"Change")</f>
        <v>0.13780000000000001</v>
      </c>
      <c r="M38" s="22" cm="1">
        <f t="array" aca="1" ref="M38" ca="1">_FV(RTData[[#This Row],[Company Name]],"Change (%)",TRUE)</f>
        <v>0.15982399999999999</v>
      </c>
      <c r="N38" s="19" cm="1">
        <f t="array" aca="1" ref="N38" ca="1">_FV(RTData[[#This Row],[Company Name]],"52 week low",TRUE)</f>
        <v>0.63</v>
      </c>
      <c r="O38" s="19" cm="1">
        <f t="array" aca="1" ref="O38" ca="1">_FV(RTData[[#This Row],[Company Name]],"52 week high",TRUE)</f>
        <v>2.75</v>
      </c>
      <c r="P38" s="23" cm="1">
        <f t="array" aca="1" ref="P38" ca="1">_FV(RTData[[#This Row],[Company Name]],"Volume")</f>
        <v>252487</v>
      </c>
      <c r="Q38" s="23" cm="1">
        <f t="array" aca="1" ref="Q38" ca="1">_FV(RTData[[#This Row],[Company Name]],"Volume average",TRUE)</f>
        <v>146306</v>
      </c>
      <c r="R38" s="19" cm="1">
        <f t="array" aca="1" ref="R38" ca="1">_FV(RTData[[#This Row],[Company Name]],"Beta")</f>
        <v>1.5354000000000001</v>
      </c>
      <c r="T38" t="s">
        <v>20</v>
      </c>
      <c r="U38" t="str" cm="1">
        <f t="array" aca="1" ref="U38" ca="1">_FV(RTData[[#This Row],[Company Name]],"Exchange abbreviation",TRUE)</f>
        <v>XNYS</v>
      </c>
      <c r="V38" s="24">
        <f ca="1">IFERROR(RTData[[#This Row],[Volume]]/RTData[[#This Row],[Volume average]],1)</f>
        <v>1.7257460391234809</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0.85346078347699927</v>
      </c>
      <c r="C39" s="25" t="e" vm="37">
        <v>#VALUE!</v>
      </c>
      <c r="D39" s="17" t="str" cm="1">
        <f t="array" aca="1" ref="D39" ca="1">_FV(RTData[[#This Row],[Company Name]],"Currency")</f>
        <v>USD</v>
      </c>
      <c r="E39" s="18" cm="1">
        <f t="array" aca="1" ref="E39" ca="1">_FV(RTData[[#This Row],[Company Name]],"Last trade time",TRUE)</f>
        <v>45905.963821700781</v>
      </c>
      <c r="F39" s="19" cm="1">
        <f t="array" aca="1" ref="F39" ca="1">_FV(RTData[[#This Row],[Company Name]],"Previous close",TRUE)</f>
        <v>40.130000000000003</v>
      </c>
      <c r="G39" s="19" cm="1">
        <f t="array" aca="1" ref="G39" ca="1">_FV(RTData[[#This Row],[Company Name]],"Open")</f>
        <v>40.31</v>
      </c>
      <c r="H39" s="19" cm="1">
        <f t="array" aca="1" ref="H39" ca="1">_FV(RTData[[#This Row],[Company Name]],"Price")</f>
        <v>41.34</v>
      </c>
      <c r="I39" s="19" cm="1">
        <f t="array" aca="1" ref="I39" ca="1">_FV(RTData[[#This Row],[Company Name]],"Low")</f>
        <v>39.35</v>
      </c>
      <c r="J39" s="19" cm="1">
        <f t="array" aca="1" ref="J39" ca="1">_FV(RTData[[#This Row],[Company Name]],"High")</f>
        <v>41.35</v>
      </c>
      <c r="K39" s="20" cm="1">
        <f t="array" aca="1" ref="K39" ca="1">IFERROR(_FV(RTData[[#This Row],[Company Name]],"P/E",TRUE),99)</f>
        <v>7.4108999999999998</v>
      </c>
      <c r="L39" s="21" cm="1">
        <f t="array" aca="1" ref="L39" ca="1">_FV(RTData[[#This Row],[Company Name]],"Change")</f>
        <v>1.21</v>
      </c>
      <c r="M39" s="22" cm="1">
        <f t="array" aca="1" ref="M39" ca="1">_FV(RTData[[#This Row],[Company Name]],"Change (%)",TRUE)</f>
        <v>3.0152000000000002E-2</v>
      </c>
      <c r="N39" s="19" cm="1">
        <f t="array" aca="1" ref="N39" ca="1">_FV(RTData[[#This Row],[Company Name]],"52 week low",TRUE)</f>
        <v>12.66</v>
      </c>
      <c r="O39" s="19" cm="1">
        <f t="array" aca="1" ref="O39" ca="1">_FV(RTData[[#This Row],[Company Name]],"52 week high",TRUE)</f>
        <v>43.7181</v>
      </c>
      <c r="P39" s="23" cm="1">
        <f t="array" aca="1" ref="P39" ca="1">_FV(RTData[[#This Row],[Company Name]],"Volume")</f>
        <v>466972</v>
      </c>
      <c r="Q39" s="23" cm="1">
        <f t="array" aca="1" ref="Q39" ca="1">_FV(RTData[[#This Row],[Company Name]],"Volume average",TRUE)</f>
        <v>882309</v>
      </c>
      <c r="R39" s="19" cm="1">
        <f t="array" aca="1" ref="R39" ca="1">_FV(RTData[[#This Row],[Company Name]],"Beta")</f>
        <v>1.2593000000000001</v>
      </c>
      <c r="T39" t="s">
        <v>20</v>
      </c>
      <c r="U39" t="str" cm="1">
        <f t="array" aca="1" ref="U39" ca="1">_FV(RTData[[#This Row],[Company Name]],"Exchange abbreviation",TRUE)</f>
        <v>XNAS</v>
      </c>
      <c r="V39" s="24">
        <f ca="1">IFERROR(RTData[[#This Row],[Volume]]/RTData[[#This Row],[Volume average]],1)</f>
        <v>0.52926129054560256</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45905.770833333336</v>
      </c>
      <c r="F40" s="29" cm="1">
        <f t="array" aca="1" ref="F40" ca="1">_FV(RTData[[#This Row],[Company Name]],"Previous close",TRUE)</f>
        <v>34.659999999999997</v>
      </c>
      <c r="G40" s="29" cm="1">
        <f t="array" aca="1" ref="G40" ca="1">_FV(RTData[[#This Row],[Company Name]],"Open")</f>
        <v>34.68</v>
      </c>
      <c r="H40" s="29" cm="1">
        <f t="array" aca="1" ref="H40" ca="1">_FV(RTData[[#This Row],[Company Name]],"Price")</f>
        <v>35.020000000000003</v>
      </c>
      <c r="I40" s="29" cm="1">
        <f t="array" aca="1" ref="I40" ca="1">_FV(RTData[[#This Row],[Company Name]],"Low")</f>
        <v>34.61</v>
      </c>
      <c r="J40" s="29" cm="1">
        <f t="array" aca="1" ref="J40" ca="1">_FV(RTData[[#This Row],[Company Name]],"High")</f>
        <v>35.159999999999997</v>
      </c>
      <c r="K40" s="20" cm="1">
        <f t="array" aca="1" ref="K40" ca="1">IFERROR(_FV(RTData[[#This Row],[Company Name]],"P/E",TRUE),99)</f>
        <v>9.9192999999999998</v>
      </c>
      <c r="L40" s="21" cm="1">
        <f t="array" aca="1" ref="L40" ca="1">_FV(RTData[[#This Row],[Company Name]],"Change")</f>
        <v>0.36</v>
      </c>
      <c r="M40" s="22" cm="1">
        <f t="array" aca="1" ref="M40" ca="1">_FV(RTData[[#This Row],[Company Name]],"Change (%)",TRUE)</f>
        <v>1.0387E-2</v>
      </c>
      <c r="N40" s="29" cm="1">
        <f t="array" aca="1" ref="N40" ca="1">_FV(RTData[[#This Row],[Company Name]],"52 week low",TRUE)</f>
        <v>27.76</v>
      </c>
      <c r="O40" s="29" cm="1">
        <f t="array" aca="1" ref="O40" ca="1">_FV(RTData[[#This Row],[Company Name]],"52 week high",TRUE)</f>
        <v>37.78</v>
      </c>
      <c r="P40" s="23" cm="1">
        <f t="array" aca="1" ref="P40" ca="1">_FV(RTData[[#This Row],[Company Name]],"Volume")</f>
        <v>1530268</v>
      </c>
      <c r="Q40" s="23" cm="1">
        <f t="array" aca="1" ref="Q40" ca="1">_FV(RTData[[#This Row],[Company Name]],"Volume average",TRUE)</f>
        <v>1236220</v>
      </c>
      <c r="R40" s="19" cm="1">
        <f t="array" aca="1" ref="R40" ca="1">_FV(RTData[[#This Row],[Company Name]],"Beta")</f>
        <v>0.48559999999999998</v>
      </c>
      <c r="T40" t="s">
        <v>20</v>
      </c>
      <c r="U40" t="str" cm="1">
        <f t="array" aca="1" ref="U40" ca="1">_FV(RTData[[#This Row],[Company Name]],"Exchange abbreviation",TRUE)</f>
        <v>XETR</v>
      </c>
      <c r="V40" s="24">
        <f ca="1">IFERROR(RTData[[#This Row],[Volume]]/RTData[[#This Row],[Volume average]],1)</f>
        <v>1.2378605749785636</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45905.770833333336</v>
      </c>
      <c r="F41" s="29" cm="1">
        <f t="array" aca="1" ref="F41" ca="1">_FV(RTData[[#This Row],[Company Name]],"Previous close",TRUE)</f>
        <v>233.2</v>
      </c>
      <c r="G41" s="29" cm="1">
        <f t="array" aca="1" ref="G41" ca="1">_FV(RTData[[#This Row],[Company Name]],"Open")</f>
        <v>233.4</v>
      </c>
      <c r="H41" s="29" cm="1">
        <f t="array" aca="1" ref="H41" ca="1">_FV(RTData[[#This Row],[Company Name]],"Price")</f>
        <v>228.25</v>
      </c>
      <c r="I41" s="29" cm="1">
        <f t="array" aca="1" ref="I41" ca="1">_FV(RTData[[#This Row],[Company Name]],"Low")</f>
        <v>227.9</v>
      </c>
      <c r="J41" s="29" cm="1">
        <f t="array" aca="1" ref="J41" ca="1">_FV(RTData[[#This Row],[Company Name]],"High")</f>
        <v>233.6</v>
      </c>
      <c r="K41" s="20" cm="1">
        <f t="array" aca="1" ref="K41" ca="1">IFERROR(_FV(RTData[[#This Row],[Company Name]],"P/E",TRUE),99)</f>
        <v>41.636899999999997</v>
      </c>
      <c r="L41" s="21" cm="1">
        <f t="array" aca="1" ref="L41" ca="1">_FV(RTData[[#This Row],[Company Name]],"Change")</f>
        <v>-4.95</v>
      </c>
      <c r="M41" s="22" cm="1">
        <f t="array" aca="1" ref="M41" ca="1">_FV(RTData[[#This Row],[Company Name]],"Change (%)",TRUE)</f>
        <v>-2.1225999999999998E-2</v>
      </c>
      <c r="N41" s="29" cm="1">
        <f t="array" aca="1" ref="N41" ca="1">_FV(RTData[[#This Row],[Company Name]],"52 week low",TRUE)</f>
        <v>190.04</v>
      </c>
      <c r="O41" s="29" cm="1">
        <f t="array" aca="1" ref="O41" ca="1">_FV(RTData[[#This Row],[Company Name]],"52 week high",TRUE)</f>
        <v>283.5</v>
      </c>
      <c r="P41" s="23" cm="1">
        <f t="array" aca="1" ref="P41" ca="1">_FV(RTData[[#This Row],[Company Name]],"Volume")</f>
        <v>1272378</v>
      </c>
      <c r="Q41" s="23" cm="1">
        <f t="array" aca="1" ref="Q41" ca="1">_FV(RTData[[#This Row],[Company Name]],"Volume average",TRUE)</f>
        <v>1123750</v>
      </c>
      <c r="R41" s="29" cm="1">
        <f t="array" aca="1" ref="R41" ca="1">_FV(RTData[[#This Row],[Company Name]],"Beta")</f>
        <v>1.1692</v>
      </c>
      <c r="T41" t="s">
        <v>20</v>
      </c>
      <c r="U41" t="str" cm="1">
        <f t="array" aca="1" ref="U41" ca="1">_FV(RTData[[#This Row],[Company Name]],"Exchange abbreviation",TRUE)</f>
        <v>XETR</v>
      </c>
      <c r="V41" s="24">
        <f ca="1">IFERROR(RTData[[#This Row],[Volume]]/RTData[[#This Row],[Volume average]],1)</f>
        <v>1.1322607341490545</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0.85346078347699927</v>
      </c>
      <c r="C42" s="25" t="e" vm="40">
        <v>#VALUE!</v>
      </c>
      <c r="D42" s="17" t="str" cm="1">
        <f t="array" aca="1" ref="D42" ca="1">_FV(RTData[[#This Row],[Company Name]],"Currency")</f>
        <v>USD</v>
      </c>
      <c r="E42" s="18" cm="1">
        <f t="array" aca="1" ref="E42" ca="1">_FV(RTData[[#This Row],[Company Name]],"Last trade time",TRUE)</f>
        <v>45906.006944444445</v>
      </c>
      <c r="F42" s="19" cm="1">
        <f t="array" aca="1" ref="F42" ca="1">_FV(RTData[[#This Row],[Company Name]],"Previous close",TRUE)</f>
        <v>14.91</v>
      </c>
      <c r="G42" s="19" cm="1">
        <f t="array" aca="1" ref="G42" ca="1">_FV(RTData[[#This Row],[Company Name]],"Open")</f>
        <v>14.71</v>
      </c>
      <c r="H42" s="19" cm="1">
        <f t="array" aca="1" ref="H42" ca="1">_FV(RTData[[#This Row],[Company Name]],"Price")</f>
        <v>14.83</v>
      </c>
      <c r="I42" s="19" cm="1">
        <f t="array" aca="1" ref="I42" ca="1">_FV(RTData[[#This Row],[Company Name]],"Low")</f>
        <v>14.7</v>
      </c>
      <c r="J42" s="19" cm="1">
        <f t="array" aca="1" ref="J42" ca="1">_FV(RTData[[#This Row],[Company Name]],"High")</f>
        <v>15.44</v>
      </c>
      <c r="K42" s="20" cm="1">
        <f t="array" aca="1" ref="K42" ca="1">IFERROR(_FV(RTData[[#This Row],[Company Name]],"P/E",TRUE),99)</f>
        <v>0</v>
      </c>
      <c r="L42" s="21" cm="1">
        <f t="array" aca="1" ref="L42" ca="1">_FV(RTData[[#This Row],[Company Name]],"Change")</f>
        <v>-0.08</v>
      </c>
      <c r="M42" s="22" cm="1">
        <f t="array" aca="1" ref="M42" ca="1">_FV(RTData[[#This Row],[Company Name]],"Change (%)",TRUE)</f>
        <v>-5.3659999999999992E-3</v>
      </c>
      <c r="N42" s="19" cm="1">
        <f t="array" aca="1" ref="N42" ca="1">_FV(RTData[[#This Row],[Company Name]],"52 week low",TRUE)</f>
        <v>11.88</v>
      </c>
      <c r="O42" s="19" cm="1">
        <f t="array" aca="1" ref="O42" ca="1">_FV(RTData[[#This Row],[Company Name]],"52 week high",TRUE)</f>
        <v>21.74</v>
      </c>
      <c r="P42" s="23" cm="1">
        <f t="array" aca="1" ref="P42" ca="1">_FV(RTData[[#This Row],[Company Name]],"Volume")</f>
        <v>219219</v>
      </c>
      <c r="Q42" s="23" cm="1">
        <f t="array" aca="1" ref="Q42" ca="1">_FV(RTData[[#This Row],[Company Name]],"Volume average",TRUE)</f>
        <v>6910990</v>
      </c>
      <c r="R42" s="19" cm="1">
        <f t="array" aca="1" ref="R42" ca="1">_FV(RTData[[#This Row],[Company Name]],"Beta")</f>
        <v>1.4826999999999999</v>
      </c>
      <c r="T42" t="s">
        <v>20</v>
      </c>
      <c r="U42" t="str" cm="1">
        <f t="array" aca="1" ref="U42" ca="1">_FV(RTData[[#This Row],[Company Name]],"Exchange abbreviation",TRUE)</f>
        <v>OTCM</v>
      </c>
      <c r="V42" s="24">
        <f ca="1">IFERROR(RTData[[#This Row],[Volume]]/RTData[[#This Row],[Volume average]],1)</f>
        <v>3.1720346867814886E-2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0.85346078347699927</v>
      </c>
      <c r="C43" s="25" t="e" vm="41">
        <v>#VALUE!</v>
      </c>
      <c r="D43" s="17" t="str" cm="1">
        <f t="array" aca="1" ref="D43" ca="1">_FV(RTData[[#This Row],[Company Name]],"Currency")</f>
        <v>USD</v>
      </c>
      <c r="E43" s="18" cm="1">
        <f t="array" aca="1" ref="E43" ca="1">_FV(RTData[[#This Row],[Company Name]],"Last trade time",TRUE)</f>
        <v>45905.9929346875</v>
      </c>
      <c r="F43" s="19" cm="1">
        <f t="array" aca="1" ref="F43" ca="1">_FV(RTData[[#This Row],[Company Name]],"Previous close",TRUE)</f>
        <v>10.18</v>
      </c>
      <c r="G43" s="19" cm="1">
        <f t="array" aca="1" ref="G43" ca="1">_FV(RTData[[#This Row],[Company Name]],"Open")</f>
        <v>10.220000000000001</v>
      </c>
      <c r="H43" s="19" cm="1">
        <f t="array" aca="1" ref="H43" ca="1">_FV(RTData[[#This Row],[Company Name]],"Price")</f>
        <v>10.24</v>
      </c>
      <c r="I43" s="19" cm="1">
        <f t="array" aca="1" ref="I43" ca="1">_FV(RTData[[#This Row],[Company Name]],"Low")</f>
        <v>10.029999999999999</v>
      </c>
      <c r="J43" s="19" cm="1">
        <f t="array" aca="1" ref="J43" ca="1">_FV(RTData[[#This Row],[Company Name]],"High")</f>
        <v>10.34</v>
      </c>
      <c r="K43" s="20" cm="1">
        <f t="array" aca="1" ref="K43" ca="1">IFERROR(_FV(RTData[[#This Row],[Company Name]],"P/E",TRUE),99)</f>
        <v>0</v>
      </c>
      <c r="L43" s="21" cm="1">
        <f t="array" aca="1" ref="L43" ca="1">_FV(RTData[[#This Row],[Company Name]],"Change")</f>
        <v>0.06</v>
      </c>
      <c r="M43" s="22" cm="1">
        <f t="array" aca="1" ref="M43" ca="1">_FV(RTData[[#This Row],[Company Name]],"Change (%)",TRUE)</f>
        <v>5.8939999999999999E-3</v>
      </c>
      <c r="N43" s="19" cm="1">
        <f t="array" aca="1" ref="N43" ca="1">_FV(RTData[[#This Row],[Company Name]],"52 week low",TRUE)</f>
        <v>6.08</v>
      </c>
      <c r="O43" s="19" cm="1">
        <f t="array" aca="1" ref="O43" ca="1">_FV(RTData[[#This Row],[Company Name]],"52 week high",TRUE)</f>
        <v>12.88</v>
      </c>
      <c r="P43" s="23" cm="1">
        <f t="array" aca="1" ref="P43" ca="1">_FV(RTData[[#This Row],[Company Name]],"Volume")</f>
        <v>504895</v>
      </c>
      <c r="Q43" s="23" cm="1">
        <f t="array" aca="1" ref="Q43" ca="1">_FV(RTData[[#This Row],[Company Name]],"Volume average",TRUE)</f>
        <v>1114315</v>
      </c>
      <c r="R43" s="19" cm="1">
        <f t="array" aca="1" ref="R43" ca="1">_FV(RTData[[#This Row],[Company Name]],"Beta")</f>
        <v>1.5936999999999999</v>
      </c>
      <c r="T43" t="s">
        <v>20</v>
      </c>
      <c r="U43" t="str" cm="1">
        <f t="array" aca="1" ref="U43" ca="1">_FV(RTData[[#This Row],[Company Name]],"Exchange abbreviation",TRUE)</f>
        <v>XNAS</v>
      </c>
      <c r="V43" s="24">
        <f ca="1">IFERROR(RTData[[#This Row],[Volume]]/RTData[[#This Row],[Volume average]],1)</f>
        <v>0.45309898906503099</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0.85346078347699927</v>
      </c>
      <c r="C44" s="25" t="e" vm="42">
        <v>#VALUE!</v>
      </c>
      <c r="D44" s="17" t="str" cm="1">
        <f t="array" aca="1" ref="D44" ca="1">_FV(RTData[[#This Row],[Company Name]],"Currency")</f>
        <v>USD</v>
      </c>
      <c r="E44" s="18" cm="1">
        <f t="array" aca="1" ref="E44" ca="1">_FV(RTData[[#This Row],[Company Name]],"Last trade time",TRUE)</f>
        <v>45905.999999467189</v>
      </c>
      <c r="F44" s="19" cm="1">
        <f t="array" aca="1" ref="F44" ca="1">_FV(RTData[[#This Row],[Company Name]],"Previous close",TRUE)</f>
        <v>338.53</v>
      </c>
      <c r="G44" s="19" cm="1">
        <f t="array" aca="1" ref="G44" ca="1">_FV(RTData[[#This Row],[Company Name]],"Open")</f>
        <v>348</v>
      </c>
      <c r="H44" s="19" cm="1">
        <f t="array" aca="1" ref="H44" ca="1">_FV(RTData[[#This Row],[Company Name]],"Price")</f>
        <v>350.84</v>
      </c>
      <c r="I44" s="19" cm="1">
        <f t="array" aca="1" ref="I44" ca="1">_FV(RTData[[#This Row],[Company Name]],"Low")</f>
        <v>344.68009999999998</v>
      </c>
      <c r="J44" s="19" cm="1">
        <f t="array" aca="1" ref="J44" ca="1">_FV(RTData[[#This Row],[Company Name]],"High")</f>
        <v>355.87</v>
      </c>
      <c r="K44" s="20" cm="1">
        <f t="array" aca="1" ref="K44" ca="1">IFERROR(_FV(RTData[[#This Row],[Company Name]],"P/E",TRUE),99)</f>
        <v>188.65289999999999</v>
      </c>
      <c r="L44" s="21" cm="1">
        <f t="array" aca="1" ref="L44" ca="1">_FV(RTData[[#This Row],[Company Name]],"Change")</f>
        <v>12.31</v>
      </c>
      <c r="M44" s="22" cm="1">
        <f t="array" aca="1" ref="M44" ca="1">_FV(RTData[[#This Row],[Company Name]],"Change (%)",TRUE)</f>
        <v>3.6362999999999999E-2</v>
      </c>
      <c r="N44" s="19" cm="1">
        <f t="array" aca="1" ref="N44" ca="1">_FV(RTData[[#This Row],[Company Name]],"52 week low",TRUE)</f>
        <v>210.51</v>
      </c>
      <c r="O44" s="19" cm="1">
        <f t="array" aca="1" ref="O44" ca="1">_FV(RTData[[#This Row],[Company Name]],"52 week high",TRUE)</f>
        <v>488.53989999999999</v>
      </c>
      <c r="P44" s="23" cm="1">
        <f t="array" aca="1" ref="P44" ca="1">_FV(RTData[[#This Row],[Company Name]],"Volume")</f>
        <v>108989785</v>
      </c>
      <c r="Q44" s="23" cm="1">
        <f t="array" aca="1" ref="Q44" ca="1">_FV(RTData[[#This Row],[Company Name]],"Volume average",TRUE)</f>
        <v>75858825</v>
      </c>
      <c r="R44" s="19" cm="1">
        <f t="array" aca="1" ref="R44" ca="1">_FV(RTData[[#This Row],[Company Name]],"Beta")</f>
        <v>2.0363000000000002</v>
      </c>
      <c r="T44" t="s">
        <v>20</v>
      </c>
      <c r="U44" t="str" cm="1">
        <f t="array" aca="1" ref="U44" ca="1">_FV(RTData[[#This Row],[Company Name]],"Exchange abbreviation",TRUE)</f>
        <v>XNAS</v>
      </c>
      <c r="V44" s="24">
        <f ca="1">IFERROR(RTData[[#This Row],[Volume]]/RTData[[#This Row],[Volume average]],1)</f>
        <v>1.4367449667194292</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0.85346078347699927</v>
      </c>
      <c r="C45" s="25" t="e" vm="43">
        <v>#VALUE!</v>
      </c>
      <c r="D45" s="17" t="str" cm="1">
        <f t="array" aca="1" ref="D45" ca="1">_FV(RTData[[#This Row],[Company Name]],"Currency")</f>
        <v>USD</v>
      </c>
      <c r="E45" s="18" cm="1">
        <f t="array" aca="1" ref="E45" ca="1">_FV(RTData[[#This Row],[Company Name]],"Last trade time",TRUE)</f>
        <v>45905.999615103909</v>
      </c>
      <c r="F45" s="19" cm="1">
        <f t="array" aca="1" ref="F45" ca="1">_FV(RTData[[#This Row],[Company Name]],"Previous close",TRUE)</f>
        <v>235.21</v>
      </c>
      <c r="G45" s="19" cm="1">
        <f t="array" aca="1" ref="G45" ca="1">_FV(RTData[[#This Row],[Company Name]],"Open")</f>
        <v>240.24</v>
      </c>
      <c r="H45" s="19" cm="1">
        <f t="array" aca="1" ref="H45" ca="1">_FV(RTData[[#This Row],[Company Name]],"Price")</f>
        <v>243.41</v>
      </c>
      <c r="I45" s="19" cm="1">
        <f t="array" aca="1" ref="I45" ca="1">_FV(RTData[[#This Row],[Company Name]],"Low")</f>
        <v>237.9</v>
      </c>
      <c r="J45" s="19" cm="1">
        <f t="array" aca="1" ref="J45" ca="1">_FV(RTData[[#This Row],[Company Name]],"High")</f>
        <v>244.55</v>
      </c>
      <c r="K45" s="20" cm="1">
        <f t="array" aca="1" ref="K45" ca="1">IFERROR(_FV(RTData[[#This Row],[Company Name]],"P/E",TRUE),99)</f>
        <v>25.232700000000001</v>
      </c>
      <c r="L45" s="21" cm="1">
        <f t="array" aca="1" ref="L45" ca="1">_FV(RTData[[#This Row],[Company Name]],"Change")</f>
        <v>8.1999999999999993</v>
      </c>
      <c r="M45" s="22" cm="1">
        <f t="array" aca="1" ref="M45" ca="1">_FV(RTData[[#This Row],[Company Name]],"Change (%)",TRUE)</f>
        <v>3.4862000000000004E-2</v>
      </c>
      <c r="N45" s="19" cm="1">
        <f t="array" aca="1" ref="N45" ca="1">_FV(RTData[[#This Row],[Company Name]],"52 week low",TRUE)</f>
        <v>134.25</v>
      </c>
      <c r="O45" s="19" cm="1">
        <f t="array" aca="1" ref="O45" ca="1">_FV(RTData[[#This Row],[Company Name]],"52 week high",TRUE)</f>
        <v>248.28</v>
      </c>
      <c r="P45" s="23" cm="1">
        <f t="array" aca="1" ref="P45" ca="1">_FV(RTData[[#This Row],[Company Name]],"Volume")</f>
        <v>14056566</v>
      </c>
      <c r="Q45" s="23" cm="1">
        <f t="array" aca="1" ref="Q45" ca="1">_FV(RTData[[#This Row],[Company Name]],"Volume average",TRUE)</f>
        <v>10424150</v>
      </c>
      <c r="R45" s="19" cm="1">
        <f t="array" aca="1" ref="R45" ca="1">_FV(RTData[[#This Row],[Company Name]],"Beta")</f>
        <v>1.2607999999999999</v>
      </c>
      <c r="T45" t="s">
        <v>20</v>
      </c>
      <c r="U45" t="str" cm="1">
        <f t="array" aca="1" ref="U45" ca="1">_FV(RTData[[#This Row],[Company Name]],"Exchange abbreviation",TRUE)</f>
        <v>XNYS</v>
      </c>
      <c r="V45" s="24">
        <f ca="1">IFERROR(RTData[[#This Row],[Volume]]/RTData[[#This Row],[Volume average]],1)</f>
        <v>1.3484616011857082</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45905.836805555555</v>
      </c>
      <c r="F46" s="29" cm="1">
        <f t="array" aca="1" ref="F46" ca="1">_FV(RTData[[#This Row],[Company Name]],"Previous close",TRUE)</f>
        <v>35.799999999999997</v>
      </c>
      <c r="G46" s="29" cm="1">
        <f t="array" aca="1" ref="G46" ca="1">_FV(RTData[[#This Row],[Company Name]],"Open")</f>
        <v>36.25</v>
      </c>
      <c r="H46" s="29" cm="1">
        <f t="array" aca="1" ref="H46" ca="1">_FV(RTData[[#This Row],[Company Name]],"Price")</f>
        <v>35.450000000000003</v>
      </c>
      <c r="I46" s="29" cm="1">
        <f t="array" aca="1" ref="I46" ca="1">_FV(RTData[[#This Row],[Company Name]],"Low")</f>
        <v>35.450000000000003</v>
      </c>
      <c r="J46" s="29" cm="1">
        <f t="array" aca="1" ref="J46" ca="1">_FV(RTData[[#This Row],[Company Name]],"High")</f>
        <v>36.6</v>
      </c>
      <c r="K46" s="20" cm="1">
        <f t="array" ref="K46">IFERROR(_FV(RTData[[#This Row],[Company Name]],"P/E",TRUE),99)</f>
        <v>99</v>
      </c>
      <c r="L46" s="21" cm="1">
        <f t="array" aca="1" ref="L46" ca="1">_FV(RTData[[#This Row],[Company Name]],"Change")</f>
        <v>-0.35</v>
      </c>
      <c r="M46" s="22" cm="1">
        <f t="array" aca="1" ref="M46" ca="1">_FV(RTData[[#This Row],[Company Name]],"Change (%)",TRUE)</f>
        <v>-9.777000000000001E-3</v>
      </c>
      <c r="N46" s="29" cm="1">
        <f t="array" aca="1" ref="N46" ca="1">_FV(RTData[[#This Row],[Company Name]],"52 week low",TRUE)</f>
        <v>2.1</v>
      </c>
      <c r="O46" s="29" cm="1">
        <f t="array" aca="1" ref="O46" ca="1">_FV(RTData[[#This Row],[Company Name]],"52 week high",TRUE)</f>
        <v>73.5</v>
      </c>
      <c r="P46" s="23" cm="1">
        <f t="array" aca="1" ref="P46" ca="1">_FV(RTData[[#This Row],[Company Name]],"Volume")</f>
        <v>236</v>
      </c>
      <c r="Q46" s="23" cm="1">
        <f t="array" aca="1" ref="Q46" ca="1">_FV(RTData[[#This Row],[Company Name]],"Volume average",TRUE)</f>
        <v>1510</v>
      </c>
      <c r="R46" s="29" cm="1">
        <f t="array" aca="1" ref="R46" ca="1">_FV(RTData[[#This Row],[Company Name]],"Beta")</f>
        <v>1.0089999999999999</v>
      </c>
      <c r="T46" t="s">
        <v>20</v>
      </c>
      <c r="U46" t="str" cm="1">
        <f t="array" aca="1" ref="U46" ca="1">_FV(RTData[[#This Row],[Company Name]],"Exchange abbreviation",TRUE)</f>
        <v>XFRA</v>
      </c>
      <c r="V46" s="24">
        <f ca="1">IFERROR(RTData[[#This Row],[Volume]]/RTData[[#This Row],[Volume average]],1)</f>
        <v>0.15629139072847681</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0.85346078347699927</v>
      </c>
      <c r="C47" s="25" t="e" vm="45">
        <v>#VALUE!</v>
      </c>
      <c r="D47" s="17" t="str" cm="1">
        <f t="array" aca="1" ref="D47" ca="1">_FV(RTData[[#This Row],[Company Name]],"Currency")</f>
        <v>USD</v>
      </c>
      <c r="E47" s="18" cm="1">
        <f t="array" aca="1" ref="E47" ca="1">_FV(RTData[[#This Row],[Company Name]],"Last trade time",TRUE)</f>
        <v>45905.919514687499</v>
      </c>
      <c r="F47" s="19" cm="1">
        <f t="array" aca="1" ref="F47" ca="1">_FV(RTData[[#This Row],[Company Name]],"Previous close",TRUE)</f>
        <v>6.25</v>
      </c>
      <c r="G47" s="19" cm="1">
        <f t="array" aca="1" ref="G47" ca="1">_FV(RTData[[#This Row],[Company Name]],"Open")</f>
        <v>6.4</v>
      </c>
      <c r="H47" s="19" cm="1">
        <f t="array" aca="1" ref="H47" ca="1">_FV(RTData[[#This Row],[Company Name]],"Price")</f>
        <v>6.44</v>
      </c>
      <c r="I47" s="19" cm="1">
        <f t="array" aca="1" ref="I47" ca="1">_FV(RTData[[#This Row],[Company Name]],"Low")</f>
        <v>6.26</v>
      </c>
      <c r="J47" s="19" cm="1">
        <f t="array" aca="1" ref="J47" ca="1">_FV(RTData[[#This Row],[Company Name]],"High")</f>
        <v>6.47</v>
      </c>
      <c r="K47" s="20" cm="1">
        <f t="array" aca="1" ref="K47" ca="1">IFERROR(_FV(RTData[[#This Row],[Company Name]],"P/E",TRUE),99)</f>
        <v>26.275200000000002</v>
      </c>
      <c r="L47" s="21" cm="1">
        <f t="array" aca="1" ref="L47" ca="1">_FV(RTData[[#This Row],[Company Name]],"Change")</f>
        <v>0.19</v>
      </c>
      <c r="M47" s="22" cm="1">
        <f t="array" aca="1" ref="M47" ca="1">_FV(RTData[[#This Row],[Company Name]],"Change (%)",TRUE)</f>
        <v>3.04E-2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2461786</v>
      </c>
      <c r="Q47" s="23" cm="1">
        <f t="array" aca="1" ref="Q47" ca="1">_FV(RTData[[#This Row],[Company Name]],"Volume average",TRUE)</f>
        <v>3016813</v>
      </c>
      <c r="R47" s="19" cm="1">
        <f t="array" aca="1" ref="R47" ca="1">_FV(RTData[[#This Row],[Company Name]],"Beta")</f>
        <v>1.5765</v>
      </c>
      <c r="T47" t="s">
        <v>20</v>
      </c>
      <c r="U47" t="str" cm="1">
        <f t="array" aca="1" ref="U47" ca="1">_FV(RTData[[#This Row],[Company Name]],"Exchange abbreviation",TRUE)</f>
        <v>XNAS</v>
      </c>
      <c r="V47" s="24">
        <f ca="1">IFERROR(RTData[[#This Row],[Volume]]/RTData[[#This Row],[Volume average]],1)</f>
        <v>0.81602207362537882</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0.85346078347699927</v>
      </c>
      <c r="C48" s="25" t="e" vm="46">
        <v>#VALUE!</v>
      </c>
      <c r="D48" s="17" t="str" cm="1">
        <f t="array" aca="1" ref="D48" ca="1">_FV(RTData[[#This Row],[Company Name]],"Currency")</f>
        <v>USD</v>
      </c>
      <c r="E48" s="18" cm="1">
        <f t="array" aca="1" ref="E48" ca="1">_FV(RTData[[#This Row],[Company Name]],"Last trade time",TRUE)</f>
        <v>45905.999999039064</v>
      </c>
      <c r="F48" s="19" cm="1">
        <f t="array" aca="1" ref="F48" ca="1">_FV(RTData[[#This Row],[Company Name]],"Previous close",TRUE)</f>
        <v>306.10000000000002</v>
      </c>
      <c r="G48" s="19" cm="1">
        <f t="array" aca="1" ref="G48" ca="1">_FV(RTData[[#This Row],[Company Name]],"Open")</f>
        <v>355.78</v>
      </c>
      <c r="H48" s="19" cm="1">
        <f t="array" aca="1" ref="H48" ca="1">_FV(RTData[[#This Row],[Company Name]],"Price")</f>
        <v>334.89</v>
      </c>
      <c r="I48" s="19" cm="1">
        <f t="array" aca="1" ref="I48" ca="1">_FV(RTData[[#This Row],[Company Name]],"Low")</f>
        <v>331.42</v>
      </c>
      <c r="J48" s="19" cm="1">
        <f t="array" aca="1" ref="J48" ca="1">_FV(RTData[[#This Row],[Company Name]],"High")</f>
        <v>356.34</v>
      </c>
      <c r="K48" s="20" cm="1">
        <f t="array" aca="1" ref="K48" ca="1">IFERROR(_FV(RTData[[#This Row],[Company Name]],"P/E",TRUE),99)</f>
        <v>78.467500000000001</v>
      </c>
      <c r="L48" s="21" cm="1">
        <f t="array" aca="1" ref="L48" ca="1">_FV(RTData[[#This Row],[Company Name]],"Change")</f>
        <v>28.79</v>
      </c>
      <c r="M48" s="22" cm="1">
        <f t="array" aca="1" ref="M48" ca="1">_FV(RTData[[#This Row],[Company Name]],"Change (%)",TRUE)</f>
        <v>9.4053999999999999E-2</v>
      </c>
      <c r="N48" s="19" cm="1">
        <f t="array" aca="1" ref="N48" ca="1">_FV(RTData[[#This Row],[Company Name]],"52 week low",TRUE)</f>
        <v>134.9</v>
      </c>
      <c r="O48" s="19" cm="1">
        <f t="array" aca="1" ref="O48" ca="1">_FV(RTData[[#This Row],[Company Name]],"52 week high",TRUE)</f>
        <v>356.34</v>
      </c>
      <c r="P48" s="23" cm="1">
        <f t="array" aca="1" ref="P48" ca="1">_FV(RTData[[#This Row],[Company Name]],"Volume")</f>
        <v>78401554</v>
      </c>
      <c r="Q48" s="23" cm="1">
        <f t="array" aca="1" ref="Q48" ca="1">_FV(RTData[[#This Row],[Company Name]],"Volume average",TRUE)</f>
        <v>18758905</v>
      </c>
      <c r="R48" s="19" cm="1">
        <f t="array" aca="1" ref="R48" ca="1">_FV(RTData[[#This Row],[Company Name]],"Beta")</f>
        <v>1.1936</v>
      </c>
      <c r="T48" t="s">
        <v>20</v>
      </c>
      <c r="U48" t="str" cm="1">
        <f t="array" aca="1" ref="U48" ca="1">_FV(RTData[[#This Row],[Company Name]],"Exchange abbreviation",TRUE)</f>
        <v>XNAS</v>
      </c>
      <c r="V48" s="24">
        <f ca="1">IFERROR(RTData[[#This Row],[Volume]]/RTData[[#This Row],[Volume average]],1)</f>
        <v>4.1794312621125806</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0.85346078347699927</v>
      </c>
      <c r="C49" s="16" t="e" vm="47">
        <v>#VALUE!</v>
      </c>
      <c r="D49" s="17" t="str" cm="1">
        <f t="array" aca="1" ref="D49" ca="1">_FV(RTData[[#This Row],[Company Name]],"Currency")</f>
        <v>USD</v>
      </c>
      <c r="E49" s="18" cm="1">
        <f t="array" aca="1" ref="E49" ca="1">_FV(RTData[[#This Row],[Company Name]],"Last trade time",TRUE)</f>
        <v>45906.006944444445</v>
      </c>
      <c r="F49" s="19" cm="1">
        <f t="array" aca="1" ref="F49" ca="1">_FV(RTData[[#This Row],[Company Name]],"Previous close",TRUE)</f>
        <v>29.23</v>
      </c>
      <c r="G49" s="19" cm="1">
        <f t="array" aca="1" ref="G49" ca="1">_FV(RTData[[#This Row],[Company Name]],"Open")</f>
        <v>29.648399999999999</v>
      </c>
      <c r="H49" s="19" cm="1">
        <f t="array" aca="1" ref="H49" ca="1">_FV(RTData[[#This Row],[Company Name]],"Price")</f>
        <v>29.51</v>
      </c>
      <c r="I49" s="19" cm="1">
        <f t="array" aca="1" ref="I49" ca="1">_FV(RTData[[#This Row],[Company Name]],"Low")</f>
        <v>29.38</v>
      </c>
      <c r="J49" s="19" cm="1">
        <f t="array" aca="1" ref="J49" ca="1">_FV(RTData[[#This Row],[Company Name]],"High")</f>
        <v>29.75</v>
      </c>
      <c r="K49" s="20" cm="1">
        <f t="array" aca="1" ref="K49" ca="1">IFERROR(_FV(RTData[[#This Row],[Company Name]],"P/E",TRUE),99)</f>
        <v>0</v>
      </c>
      <c r="L49" s="21" cm="1">
        <f t="array" aca="1" ref="L49" ca="1">_FV(RTData[[#This Row],[Company Name]],"Change")</f>
        <v>0.28000000000000003</v>
      </c>
      <c r="M49" s="22" cm="1">
        <f t="array" aca="1" ref="M49" ca="1">_FV(RTData[[#This Row],[Company Name]],"Change (%)",TRUE)</f>
        <v>9.578999999999999E-3</v>
      </c>
      <c r="N49" s="19" cm="1">
        <f t="array" aca="1" ref="N49" ca="1">_FV(RTData[[#This Row],[Company Name]],"52 week low",TRUE)</f>
        <v>22.55</v>
      </c>
      <c r="O49" s="19" cm="1">
        <f t="array" aca="1" ref="O49" ca="1">_FV(RTData[[#This Row],[Company Name]],"52 week high",TRUE)</f>
        <v>33.33</v>
      </c>
      <c r="P49" s="23" cm="1">
        <f t="array" aca="1" ref="P49" ca="1">_FV(RTData[[#This Row],[Company Name]],"Volume")</f>
        <v>61517</v>
      </c>
      <c r="Q49" s="23" cm="1">
        <f t="array" aca="1" ref="Q49" ca="1">_FV(RTData[[#This Row],[Company Name]],"Volume average",TRUE)</f>
        <v>2438980</v>
      </c>
      <c r="R49" s="19" cm="1">
        <f t="array" aca="1" ref="R49" ca="1">_FV(RTData[[#This Row],[Company Name]],"Beta")</f>
        <v>0.90790000000000004</v>
      </c>
      <c r="T49" t="s">
        <v>20</v>
      </c>
      <c r="U49" t="str" cm="1">
        <f t="array" aca="1" ref="U49" ca="1">_FV(RTData[[#This Row],[Company Name]],"Exchange abbreviation",TRUE)</f>
        <v>OTCM</v>
      </c>
      <c r="V49" s="24">
        <f ca="1">IFERROR(RTData[[#This Row],[Volume]]/RTData[[#This Row],[Volume average]],1)</f>
        <v>2.5222429048208678E-2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1.0694043417816277</v>
      </c>
      <c r="C50" s="25" t="e" vm="48">
        <v>#VALUE!</v>
      </c>
      <c r="D50" s="17" t="str" cm="1">
        <f t="array" aca="1" ref="D50" ca="1">_FV(RTData[[#This Row],[Company Name]],"Currency")</f>
        <v>CHF</v>
      </c>
      <c r="E50" s="18" cm="1">
        <f t="array" aca="1" ref="E50" ca="1">_FV(RTData[[#This Row],[Company Name]],"Last trade time",TRUE)</f>
        <v>45905.751064814816</v>
      </c>
      <c r="F50" s="38" cm="1">
        <f t="array" aca="1" ref="F50" ca="1">_FV(RTData[[#This Row],[Company Name]],"Previous close",TRUE)</f>
        <v>61.7</v>
      </c>
      <c r="G50" s="38" cm="1">
        <f t="array" aca="1" ref="G50" ca="1">_FV(RTData[[#This Row],[Company Name]],"Open")</f>
        <v>61.4</v>
      </c>
      <c r="H50" s="38" cm="1">
        <f t="array" aca="1" ref="H50" ca="1">_FV(RTData[[#This Row],[Company Name]],"Price")</f>
        <v>61.5</v>
      </c>
      <c r="I50" s="39" cm="1">
        <f t="array" aca="1" ref="I50" ca="1">_FV(RTData[[#This Row],[Company Name]],"Low")</f>
        <v>61.3</v>
      </c>
      <c r="J50" s="39" cm="1">
        <f t="array" aca="1" ref="J50" ca="1">_FV(RTData[[#This Row],[Company Name]],"High")</f>
        <v>62.3</v>
      </c>
      <c r="K50" s="20" cm="1">
        <f t="array" aca="1" ref="K50" ca="1">IFERROR(_FV(RTData[[#This Row],[Company Name]],"P/E",TRUE),99)</f>
        <v>13.9278</v>
      </c>
      <c r="L50" s="21" cm="1">
        <f t="array" aca="1" ref="L50" ca="1">_FV(RTData[[#This Row],[Company Name]],"Change")</f>
        <v>-0.2</v>
      </c>
      <c r="M50" s="40" cm="1">
        <f t="array" aca="1" ref="M50" ca="1">_FV(RTData[[#This Row],[Company Name]],"Change (%)",TRUE)</f>
        <v>-3.241E-3</v>
      </c>
      <c r="N50" s="39" cm="1">
        <f t="array" aca="1" ref="N50" ca="1">_FV(RTData[[#This Row],[Company Name]],"52 week low",TRUE)</f>
        <v>51.1</v>
      </c>
      <c r="O50" s="39" cm="1">
        <f t="array" aca="1" ref="O50" ca="1">_FV(RTData[[#This Row],[Company Name]],"52 week high",TRUE)</f>
        <v>69.5</v>
      </c>
      <c r="P50" s="23" cm="1">
        <f t="array" aca="1" ref="P50" ca="1">_FV(RTData[[#This Row],[Company Name]],"Volume")</f>
        <v>38768</v>
      </c>
      <c r="Q50" s="23" cm="1">
        <f t="array" aca="1" ref="Q50" ca="1">_FV(RTData[[#This Row],[Company Name]],"Volume average",TRUE)</f>
        <v>27240</v>
      </c>
      <c r="R50" s="19" cm="1">
        <f t="array" aca="1" ref="R50" ca="1">_FV(RTData[[#This Row],[Company Name]],"Beta")</f>
        <v>1.0319</v>
      </c>
      <c r="T50" t="s">
        <v>20</v>
      </c>
      <c r="U50" t="str" cm="1">
        <f t="array" aca="1" ref="U50" ca="1">_FV(RTData[[#This Row],[Company Name]],"Exchange abbreviation",TRUE)</f>
        <v>XSWX</v>
      </c>
      <c r="V50" s="24">
        <f ca="1">IFERROR(RTData[[#This Row],[Volume]]/RTData[[#This Row],[Volume average]],1)</f>
        <v>1.4232011747430249</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0.85346078347699927</v>
      </c>
      <c r="C51" s="25" t="e" vm="49">
        <v>#VALUE!</v>
      </c>
      <c r="D51" s="17" t="str" cm="1">
        <f t="array" aca="1" ref="D51" ca="1">_FV(RTData[[#This Row],[Company Name]],"Currency")</f>
        <v>USD</v>
      </c>
      <c r="E51" s="18" cm="1">
        <f t="array" aca="1" ref="E51" ca="1">_FV(RTData[[#This Row],[Company Name]],"Last trade time",TRUE)</f>
        <v>45905.986768032031</v>
      </c>
      <c r="F51" s="19" cm="1">
        <f t="array" aca="1" ref="F51" ca="1">_FV(RTData[[#This Row],[Company Name]],"Previous close",TRUE)</f>
        <v>10.33</v>
      </c>
      <c r="G51" s="19" cm="1">
        <f t="array" aca="1" ref="G51" ca="1">_FV(RTData[[#This Row],[Company Name]],"Open")</f>
        <v>10.39</v>
      </c>
      <c r="H51" s="19" cm="1">
        <f t="array" aca="1" ref="H51" ca="1">_FV(RTData[[#This Row],[Company Name]],"Price")</f>
        <v>10.5</v>
      </c>
      <c r="I51" s="19" cm="1">
        <f t="array" aca="1" ref="I51" ca="1">_FV(RTData[[#This Row],[Company Name]],"Low")</f>
        <v>10.36</v>
      </c>
      <c r="J51" s="19" cm="1">
        <f t="array" aca="1" ref="J51" ca="1">_FV(RTData[[#This Row],[Company Name]],"High")</f>
        <v>10.56</v>
      </c>
      <c r="K51" s="20" cm="1">
        <f t="array" aca="1" ref="K51" ca="1">IFERROR(_FV(RTData[[#This Row],[Company Name]],"P/E",TRUE),99)</f>
        <v>0</v>
      </c>
      <c r="L51" s="21" cm="1">
        <f t="array" aca="1" ref="L51" ca="1">_FV(RTData[[#This Row],[Company Name]],"Change")</f>
        <v>0.17</v>
      </c>
      <c r="M51" s="22" cm="1">
        <f t="array" aca="1" ref="M51" ca="1">_FV(RTData[[#This Row],[Company Name]],"Change (%)",TRUE)</f>
        <v>1.6456999999999999E-2</v>
      </c>
      <c r="N51" s="19" cm="1">
        <f t="array" aca="1" ref="N51" ca="1">_FV(RTData[[#This Row],[Company Name]],"52 week low",TRUE)</f>
        <v>6.85</v>
      </c>
      <c r="O51" s="19" cm="1">
        <f t="array" aca="1" ref="O51" ca="1">_FV(RTData[[#This Row],[Company Name]],"52 week high",TRUE)</f>
        <v>13.55</v>
      </c>
      <c r="P51" s="23" cm="1">
        <f t="array" aca="1" ref="P51" ca="1">_FV(RTData[[#This Row],[Company Name]],"Volume")</f>
        <v>7288982</v>
      </c>
      <c r="Q51" s="23" cm="1">
        <f t="array" aca="1" ref="Q51" ca="1">_FV(RTData[[#This Row],[Company Name]],"Volume average",TRUE)</f>
        <v>9275737</v>
      </c>
      <c r="R51" s="19" cm="1">
        <f t="array" aca="1" ref="R51" ca="1">_FV(RTData[[#This Row],[Company Name]],"Beta")</f>
        <v>0.90439999999999998</v>
      </c>
      <c r="T51" t="s">
        <v>20</v>
      </c>
      <c r="U51" t="str" cm="1">
        <f t="array" aca="1" ref="U51" ca="1">_FV(RTData[[#This Row],[Company Name]],"Exchange abbreviation",TRUE)</f>
        <v>XNAS</v>
      </c>
      <c r="V51" s="24">
        <f ca="1">IFERROR(RTData[[#This Row],[Volume]]/RTData[[#This Row],[Volume average]],1)</f>
        <v>0.78581162876868971</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0.85346078347699927</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0.85346078347699927</v>
      </c>
      <c r="C53" s="25" t="e" vm="51">
        <v>#VALUE!</v>
      </c>
      <c r="D53" s="17" t="str" cm="1">
        <f t="array" aca="1" ref="D53" ca="1">_FV(RTData[[#This Row],[Company Name]],"Currency")</f>
        <v>USD</v>
      </c>
      <c r="E53" s="18" cm="1">
        <f t="array" aca="1" ref="E53" ca="1">_FV(RTData[[#This Row],[Company Name]],"Last trade time",TRUE)</f>
        <v>45905.999938541405</v>
      </c>
      <c r="F53" s="19" cm="1">
        <f t="array" aca="1" ref="F53" ca="1">_FV(RTData[[#This Row],[Company Name]],"Previous close",TRUE)</f>
        <v>112.4</v>
      </c>
      <c r="G53" s="19" cm="1">
        <f t="array" aca="1" ref="G53" ca="1">_FV(RTData[[#This Row],[Company Name]],"Open")</f>
        <v>111.6</v>
      </c>
      <c r="H53" s="19" cm="1">
        <f t="array" aca="1" ref="H53" ca="1">_FV(RTData[[#This Row],[Company Name]],"Price")</f>
        <v>109.23</v>
      </c>
      <c r="I53" s="19" cm="1">
        <f t="array" aca="1" ref="I53" ca="1">_FV(RTData[[#This Row],[Company Name]],"Low")</f>
        <v>109.02</v>
      </c>
      <c r="J53" s="19" cm="1">
        <f t="array" aca="1" ref="J53" ca="1">_FV(RTData[[#This Row],[Company Name]],"High")</f>
        <v>111.78</v>
      </c>
      <c r="K53" s="20" cm="1">
        <f t="array" aca="1" ref="K53" ca="1">IFERROR(_FV(RTData[[#This Row],[Company Name]],"P/E",TRUE),99)</f>
        <v>15.9489</v>
      </c>
      <c r="L53" s="21" cm="1">
        <f t="array" aca="1" ref="L53" ca="1">_FV(RTData[[#This Row],[Company Name]],"Change")</f>
        <v>-3.17</v>
      </c>
      <c r="M53" s="22" cm="1">
        <f t="array" aca="1" ref="M53" ca="1">_FV(RTData[[#This Row],[Company Name]],"Change (%)",TRUE)</f>
        <v>-2.8202999999999999E-2</v>
      </c>
      <c r="N53" s="19" cm="1">
        <f t="array" aca="1" ref="N53" ca="1">_FV(RTData[[#This Row],[Company Name]],"52 week low",TRUE)</f>
        <v>97.8</v>
      </c>
      <c r="O53" s="19" cm="1">
        <f t="array" aca="1" ref="O53" ca="1">_FV(RTData[[#This Row],[Company Name]],"52 week high",TRUE)</f>
        <v>126.34</v>
      </c>
      <c r="P53" s="23" cm="1">
        <f t="array" aca="1" ref="P53" ca="1">_FV(RTData[[#This Row],[Company Name]],"Volume")</f>
        <v>16826692</v>
      </c>
      <c r="Q53" s="23" cm="1">
        <f t="array" aca="1" ref="Q53" ca="1">_FV(RTData[[#This Row],[Company Name]],"Volume average",TRUE)</f>
        <v>15518418</v>
      </c>
      <c r="R53" s="19" cm="1">
        <f t="array" aca="1" ref="R53" ca="1">_FV(RTData[[#This Row],[Company Name]],"Beta")</f>
        <v>0.4975</v>
      </c>
      <c r="T53" t="s">
        <v>20</v>
      </c>
      <c r="U53" t="str" cm="1">
        <f t="array" aca="1" ref="U53" ca="1">_FV(RTData[[#This Row],[Company Name]],"Exchange abbreviation",TRUE)</f>
        <v>XNYS</v>
      </c>
      <c r="V53" s="24">
        <f ca="1">IFERROR(RTData[[#This Row],[Volume]]/RTData[[#This Row],[Volume average]],1)</f>
        <v>1.0843045985744166</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0.85346078347699927</v>
      </c>
      <c r="C54" s="25" t="e" vm="52">
        <v>#VALUE!</v>
      </c>
      <c r="D54" s="17" t="str" cm="1">
        <f t="array" aca="1" ref="D54" ca="1">_FV(RTData[[#This Row],[Company Name]],"Currency")</f>
        <v>USD</v>
      </c>
      <c r="E54" s="18" cm="1">
        <f t="array" aca="1" ref="E54" ca="1">_FV(RTData[[#This Row],[Company Name]],"Last trade time",TRUE)</f>
        <v>45905.997669849217</v>
      </c>
      <c r="F54" s="19" cm="1">
        <f t="array" aca="1" ref="F54" ca="1">_FV(RTData[[#This Row],[Company Name]],"Previous close",TRUE)</f>
        <v>6.02</v>
      </c>
      <c r="G54" s="19" cm="1">
        <f t="array" aca="1" ref="G54" ca="1">_FV(RTData[[#This Row],[Company Name]],"Open")</f>
        <v>6.04</v>
      </c>
      <c r="H54" s="19" cm="1">
        <f t="array" aca="1" ref="H54" ca="1">_FV(RTData[[#This Row],[Company Name]],"Price")</f>
        <v>6.13</v>
      </c>
      <c r="I54" s="19" cm="1">
        <f t="array" aca="1" ref="I54" ca="1">_FV(RTData[[#This Row],[Company Name]],"Low")</f>
        <v>6.0149999999999997</v>
      </c>
      <c r="J54" s="19" cm="1">
        <f t="array" aca="1" ref="J54" ca="1">_FV(RTData[[#This Row],[Company Name]],"High")</f>
        <v>6.18</v>
      </c>
      <c r="K54" s="20" cm="1">
        <f t="array" ref="K54">IFERROR(_FV(RTData[[#This Row],[Company Name]],"P/E",TRUE),99)</f>
        <v>99</v>
      </c>
      <c r="L54" s="21" cm="1">
        <f t="array" aca="1" ref="L54" ca="1">_FV(RTData[[#This Row],[Company Name]],"Change")</f>
        <v>0.11</v>
      </c>
      <c r="M54" s="22" cm="1">
        <f t="array" aca="1" ref="M54" ca="1">_FV(RTData[[#This Row],[Company Name]],"Change (%)",TRUE)</f>
        <v>1.8272E-2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423084</v>
      </c>
      <c r="Q54" s="23" cm="1">
        <f t="array" aca="1" ref="Q54" ca="1">_FV(RTData[[#This Row],[Company Name]],"Volume average",TRUE)</f>
        <v>566838</v>
      </c>
      <c r="R54" s="19" cm="1">
        <f t="array" aca="1" ref="R54" ca="1">_FV(RTData[[#This Row],[Company Name]],"Beta")</f>
        <v>1.149</v>
      </c>
      <c r="T54" t="s">
        <v>20</v>
      </c>
      <c r="U54" t="str" cm="1">
        <f t="array" aca="1" ref="U54" ca="1">_FV(RTData[[#This Row],[Company Name]],"Exchange abbreviation",TRUE)</f>
        <v>XNYS</v>
      </c>
      <c r="V54" s="24">
        <f ca="1">IFERROR(RTData[[#This Row],[Volume]]/RTData[[#This Row],[Volume average]],1)</f>
        <v>0.74639314936542711</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45905.666666666664</v>
      </c>
      <c r="F55" s="81" cm="1">
        <f t="array" aca="1" ref="F55" ca="1">_FV(RTData[[#This Row],[Company Name]],"Previous close",TRUE)</f>
        <v>0.872</v>
      </c>
      <c r="G55" s="81" cm="1">
        <f t="array" aca="1" ref="G55" ca="1">_FV(RTData[[#This Row],[Company Name]],"Open")</f>
        <v>0.89200000000000002</v>
      </c>
      <c r="H55" s="81" cm="1">
        <f t="array" aca="1" ref="H55" ca="1">_FV(RTData[[#This Row],[Company Name]],"Price")</f>
        <v>0.91</v>
      </c>
      <c r="I55" s="81" cm="1">
        <f t="array" aca="1" ref="I55" ca="1">_FV(RTData[[#This Row],[Company Name]],"Low")</f>
        <v>0.89</v>
      </c>
      <c r="J55" s="81" cm="1">
        <f t="array" aca="1" ref="J55" ca="1">_FV(RTData[[#This Row],[Company Name]],"High")</f>
        <v>0.91</v>
      </c>
      <c r="K55" s="76" cm="1">
        <f t="array" aca="1" ref="K55" ca="1">IFERROR(_FV(RTData[[#This Row],[Company Name]],"P/E",TRUE),99)</f>
        <v>0</v>
      </c>
      <c r="L55" s="77" cm="1">
        <f t="array" aca="1" ref="L55" ca="1">_FV(RTData[[#This Row],[Company Name]],"Change")</f>
        <v>3.7999999999999999E-2</v>
      </c>
      <c r="M55" s="78" cm="1">
        <f t="array" aca="1" ref="M55" ca="1">_FV(RTData[[#This Row],[Company Name]],"Change (%)",TRUE)</f>
        <v>4.3577999999999999E-2</v>
      </c>
      <c r="N55" s="81" cm="1">
        <f t="array" aca="1" ref="N55" ca="1">_FV(RTData[[#This Row],[Company Name]],"52 week low",TRUE)</f>
        <v>0.65</v>
      </c>
      <c r="O55" s="81" cm="1">
        <f t="array" aca="1" ref="O55" ca="1">_FV(RTData[[#This Row],[Company Name]],"52 week high",TRUE)</f>
        <v>1.99</v>
      </c>
      <c r="P55" s="79" cm="1">
        <f t="array" aca="1" ref="P55" ca="1">_FV(RTData[[#This Row],[Company Name]],"Volume")</f>
        <v>676</v>
      </c>
      <c r="Q55" s="79" cm="1">
        <f t="array" aca="1" ref="Q55" ca="1">_FV(RTData[[#This Row],[Company Name]],"Volume average",TRUE)</f>
        <v>4030</v>
      </c>
      <c r="R55" s="74" cm="1">
        <f t="array" aca="1" ref="R55" ca="1">_FV(RTData[[#This Row],[Company Name]],"Beta")</f>
        <v>0.99280000000000002</v>
      </c>
      <c r="S55" s="80" t="s">
        <v>23</v>
      </c>
      <c r="T55" s="80" t="s">
        <v>20</v>
      </c>
      <c r="U55" s="80" t="str" cm="1">
        <f t="array" aca="1" ref="U55" ca="1">_FV(RTData[[#This Row],[Company Name]],"Exchange abbreviation",TRUE)</f>
        <v>XPAR</v>
      </c>
      <c r="V55" s="141">
        <f ca="1">IFERROR(RTData[[#This Row],[Volume]]/RTData[[#This Row],[Volume average]],1)</f>
        <v>0.16774193548387098</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0.85346078347699927</v>
      </c>
      <c r="C56" s="71" t="e" vm="13">
        <v>#VALUE!</v>
      </c>
      <c r="D56" s="74" t="str" cm="1">
        <f t="array" aca="1" ref="D56" ca="1">_FV(RTData[[#This Row],[Company Name]],"Currency")</f>
        <v>USD</v>
      </c>
      <c r="E56" s="75" cm="1">
        <f t="array" aca="1" ref="E56" ca="1">_FV(RTData[[#This Row],[Company Name]],"Last trade time",TRUE)</f>
        <v>45905.995490601563</v>
      </c>
      <c r="F56" s="74" cm="1">
        <f t="array" aca="1" ref="F56" ca="1">_FV(RTData[[#This Row],[Company Name]],"Previous close",TRUE)</f>
        <v>2.0499999999999998</v>
      </c>
      <c r="G56" s="74" cm="1">
        <f t="array" aca="1" ref="G56" ca="1">_FV(RTData[[#This Row],[Company Name]],"Open")</f>
        <v>2.09</v>
      </c>
      <c r="H56" s="74" cm="1">
        <f t="array" aca="1" ref="H56" ca="1">_FV(RTData[[#This Row],[Company Name]],"Price")</f>
        <v>2.12</v>
      </c>
      <c r="I56" s="74" cm="1">
        <f t="array" aca="1" ref="I56" ca="1">_FV(RTData[[#This Row],[Company Name]],"Low")</f>
        <v>2.0421</v>
      </c>
      <c r="J56" s="74" cm="1">
        <f t="array" aca="1" ref="J56" ca="1">_FV(RTData[[#This Row],[Company Name]],"High")</f>
        <v>2.14</v>
      </c>
      <c r="K56" s="76" cm="1">
        <f t="array" ref="K56">IFERROR(_FV(RTData[[#This Row],[Company Name]],"P/E",TRUE),99)</f>
        <v>99</v>
      </c>
      <c r="L56" s="77" cm="1">
        <f t="array" aca="1" ref="L56" ca="1">_FV(RTData[[#This Row],[Company Name]],"Change")</f>
        <v>7.0000000000000007E-2</v>
      </c>
      <c r="M56" s="78" cm="1">
        <f t="array" aca="1" ref="M56" ca="1">_FV(RTData[[#This Row],[Company Name]],"Change (%)",TRUE)</f>
        <v>3.4146000000000003E-2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2570864</v>
      </c>
      <c r="Q56" s="79" cm="1">
        <f t="array" aca="1" ref="Q56" ca="1">_FV(RTData[[#This Row],[Company Name]],"Volume average",TRUE)</f>
        <v>4638924</v>
      </c>
      <c r="R56" s="74" cm="1">
        <f t="array" aca="1" ref="R56" ca="1">_FV(RTData[[#This Row],[Company Name]],"Beta")</f>
        <v>2.0886</v>
      </c>
      <c r="S56" s="80" t="s">
        <v>23</v>
      </c>
      <c r="T56" s="80" t="s">
        <v>24</v>
      </c>
      <c r="U56" s="80" t="str" cm="1">
        <f t="array" aca="1" ref="U56" ca="1">_FV(RTData[[#This Row],[Company Name]],"Exchange abbreviation",TRUE)</f>
        <v>XNYS</v>
      </c>
      <c r="V56" s="141">
        <f ca="1">IFERROR(RTData[[#This Row],[Volume]]/RTData[[#This Row],[Volume average]],1)</f>
        <v>0.55419403292660108</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45905.681145833332</v>
      </c>
      <c r="F57" s="81" cm="1">
        <f t="array" aca="1" ref="F57" ca="1">_FV(RTData[[#This Row],[Company Name]],"Previous close",TRUE)</f>
        <v>26.74</v>
      </c>
      <c r="G57" s="81" cm="1">
        <f t="array" aca="1" ref="G57" ca="1">_FV(RTData[[#This Row],[Company Name]],"Open")</f>
        <v>26.8</v>
      </c>
      <c r="H57" s="81" cm="1">
        <f t="array" aca="1" ref="H57" ca="1">_FV(RTData[[#This Row],[Company Name]],"Price")</f>
        <v>26.8</v>
      </c>
      <c r="I57" s="81" cm="1">
        <f t="array" aca="1" ref="I57" ca="1">_FV(RTData[[#This Row],[Company Name]],"Low")</f>
        <v>26.67</v>
      </c>
      <c r="J57" s="81" cm="1">
        <f t="array" aca="1" ref="J57" ca="1">_FV(RTData[[#This Row],[Company Name]],"High")</f>
        <v>27.03</v>
      </c>
      <c r="K57" s="76" cm="1">
        <f t="array" aca="1" ref="K57" ca="1">IFERROR(_FV(RTData[[#This Row],[Company Name]],"P/E",TRUE),99)</f>
        <v>30.725000000000001</v>
      </c>
      <c r="L57" s="77" cm="1">
        <f t="array" aca="1" ref="L57" ca="1">_FV(RTData[[#This Row],[Company Name]],"Change")</f>
        <v>0.06</v>
      </c>
      <c r="M57" s="78" cm="1">
        <f t="array" aca="1" ref="M57" ca="1">_FV(RTData[[#This Row],[Company Name]],"Change (%)",TRUE)</f>
        <v>2.2439999999999999E-3</v>
      </c>
      <c r="N57" s="81" cm="1">
        <f t="array" aca="1" ref="N57" ca="1">_FV(RTData[[#This Row],[Company Name]],"52 week low",TRUE)</f>
        <v>26.25</v>
      </c>
      <c r="O57" s="81" cm="1">
        <f t="array" aca="1" ref="O57" ca="1">_FV(RTData[[#This Row],[Company Name]],"52 week high",TRUE)</f>
        <v>41.17</v>
      </c>
      <c r="P57" s="79" cm="1">
        <f t="array" aca="1" ref="P57" ca="1">_FV(RTData[[#This Row],[Company Name]],"Volume")</f>
        <v>1791185</v>
      </c>
      <c r="Q57" s="79" cm="1">
        <f t="array" aca="1" ref="Q57" ca="1">_FV(RTData[[#This Row],[Company Name]],"Volume average",TRUE)</f>
        <v>1714440</v>
      </c>
      <c r="R57" s="74" cm="1">
        <f t="array" aca="1" ref="R57" ca="1">_FV(RTData[[#This Row],[Company Name]],"Beta")</f>
        <v>0.68440000000000001</v>
      </c>
      <c r="S57" s="80" t="s">
        <v>23</v>
      </c>
      <c r="T57" s="80" t="s">
        <v>24</v>
      </c>
      <c r="U57" s="80" t="str" cm="1">
        <f t="array" aca="1" ref="U57" ca="1">_FV(RTData[[#This Row],[Company Name]],"Exchange abbreviation",TRUE)</f>
        <v>XPAR</v>
      </c>
      <c r="V57" s="141">
        <f ca="1">IFERROR(RTData[[#This Row],[Volume]]/RTData[[#This Row],[Volume average]],1)</f>
        <v>1.0447638879167542</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45905.770833333336</v>
      </c>
      <c r="F58" s="81" cm="1">
        <f t="array" aca="1" ref="F58" ca="1">_FV(RTData[[#This Row],[Company Name]],"Previous close",TRUE)</f>
        <v>14.925000000000001</v>
      </c>
      <c r="G58" s="81" cm="1">
        <f t="array" aca="1" ref="G58" ca="1">_FV(RTData[[#This Row],[Company Name]],"Open")</f>
        <v>14.91</v>
      </c>
      <c r="H58" s="81" cm="1">
        <f t="array" aca="1" ref="H58" ca="1">_FV(RTData[[#This Row],[Company Name]],"Price")</f>
        <v>15.175000000000001</v>
      </c>
      <c r="I58" s="81" cm="1">
        <f t="array" aca="1" ref="I58" ca="1">_FV(RTData[[#This Row],[Company Name]],"Low")</f>
        <v>14.895</v>
      </c>
      <c r="J58" s="81" cm="1">
        <f t="array" aca="1" ref="J58" ca="1">_FV(RTData[[#This Row],[Company Name]],"High")</f>
        <v>15.175000000000001</v>
      </c>
      <c r="K58" s="76" cm="1">
        <f t="array" aca="1" ref="K58" ca="1">IFERROR(_FV(RTData[[#This Row],[Company Name]],"P/E",TRUE),99)</f>
        <v>12.360200000000001</v>
      </c>
      <c r="L58" s="77" cm="1">
        <f t="array" aca="1" ref="L58" ca="1">_FV(RTData[[#This Row],[Company Name]],"Change")</f>
        <v>0.25</v>
      </c>
      <c r="M58" s="78" cm="1">
        <f t="array" aca="1" ref="M58" ca="1">_FV(RTData[[#This Row],[Company Name]],"Change (%)",TRUE)</f>
        <v>1.6750000000000001E-2</v>
      </c>
      <c r="N58" s="81" cm="1">
        <f t="array" aca="1" ref="N58" ca="1">_FV(RTData[[#This Row],[Company Name]],"52 week low",TRUE)</f>
        <v>10.435</v>
      </c>
      <c r="O58" s="81" cm="1">
        <f t="array" aca="1" ref="O58" ca="1">_FV(RTData[[#This Row],[Company Name]],"52 week high",TRUE)</f>
        <v>16.55</v>
      </c>
      <c r="P58" s="79" cm="1">
        <f t="array" aca="1" ref="P58" ca="1">_FV(RTData[[#This Row],[Company Name]],"Volume")</f>
        <v>6564190</v>
      </c>
      <c r="Q58" s="79" cm="1">
        <f t="array" aca="1" ref="Q58" ca="1">_FV(RTData[[#This Row],[Company Name]],"Volume average",TRUE)</f>
        <v>3889840</v>
      </c>
      <c r="R58" s="74" cm="1">
        <f t="array" aca="1" ref="R58" ca="1">_FV(RTData[[#This Row],[Company Name]],"Beta")</f>
        <v>0.71319999999999995</v>
      </c>
      <c r="S58" s="80" t="s">
        <v>23</v>
      </c>
      <c r="T58" s="80" t="s">
        <v>24</v>
      </c>
      <c r="U58" s="80" t="str" cm="1">
        <f t="array" aca="1" ref="U58" ca="1">_FV(RTData[[#This Row],[Company Name]],"Exchange abbreviation",TRUE)</f>
        <v>XETR</v>
      </c>
      <c r="V58" s="141">
        <f ca="1">IFERROR(RTData[[#This Row],[Volume]]/RTData[[#This Row],[Volume average]],1)</f>
        <v>1.6875218517985315</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45905.666666666664</v>
      </c>
      <c r="F59" s="81" cm="1">
        <f t="array" aca="1" ref="F59" ca="1">_FV(RTData[[#This Row],[Company Name]],"Previous close",TRUE)</f>
        <v>14.928000000000001</v>
      </c>
      <c r="G59" s="81" cm="1">
        <f t="array" aca="1" ref="G59" ca="1">_FV(RTData[[#This Row],[Company Name]],"Open")</f>
        <v>14.968</v>
      </c>
      <c r="H59" s="81" cm="1">
        <f t="array" aca="1" ref="H59" ca="1">_FV(RTData[[#This Row],[Company Name]],"Price")</f>
        <v>14.625999999999999</v>
      </c>
      <c r="I59" s="81" cm="1">
        <f t="array" aca="1" ref="I59" ca="1">_FV(RTData[[#This Row],[Company Name]],"Low")</f>
        <v>14.506</v>
      </c>
      <c r="J59" s="81" cm="1">
        <f t="array" aca="1" ref="J59" ca="1">_FV(RTData[[#This Row],[Company Name]],"High")</f>
        <v>14.99</v>
      </c>
      <c r="K59" s="76" cm="1">
        <f t="array" aca="1" ref="K59" ca="1">IFERROR(_FV(RTData[[#This Row],[Company Name]],"P/E",TRUE),99)</f>
        <v>18.650700000000001</v>
      </c>
      <c r="L59" s="77" cm="1">
        <f t="array" aca="1" ref="L59" ca="1">_FV(RTData[[#This Row],[Company Name]],"Change")</f>
        <v>-0.30199999999999999</v>
      </c>
      <c r="M59" s="78" cm="1">
        <f t="array" aca="1" ref="M59" ca="1">_FV(RTData[[#This Row],[Company Name]],"Change (%)",TRUE)</f>
        <v>-2.0230000000000001E-2</v>
      </c>
      <c r="N59" s="81" cm="1">
        <f t="array" aca="1" ref="N59" ca="1">_FV(RTData[[#This Row],[Company Name]],"52 week low",TRUE)</f>
        <v>11.01</v>
      </c>
      <c r="O59" s="81" cm="1">
        <f t="array" aca="1" ref="O59" ca="1">_FV(RTData[[#This Row],[Company Name]],"52 week high",TRUE)</f>
        <v>15.39</v>
      </c>
      <c r="P59" s="79" cm="1">
        <f t="array" aca="1" ref="P59" ca="1">_FV(RTData[[#This Row],[Company Name]],"Volume")</f>
        <v>14927417</v>
      </c>
      <c r="Q59" s="79" cm="1">
        <f t="array" aca="1" ref="Q59" ca="1">_FV(RTData[[#This Row],[Company Name]],"Volume average",TRUE)</f>
        <v>10556960</v>
      </c>
      <c r="R59" s="74" cm="1">
        <f t="array" aca="1" ref="R59" ca="1">_FV(RTData[[#This Row],[Company Name]],"Beta")</f>
        <v>1.1017999999999999</v>
      </c>
      <c r="S59" s="80" t="s">
        <v>23</v>
      </c>
      <c r="T59" s="80" t="s">
        <v>24</v>
      </c>
      <c r="U59" s="80" t="str" cm="1">
        <f t="array" aca="1" ref="U59" ca="1">_FV(RTData[[#This Row],[Company Name]],"Exchange abbreviation",TRUE)</f>
        <v>XMIL</v>
      </c>
      <c r="V59" s="141">
        <f ca="1">IFERROR(RTData[[#This Row],[Volume]]/RTData[[#This Row],[Volume average]],1)</f>
        <v>1.4139882125157242</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0.85346078347699927</v>
      </c>
      <c r="C60" s="71" t="e" vm="19">
        <f>C21</f>
        <v>#VALUE!</v>
      </c>
      <c r="D60" s="74" t="str" cm="1">
        <f t="array" aca="1" ref="D60" ca="1">_FV(RTData[[#This Row],[Company Name]],"Currency")</f>
        <v>USD</v>
      </c>
      <c r="E60" s="75" cm="1">
        <f t="array" aca="1" ref="E60" ca="1">_FV(RTData[[#This Row],[Company Name]],"Last trade time",TRUE)</f>
        <v>45905.999563853904</v>
      </c>
      <c r="F60" s="74" cm="1">
        <f t="array" aca="1" ref="F60" ca="1">_FV(RTData[[#This Row],[Company Name]],"Previous close",TRUE)</f>
        <v>0.2316</v>
      </c>
      <c r="G60" s="74" cm="1">
        <f t="array" aca="1" ref="G60" ca="1">_FV(RTData[[#This Row],[Company Name]],"Open")</f>
        <v>0.23150000000000001</v>
      </c>
      <c r="H60" s="74" cm="1">
        <f t="array" aca="1" ref="H60" ca="1">_FV(RTData[[#This Row],[Company Name]],"Price")</f>
        <v>0.2329</v>
      </c>
      <c r="I60" s="74" cm="1">
        <f t="array" aca="1" ref="I60" ca="1">_FV(RTData[[#This Row],[Company Name]],"Low")</f>
        <v>0.23130000000000001</v>
      </c>
      <c r="J60" s="74" cm="1">
        <f t="array" aca="1" ref="J60" ca="1">_FV(RTData[[#This Row],[Company Name]],"High")</f>
        <v>0.23499999999999999</v>
      </c>
      <c r="K60" s="76" cm="1">
        <f t="array" aca="1" ref="K60" ca="1">IFERROR(_FV(RTData[[#This Row],[Company Name]],"P/E",TRUE),99)</f>
        <v>0</v>
      </c>
      <c r="L60" s="77" cm="1">
        <f t="array" aca="1" ref="L60" ca="1">_FV(RTData[[#This Row],[Company Name]],"Change")</f>
        <v>1.2999999999999999E-3</v>
      </c>
      <c r="M60" s="78" cm="1">
        <f t="array" aca="1" ref="M60" ca="1">_FV(RTData[[#This Row],[Company Name]],"Change (%)",TRUE)</f>
        <v>5.6129999999999999E-3</v>
      </c>
      <c r="N60" s="74" cm="1">
        <f t="array" aca="1" ref="N60" ca="1">_FV(RTData[[#This Row],[Company Name]],"52 week low",TRUE)</f>
        <v>0.17330000000000001</v>
      </c>
      <c r="O60" s="74" cm="1">
        <f t="array" aca="1" ref="O60" ca="1">_FV(RTData[[#This Row],[Company Name]],"52 week high",TRUE)</f>
        <v>0.97570000000000001</v>
      </c>
      <c r="P60" s="79" cm="1">
        <f t="array" aca="1" ref="P60" ca="1">_FV(RTData[[#This Row],[Company Name]],"Volume")</f>
        <v>2170539</v>
      </c>
      <c r="Q60" s="79" cm="1">
        <f t="array" aca="1" ref="Q60" ca="1">_FV(RTData[[#This Row],[Company Name]],"Volume average",TRUE)</f>
        <v>13842832</v>
      </c>
      <c r="R60" s="74" cm="1">
        <f t="array" aca="1" ref="R60" ca="1">_FV(RTData[[#This Row],[Company Name]],"Beta")</f>
        <v>1.6245000000000001</v>
      </c>
      <c r="S60" s="80" t="s">
        <v>23</v>
      </c>
      <c r="T60" s="80" t="s">
        <v>24</v>
      </c>
      <c r="U60" s="80" t="str" cm="1">
        <f t="array" aca="1" ref="U60" ca="1">_FV(RTData[[#This Row],[Company Name]],"Exchange abbreviation",TRUE)</f>
        <v>XNAS</v>
      </c>
      <c r="V60" s="141">
        <f ca="1">IFERROR(RTData[[#This Row],[Volume]]/RTData[[#This Row],[Volume average]],1)</f>
        <v>0.15679876776659574</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45905.666666666664</v>
      </c>
      <c r="F61" s="81" cm="1">
        <f t="array" aca="1" ref="F61" ca="1">_FV(RTData[[#This Row],[Company Name]],"Previous close",TRUE)</f>
        <v>54.08</v>
      </c>
      <c r="G61" s="81" cm="1">
        <f t="array" aca="1" ref="G61" ca="1">_FV(RTData[[#This Row],[Company Name]],"Open")</f>
        <v>54.36</v>
      </c>
      <c r="H61" s="81" cm="1">
        <f t="array" aca="1" ref="H61" ca="1">_FV(RTData[[#This Row],[Company Name]],"Price")</f>
        <v>53.04</v>
      </c>
      <c r="I61" s="81" cm="1">
        <f t="array" aca="1" ref="I61" ca="1">_FV(RTData[[#This Row],[Company Name]],"Low")</f>
        <v>52.82</v>
      </c>
      <c r="J61" s="81" cm="1">
        <f t="array" aca="1" ref="J61" ca="1">_FV(RTData[[#This Row],[Company Name]],"High")</f>
        <v>54.4</v>
      </c>
      <c r="K61" s="76" cm="1">
        <f t="array" aca="1" ref="K61" ca="1">IFERROR(_FV(RTData[[#This Row],[Company Name]],"P/E",TRUE),99)</f>
        <v>8.8834</v>
      </c>
      <c r="L61" s="77" cm="1">
        <f t="array" aca="1" ref="L61" ca="1">_FV(RTData[[#This Row],[Company Name]],"Change")</f>
        <v>-1.04</v>
      </c>
      <c r="M61" s="78" cm="1">
        <f t="array" aca="1" ref="M61" ca="1">_FV(RTData[[#This Row],[Company Name]],"Change (%)",TRUE)</f>
        <v>-1.9231000000000002E-2</v>
      </c>
      <c r="N61" s="81" cm="1">
        <f t="array" aca="1" ref="N61" ca="1">_FV(RTData[[#This Row],[Company Name]],"52 week low",TRUE)</f>
        <v>21.08</v>
      </c>
      <c r="O61" s="81" cm="1">
        <f t="array" aca="1" ref="O61" ca="1">_FV(RTData[[#This Row],[Company Name]],"52 week high",TRUE)</f>
        <v>59.42</v>
      </c>
      <c r="P61" s="79" cm="1">
        <f t="array" aca="1" ref="P61" ca="1">_FV(RTData[[#This Row],[Company Name]],"Volume")</f>
        <v>2111572</v>
      </c>
      <c r="Q61" s="79" cm="1">
        <f t="array" aca="1" ref="Q61" ca="1">_FV(RTData[[#This Row],[Company Name]],"Volume average",TRUE)</f>
        <v>3003100</v>
      </c>
      <c r="R61" s="74" cm="1">
        <f t="array" aca="1" ref="R61" ca="1">_FV(RTData[[#This Row],[Company Name]],"Beta")</f>
        <v>1.5658000000000001</v>
      </c>
      <c r="S61" s="80" t="s">
        <v>23</v>
      </c>
      <c r="T61" s="80" t="s">
        <v>24</v>
      </c>
      <c r="U61" s="80" t="str" cm="1">
        <f t="array" aca="1" ref="U61" ca="1">_FV(RTData[[#This Row],[Company Name]],"Exchange abbreviation",TRUE)</f>
        <v>XPAR</v>
      </c>
      <c r="V61" s="141">
        <f ca="1">IFERROR(RTData[[#This Row],[Volume]]/RTData[[#This Row],[Volume average]],1)</f>
        <v>0.70313076487629445</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45905.666666666664</v>
      </c>
      <c r="F62" s="81" cm="1">
        <f t="array" aca="1" ref="F62" ca="1">_FV(RTData[[#This Row],[Company Name]],"Previous close",TRUE)</f>
        <v>13.715</v>
      </c>
      <c r="G62" s="81" cm="1">
        <f t="array" aca="1" ref="G62" ca="1">_FV(RTData[[#This Row],[Company Name]],"Open")</f>
        <v>13.7</v>
      </c>
      <c r="H62" s="81" cm="1">
        <f t="array" aca="1" ref="H62" ca="1">_FV(RTData[[#This Row],[Company Name]],"Price")</f>
        <v>13.625</v>
      </c>
      <c r="I62" s="81" cm="1">
        <f t="array" aca="1" ref="I62" ca="1">_FV(RTData[[#This Row],[Company Name]],"Low")</f>
        <v>13.57</v>
      </c>
      <c r="J62" s="81" cm="1">
        <f t="array" aca="1" ref="J62" ca="1">_FV(RTData[[#This Row],[Company Name]],"High")</f>
        <v>13.75</v>
      </c>
      <c r="K62" s="76" cm="1">
        <f t="array" aca="1" ref="K62" ca="1">IFERROR(_FV(RTData[[#This Row],[Company Name]],"P/E",TRUE),99)</f>
        <v>43.319600000000001</v>
      </c>
      <c r="L62" s="77" cm="1">
        <f t="array" aca="1" ref="L62" ca="1">_FV(RTData[[#This Row],[Company Name]],"Change")</f>
        <v>-0.09</v>
      </c>
      <c r="M62" s="78" cm="1">
        <f t="array" aca="1" ref="M62" ca="1">_FV(RTData[[#This Row],[Company Name]],"Change (%)",TRUE)</f>
        <v>-6.5620000000000001E-3</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4366285</v>
      </c>
      <c r="Q62" s="79" cm="1">
        <f t="array" aca="1" ref="Q62" ca="1">_FV(RTData[[#This Row],[Company Name]],"Volume average",TRUE)</f>
        <v>5729350</v>
      </c>
      <c r="R62" s="74" cm="1">
        <f t="array" aca="1" ref="R62" ca="1">_FV(RTData[[#This Row],[Company Name]],"Beta")</f>
        <v>0.27610000000000001</v>
      </c>
      <c r="S62" s="80" t="s">
        <v>23</v>
      </c>
      <c r="T62" s="80" t="s">
        <v>24</v>
      </c>
      <c r="U62" s="80" t="str" cm="1">
        <f t="array" aca="1" ref="U62" ca="1">_FV(RTData[[#This Row],[Company Name]],"Exchange abbreviation",TRUE)</f>
        <v>XPAR</v>
      </c>
      <c r="V62" s="141">
        <f ca="1">IFERROR(RTData[[#This Row],[Volume]]/RTData[[#This Row],[Volume average]],1)</f>
        <v>0.76209081309398097</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45905.770833333336</v>
      </c>
      <c r="F63" s="81" cm="1">
        <f t="array" aca="1" ref="F63" ca="1">_FV(RTData[[#This Row],[Company Name]],"Previous close",TRUE)</f>
        <v>34.659999999999997</v>
      </c>
      <c r="G63" s="81" cm="1">
        <f t="array" aca="1" ref="G63" ca="1">_FV(RTData[[#This Row],[Company Name]],"Open")</f>
        <v>34.68</v>
      </c>
      <c r="H63" s="81" cm="1">
        <f t="array" aca="1" ref="H63" ca="1">_FV(RTData[[#This Row],[Company Name]],"Price")</f>
        <v>35.020000000000003</v>
      </c>
      <c r="I63" s="81" cm="1">
        <f t="array" aca="1" ref="I63" ca="1">_FV(RTData[[#This Row],[Company Name]],"Low")</f>
        <v>34.61</v>
      </c>
      <c r="J63" s="81" cm="1">
        <f t="array" aca="1" ref="J63" ca="1">_FV(RTData[[#This Row],[Company Name]],"High")</f>
        <v>35.159999999999997</v>
      </c>
      <c r="K63" s="76" cm="1">
        <f t="array" aca="1" ref="K63" ca="1">IFERROR(_FV(RTData[[#This Row],[Company Name]],"P/E",TRUE),99)</f>
        <v>9.9192999999999998</v>
      </c>
      <c r="L63" s="77" cm="1">
        <f t="array" aca="1" ref="L63" ca="1">_FV(RTData[[#This Row],[Company Name]],"Change")</f>
        <v>0.36</v>
      </c>
      <c r="M63" s="78" cm="1">
        <f t="array" aca="1" ref="M63" ca="1">_FV(RTData[[#This Row],[Company Name]],"Change (%)",TRUE)</f>
        <v>1.0387E-2</v>
      </c>
      <c r="N63" s="81" cm="1">
        <f t="array" aca="1" ref="N63" ca="1">_FV(RTData[[#This Row],[Company Name]],"52 week low",TRUE)</f>
        <v>27.76</v>
      </c>
      <c r="O63" s="81" cm="1">
        <f t="array" aca="1" ref="O63" ca="1">_FV(RTData[[#This Row],[Company Name]],"52 week high",TRUE)</f>
        <v>37.78</v>
      </c>
      <c r="P63" s="79" cm="1">
        <f t="array" aca="1" ref="P63" ca="1">_FV(RTData[[#This Row],[Company Name]],"Volume")</f>
        <v>1530268</v>
      </c>
      <c r="Q63" s="79" cm="1">
        <f t="array" aca="1" ref="Q63" ca="1">_FV(RTData[[#This Row],[Company Name]],"Volume average",TRUE)</f>
        <v>1236220</v>
      </c>
      <c r="R63" s="74" cm="1">
        <f t="array" aca="1" ref="R63" ca="1">_FV(RTData[[#This Row],[Company Name]],"Beta")</f>
        <v>0.48559999999999998</v>
      </c>
      <c r="S63" s="80" t="s">
        <v>23</v>
      </c>
      <c r="T63" s="80" t="s">
        <v>24</v>
      </c>
      <c r="U63" s="80" t="str" cm="1">
        <f t="array" aca="1" ref="U63" ca="1">_FV(RTData[[#This Row],[Company Name]],"Exchange abbreviation",TRUE)</f>
        <v>XETR</v>
      </c>
      <c r="V63" s="141">
        <f ca="1">IFERROR(RTData[[#This Row],[Volume]]/RTData[[#This Row],[Volume average]],1)</f>
        <v>1.2378605749785636</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45905.770833333336</v>
      </c>
      <c r="F64" s="81" cm="1">
        <f t="array" aca="1" ref="F64" ca="1">_FV(RTData[[#This Row],[Company Name]],"Previous close",TRUE)</f>
        <v>233.2</v>
      </c>
      <c r="G64" s="81" cm="1">
        <f t="array" aca="1" ref="G64" ca="1">_FV(RTData[[#This Row],[Company Name]],"Open")</f>
        <v>233.4</v>
      </c>
      <c r="H64" s="81" cm="1">
        <f t="array" aca="1" ref="H64" ca="1">_FV(RTData[[#This Row],[Company Name]],"Price")</f>
        <v>228.25</v>
      </c>
      <c r="I64" s="81" cm="1">
        <f t="array" aca="1" ref="I64" ca="1">_FV(RTData[[#This Row],[Company Name]],"Low")</f>
        <v>227.9</v>
      </c>
      <c r="J64" s="81" cm="1">
        <f t="array" aca="1" ref="J64" ca="1">_FV(RTData[[#This Row],[Company Name]],"High")</f>
        <v>233.6</v>
      </c>
      <c r="K64" s="76" cm="1">
        <f t="array" aca="1" ref="K64" ca="1">IFERROR(_FV(RTData[[#This Row],[Company Name]],"P/E",TRUE),99)</f>
        <v>41.636899999999997</v>
      </c>
      <c r="L64" s="77" cm="1">
        <f t="array" aca="1" ref="L64" ca="1">_FV(RTData[[#This Row],[Company Name]],"Change")</f>
        <v>-4.95</v>
      </c>
      <c r="M64" s="78" cm="1">
        <f t="array" aca="1" ref="M64" ca="1">_FV(RTData[[#This Row],[Company Name]],"Change (%)",TRUE)</f>
        <v>-2.1225999999999998E-2</v>
      </c>
      <c r="N64" s="81" cm="1">
        <f t="array" aca="1" ref="N64" ca="1">_FV(RTData[[#This Row],[Company Name]],"52 week low",TRUE)</f>
        <v>190.04</v>
      </c>
      <c r="O64" s="81" cm="1">
        <f t="array" aca="1" ref="O64" ca="1">_FV(RTData[[#This Row],[Company Name]],"52 week high",TRUE)</f>
        <v>283.5</v>
      </c>
      <c r="P64" s="79" cm="1">
        <f t="array" aca="1" ref="P64" ca="1">_FV(RTData[[#This Row],[Company Name]],"Volume")</f>
        <v>1272378</v>
      </c>
      <c r="Q64" s="79" cm="1">
        <f t="array" aca="1" ref="Q64" ca="1">_FV(RTData[[#This Row],[Company Name]],"Volume average",TRUE)</f>
        <v>1123750</v>
      </c>
      <c r="R64" s="81" cm="1">
        <f t="array" aca="1" ref="R64" ca="1">_FV(RTData[[#This Row],[Company Name]],"Beta")</f>
        <v>1.1692</v>
      </c>
      <c r="S64" s="80" t="s">
        <v>23</v>
      </c>
      <c r="T64" s="80" t="s">
        <v>24</v>
      </c>
      <c r="U64" s="80" t="str" cm="1">
        <f t="array" aca="1" ref="U64" ca="1">_FV(RTData[[#This Row],[Company Name]],"Exchange abbreviation",TRUE)</f>
        <v>XETR</v>
      </c>
      <c r="V64" s="141">
        <f ca="1">IFERROR(RTData[[#This Row],[Volume]]/RTData[[#This Row],[Volume average]],1)</f>
        <v>1.1322607341490545</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45905.836805555555</v>
      </c>
      <c r="F65" s="81" cm="1">
        <f t="array" aca="1" ref="F65" ca="1">_FV(RTData[[#This Row],[Company Name]],"Previous close",TRUE)</f>
        <v>35.799999999999997</v>
      </c>
      <c r="G65" s="81" cm="1">
        <f t="array" aca="1" ref="G65" ca="1">_FV(RTData[[#This Row],[Company Name]],"Open")</f>
        <v>36.25</v>
      </c>
      <c r="H65" s="81" cm="1">
        <f t="array" aca="1" ref="H65" ca="1">_FV(RTData[[#This Row],[Company Name]],"Price")</f>
        <v>35.450000000000003</v>
      </c>
      <c r="I65" s="81" cm="1">
        <f t="array" aca="1" ref="I65" ca="1">_FV(RTData[[#This Row],[Company Name]],"Low")</f>
        <v>35.450000000000003</v>
      </c>
      <c r="J65" s="81" cm="1">
        <f t="array" aca="1" ref="J65" ca="1">_FV(RTData[[#This Row],[Company Name]],"High")</f>
        <v>36.6</v>
      </c>
      <c r="K65" s="76" cm="1">
        <f t="array" ref="K65">IFERROR(_FV(RTData[[#This Row],[Company Name]],"P/E",TRUE),99)</f>
        <v>99</v>
      </c>
      <c r="L65" s="77" cm="1">
        <f t="array" aca="1" ref="L65" ca="1">_FV(RTData[[#This Row],[Company Name]],"Change")</f>
        <v>-0.35</v>
      </c>
      <c r="M65" s="78" cm="1">
        <f t="array" aca="1" ref="M65" ca="1">_FV(RTData[[#This Row],[Company Name]],"Change (%)",TRUE)</f>
        <v>-9.777000000000001E-3</v>
      </c>
      <c r="N65" s="81" cm="1">
        <f t="array" aca="1" ref="N65" ca="1">_FV(RTData[[#This Row],[Company Name]],"52 week low",TRUE)</f>
        <v>2.1</v>
      </c>
      <c r="O65" s="81" cm="1">
        <f t="array" aca="1" ref="O65" ca="1">_FV(RTData[[#This Row],[Company Name]],"52 week high",TRUE)</f>
        <v>73.5</v>
      </c>
      <c r="P65" s="79" cm="1">
        <f t="array" aca="1" ref="P65" ca="1">_FV(RTData[[#This Row],[Company Name]],"Volume")</f>
        <v>236</v>
      </c>
      <c r="Q65" s="79" cm="1">
        <f t="array" aca="1" ref="Q65" ca="1">_FV(RTData[[#This Row],[Company Name]],"Volume average",TRUE)</f>
        <v>1510</v>
      </c>
      <c r="R65" s="74" cm="1">
        <f t="array" aca="1" ref="R65" ca="1">_FV(RTData[[#This Row],[Company Name]],"Beta")</f>
        <v>1.0089999999999999</v>
      </c>
      <c r="S65" s="80" t="s">
        <v>23</v>
      </c>
      <c r="T65" s="80" t="s">
        <v>24</v>
      </c>
      <c r="U65" s="80" t="str" cm="1">
        <f t="array" aca="1" ref="U65" ca="1">_FV(RTData[[#This Row],[Company Name]],"Exchange abbreviation",TRUE)</f>
        <v>XFRA</v>
      </c>
      <c r="V65" s="141">
        <f ca="1">IFERROR(RTData[[#This Row],[Volume]]/RTData[[#This Row],[Volume average]],1)</f>
        <v>0.15629139072847681</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0.85346078347699927</v>
      </c>
      <c r="C66" s="43" t="e" vm="1">
        <v>#VALUE!</v>
      </c>
      <c r="D66" s="17" t="str" cm="1">
        <f t="array" aca="1" ref="D66" ca="1">_FV(RTData[[#This Row],[Company Name]],"Currency")</f>
        <v>USD</v>
      </c>
      <c r="E66" s="18" cm="1">
        <f t="array" aca="1" ref="E66" ca="1">_FV(RTData[[#This Row],[Company Name]],"Last trade time",TRUE)</f>
        <v>45905.999991724217</v>
      </c>
      <c r="F66" s="19" cm="1">
        <f t="array" aca="1" ref="F66" ca="1">_FV(RTData[[#This Row],[Company Name]],"Previous close",TRUE)</f>
        <v>239.78</v>
      </c>
      <c r="G66" s="19" cm="1">
        <f t="array" aca="1" ref="G66" ca="1">_FV(RTData[[#This Row],[Company Name]],"Open")</f>
        <v>239.995</v>
      </c>
      <c r="H66" s="19" cm="1">
        <f t="array" aca="1" ref="H66" ca="1">_FV(RTData[[#This Row],[Company Name]],"Price")</f>
        <v>239.69</v>
      </c>
      <c r="I66" s="19" cm="1">
        <f t="array" aca="1" ref="I66" ca="1">_FV(RTData[[#This Row],[Company Name]],"Low")</f>
        <v>238.49010000000001</v>
      </c>
      <c r="J66" s="19" cm="1">
        <f t="array" aca="1" ref="J66" ca="1">_FV(RTData[[#This Row],[Company Name]],"High")</f>
        <v>241.32</v>
      </c>
      <c r="K66" s="20" cm="1">
        <f t="array" aca="1" ref="K66" ca="1">IFERROR(_FV(RTData[[#This Row],[Company Name]],"P/E",TRUE),99)</f>
        <v>33.0593</v>
      </c>
      <c r="L66" s="21" cm="1">
        <f t="array" aca="1" ref="L66" ca="1">_FV(RTData[[#This Row],[Company Name]],"Change")</f>
        <v>-0.09</v>
      </c>
      <c r="M66" s="22" cm="1">
        <f t="array" aca="1" ref="M66" ca="1">_FV(RTData[[#This Row],[Company Name]],"Change (%)",TRUE)</f>
        <v>-3.7530000000000002E-4</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54870397</v>
      </c>
      <c r="Q66" s="23" cm="1">
        <f t="array" aca="1" ref="Q66" ca="1">_FV(RTData[[#This Row],[Company Name]],"Volume average",TRUE)</f>
        <v>58275063</v>
      </c>
      <c r="R66" s="19" cm="1">
        <f t="array" aca="1" ref="R66" ca="1">_FV(RTData[[#This Row],[Company Name]],"Beta")</f>
        <v>1.0818000000000001</v>
      </c>
      <c r="S66" t="s">
        <v>25</v>
      </c>
      <c r="T66" t="s">
        <v>26</v>
      </c>
      <c r="U66" t="str" cm="1">
        <f t="array" aca="1" ref="U66" ca="1">_FV(RTData[[#This Row],[Company Name]],"Exchange abbreviation",TRUE)</f>
        <v>XNAS</v>
      </c>
      <c r="V66" s="24">
        <f ca="1">IFERROR(RTData[[#This Row],[Volume]]/RTData[[#This Row],[Volume average]],1)</f>
        <v>0.94157593617702307</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0.85346078347699927</v>
      </c>
      <c r="C67" t="e" vm="4">
        <v>#VALUE!</v>
      </c>
      <c r="D67" s="17" t="str" cm="1">
        <f t="array" aca="1" ref="D67" ca="1">_FV(RTData[[#This Row],[Company Name]],"Currency")</f>
        <v>USD</v>
      </c>
      <c r="E67" s="18" cm="1">
        <f t="array" aca="1" ref="E67" ca="1">_FV(RTData[[#This Row],[Company Name]],"Last trade time",TRUE)</f>
        <v>45905.999998471874</v>
      </c>
      <c r="F67" s="19" cm="1">
        <f t="array" aca="1" ref="F67" ca="1">_FV(RTData[[#This Row],[Company Name]],"Previous close",TRUE)</f>
        <v>235.68</v>
      </c>
      <c r="G67" s="19" cm="1">
        <f t="array" aca="1" ref="G67" ca="1">_FV(RTData[[#This Row],[Company Name]],"Open")</f>
        <v>235.19</v>
      </c>
      <c r="H67" s="19" cm="1">
        <f t="array" aca="1" ref="H67" ca="1">_FV(RTData[[#This Row],[Company Name]],"Price")</f>
        <v>232.33</v>
      </c>
      <c r="I67" s="19" cm="1">
        <f t="array" aca="1" ref="I67" ca="1">_FV(RTData[[#This Row],[Company Name]],"Low")</f>
        <v>231.93</v>
      </c>
      <c r="J67" s="19" cm="1">
        <f t="array" aca="1" ref="J67" ca="1">_FV(RTData[[#This Row],[Company Name]],"High")</f>
        <v>236</v>
      </c>
      <c r="K67" s="20" cm="1">
        <f t="array" aca="1" ref="K67" ca="1">IFERROR(_FV(RTData[[#This Row],[Company Name]],"P/E",TRUE),99)</f>
        <v>35.964199999999998</v>
      </c>
      <c r="L67" s="21" cm="1">
        <f t="array" aca="1" ref="L67" ca="1">_FV(RTData[[#This Row],[Company Name]],"Change")</f>
        <v>-3.35</v>
      </c>
      <c r="M67" s="22" cm="1">
        <f t="array" aca="1" ref="M67" ca="1">_FV(RTData[[#This Row],[Company Name]],"Change (%)",TRUE)</f>
        <v>-1.4213999999999999E-2</v>
      </c>
      <c r="N67" s="19" cm="1">
        <f t="array" aca="1" ref="N67" ca="1">_FV(RTData[[#This Row],[Company Name]],"52 week low",TRUE)</f>
        <v>161.38</v>
      </c>
      <c r="O67" s="19" cm="1">
        <f t="array" aca="1" ref="O67" ca="1">_FV(RTData[[#This Row],[Company Name]],"52 week high",TRUE)</f>
        <v>242.52</v>
      </c>
      <c r="P67" s="23" cm="1">
        <f t="array" aca="1" ref="P67" ca="1">_FV(RTData[[#This Row],[Company Name]],"Volume")</f>
        <v>36721802</v>
      </c>
      <c r="Q67" s="23" cm="1">
        <f t="array" aca="1" ref="Q67" ca="1">_FV(RTData[[#This Row],[Company Name]],"Volume average",TRUE)</f>
        <v>44381753</v>
      </c>
      <c r="R67" s="19" cm="1">
        <f t="array" aca="1" ref="R67" ca="1">_FV(RTData[[#This Row],[Company Name]],"Beta")</f>
        <v>1.2955000000000001</v>
      </c>
      <c r="S67" t="s">
        <v>25</v>
      </c>
      <c r="T67" t="s">
        <v>26</v>
      </c>
      <c r="U67" t="str" cm="1">
        <f t="array" aca="1" ref="U67" ca="1">_FV(RTData[[#This Row],[Company Name]],"Exchange abbreviation",TRUE)</f>
        <v>XNAS</v>
      </c>
      <c r="V67" s="24">
        <f ca="1">IFERROR(RTData[[#This Row],[Volume]]/RTData[[#This Row],[Volume average]],1)</f>
        <v>0.82740765106777103</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45905.666666666664</v>
      </c>
      <c r="F68" s="29" cm="1">
        <f t="array" aca="1" ref="F68" ca="1">_FV(RTData[[#This Row],[Company Name]],"Previous close",TRUE)</f>
        <v>647.6</v>
      </c>
      <c r="G68" s="29" cm="1">
        <f t="array" aca="1" ref="G68" ca="1">_FV(RTData[[#This Row],[Company Name]],"Open")</f>
        <v>660</v>
      </c>
      <c r="H68" s="29" cm="1">
        <f t="array" aca="1" ref="H68" ca="1">_FV(RTData[[#This Row],[Company Name]],"Price")</f>
        <v>660.2</v>
      </c>
      <c r="I68" s="29" cm="1">
        <f t="array" aca="1" ref="I68" ca="1">_FV(RTData[[#This Row],[Company Name]],"Low")</f>
        <v>653.1</v>
      </c>
      <c r="J68" s="29" cm="1">
        <f t="array" aca="1" ref="J68" ca="1">_FV(RTData[[#This Row],[Company Name]],"High")</f>
        <v>666.3</v>
      </c>
      <c r="K68" s="20" cm="1">
        <f t="array" aca="1" ref="K68" ca="1">IFERROR(_FV(RTData[[#This Row],[Company Name]],"P/E",TRUE),99)</f>
        <v>25.349299999999999</v>
      </c>
      <c r="L68" s="21" cm="1">
        <f t="array" aca="1" ref="L68" ca="1">_FV(RTData[[#This Row],[Company Name]],"Change")</f>
        <v>12.6</v>
      </c>
      <c r="M68" s="22" cm="1">
        <f t="array" aca="1" ref="M68" ca="1">_FV(RTData[[#This Row],[Company Name]],"Change (%)",TRUE)</f>
        <v>1.9456000000000001E-2</v>
      </c>
      <c r="N68" s="29" cm="1">
        <f t="array" aca="1" ref="N68" ca="1">_FV(RTData[[#This Row],[Company Name]],"52 week low",TRUE)</f>
        <v>508.4</v>
      </c>
      <c r="O68" s="29" cm="1">
        <f t="array" aca="1" ref="O68" ca="1">_FV(RTData[[#This Row],[Company Name]],"52 week high",TRUE)</f>
        <v>819.7</v>
      </c>
      <c r="P68" s="23" cm="1">
        <f t="array" aca="1" ref="P68" ca="1">_FV(RTData[[#This Row],[Company Name]],"Volume")</f>
        <v>897446</v>
      </c>
      <c r="Q68" s="23" cm="1">
        <f t="array" aca="1" ref="Q68" ca="1">_FV(RTData[[#This Row],[Company Name]],"Volume average",TRUE)</f>
        <v>475690</v>
      </c>
      <c r="R68" s="19" cm="1">
        <f t="array" aca="1" ref="R68" ca="1">_FV(RTData[[#This Row],[Company Name]],"Beta")</f>
        <v>1.8642000000000001</v>
      </c>
      <c r="S68" t="s">
        <v>25</v>
      </c>
      <c r="T68" t="s">
        <v>26</v>
      </c>
      <c r="U68" t="str" cm="1">
        <f t="array" aca="1" ref="U68" ca="1">_FV(RTData[[#This Row],[Company Name]],"Exchange abbreviation",TRUE)</f>
        <v>XAMS</v>
      </c>
      <c r="V68" s="24">
        <f ca="1">IFERROR(RTData[[#This Row],[Volume]]/RTData[[#This Row],[Volume average]],1)</f>
        <v>1.8866194370283167</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0.85346078347699927</v>
      </c>
      <c r="C69" t="e" vm="13">
        <v>#VALUE!</v>
      </c>
      <c r="D69" s="17" t="str" cm="1">
        <f t="array" aca="1" ref="D69" ca="1">_FV(RTData[[#This Row],[Company Name]],"Currency")</f>
        <v>USD</v>
      </c>
      <c r="E69" s="18" cm="1">
        <f t="array" aca="1" ref="E69" ca="1">_FV(RTData[[#This Row],[Company Name]],"Last trade time",TRUE)</f>
        <v>45905.995490601563</v>
      </c>
      <c r="F69" s="19" cm="1">
        <f t="array" aca="1" ref="F69" ca="1">_FV(RTData[[#This Row],[Company Name]],"Previous close",TRUE)</f>
        <v>2.0499999999999998</v>
      </c>
      <c r="G69" s="19" cm="1">
        <f t="array" aca="1" ref="G69" ca="1">_FV(RTData[[#This Row],[Company Name]],"Open")</f>
        <v>2.09</v>
      </c>
      <c r="H69" s="19" cm="1">
        <f t="array" aca="1" ref="H69" ca="1">_FV(RTData[[#This Row],[Company Name]],"Price")</f>
        <v>2.12</v>
      </c>
      <c r="I69" s="19" cm="1">
        <f t="array" aca="1" ref="I69" ca="1">_FV(RTData[[#This Row],[Company Name]],"Low")</f>
        <v>2.0421</v>
      </c>
      <c r="J69" s="19" cm="1">
        <f t="array" aca="1" ref="J69" ca="1">_FV(RTData[[#This Row],[Company Name]],"High")</f>
        <v>2.14</v>
      </c>
      <c r="K69" s="20" cm="1">
        <f t="array" ref="K69">IFERROR(_FV(RTData[[#This Row],[Company Name]],"P/E",TRUE),99)</f>
        <v>99</v>
      </c>
      <c r="L69" s="21" cm="1">
        <f t="array" aca="1" ref="L69" ca="1">_FV(RTData[[#This Row],[Company Name]],"Change")</f>
        <v>7.0000000000000007E-2</v>
      </c>
      <c r="M69" s="22" cm="1">
        <f t="array" aca="1" ref="M69" ca="1">_FV(RTData[[#This Row],[Company Name]],"Change (%)",TRUE)</f>
        <v>3.4146000000000003E-2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2570864</v>
      </c>
      <c r="Q69" s="23" cm="1">
        <f t="array" aca="1" ref="Q69" ca="1">_FV(RTData[[#This Row],[Company Name]],"Volume average",TRUE)</f>
        <v>4638924</v>
      </c>
      <c r="R69" s="19" cm="1">
        <f t="array" aca="1" ref="R69" ca="1">_FV(RTData[[#This Row],[Company Name]],"Beta")</f>
        <v>2.0886</v>
      </c>
      <c r="S69" t="s">
        <v>25</v>
      </c>
      <c r="T69" t="s">
        <v>26</v>
      </c>
      <c r="U69" t="str" cm="1">
        <f t="array" aca="1" ref="U69" ca="1">_FV(RTData[[#This Row],[Company Name]],"Exchange abbreviation",TRUE)</f>
        <v>XNYS</v>
      </c>
      <c r="V69" s="24">
        <f ca="1">IFERROR(RTData[[#This Row],[Volume]]/RTData[[#This Row],[Volume average]],1)</f>
        <v>0.55419403292660108</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0.85346078347699927</v>
      </c>
      <c r="C70" s="43" t="e" vm="14">
        <v>#VALUE!</v>
      </c>
      <c r="D70" s="17" t="str" cm="1">
        <f t="array" aca="1" ref="D70" ca="1">_FV(RTData[[#This Row],[Company Name]],"Currency")</f>
        <v>USD</v>
      </c>
      <c r="E70" s="18" cm="1">
        <f t="array" aca="1" ref="E70" ca="1">_FV(RTData[[#This Row],[Company Name]],"Last trade time",TRUE)</f>
        <v>45905.998333818752</v>
      </c>
      <c r="F70" s="19" cm="1">
        <f t="array" aca="1" ref="F70" ca="1">_FV(RTData[[#This Row],[Company Name]],"Previous close",TRUE)</f>
        <v>118.81</v>
      </c>
      <c r="G70" s="19" cm="1">
        <f t="array" aca="1" ref="G70" ca="1">_FV(RTData[[#This Row],[Company Name]],"Open")</f>
        <v>118.91</v>
      </c>
      <c r="H70" s="19" cm="1">
        <f t="array" aca="1" ref="H70" ca="1">_FV(RTData[[#This Row],[Company Name]],"Price")</f>
        <v>117.91</v>
      </c>
      <c r="I70" s="19" cm="1">
        <f t="array" aca="1" ref="I70" ca="1">_FV(RTData[[#This Row],[Company Name]],"Low")</f>
        <v>117.7</v>
      </c>
      <c r="J70" s="19" cm="1">
        <f t="array" aca="1" ref="J70" ca="1">_FV(RTData[[#This Row],[Company Name]],"High")</f>
        <v>119.78</v>
      </c>
      <c r="K70" s="20" cm="1">
        <f t="array" aca="1" ref="K70" ca="1">IFERROR(_FV(RTData[[#This Row],[Company Name]],"P/E",TRUE),99)</f>
        <v>18.626999999999999</v>
      </c>
      <c r="L70" s="21" cm="1">
        <f t="array" aca="1" ref="L70" ca="1">_FV(RTData[[#This Row],[Company Name]],"Change")</f>
        <v>-0.9</v>
      </c>
      <c r="M70" s="22" cm="1">
        <f t="array" aca="1" ref="M70" ca="1">_FV(RTData[[#This Row],[Company Name]],"Change (%)",TRUE)</f>
        <v>-7.5749999999999993E-3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6669126</v>
      </c>
      <c r="Q70" s="23" cm="1">
        <f t="array" aca="1" ref="Q70" ca="1">_FV(RTData[[#This Row],[Company Name]],"Volume average",TRUE)</f>
        <v>8144722</v>
      </c>
      <c r="R70" s="19" cm="1">
        <f t="array" aca="1" ref="R70" ca="1">_FV(RTData[[#This Row],[Company Name]],"Beta")</f>
        <v>1.5549999999999999</v>
      </c>
      <c r="S70" t="s">
        <v>25</v>
      </c>
      <c r="T70" t="s">
        <v>26</v>
      </c>
      <c r="U70" t="str" cm="1">
        <f t="array" aca="1" ref="U70" ca="1">_FV(RTData[[#This Row],[Company Name]],"Exchange abbreviation",TRUE)</f>
        <v>XNYS</v>
      </c>
      <c r="V70" s="24">
        <f ca="1">IFERROR(RTData[[#This Row],[Volume]]/RTData[[#This Row],[Volume average]],1)</f>
        <v>0.81882794771878031</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0.85346078347699927</v>
      </c>
      <c r="C71" t="e" vm="20">
        <v>#VALUE!</v>
      </c>
      <c r="D71" s="17" t="str" cm="1">
        <f t="array" aca="1" ref="D71" ca="1">_FV(RTData[[#This Row],[Company Name]],"Currency")</f>
        <v>USD</v>
      </c>
      <c r="E71" s="18" cm="1">
        <f t="array" aca="1" ref="E71" ca="1">_FV(RTData[[#This Row],[Company Name]],"Last trade time",TRUE)</f>
        <v>45905.998227696095</v>
      </c>
      <c r="F71" s="19" cm="1">
        <f t="array" aca="1" ref="F71" ca="1">_FV(RTData[[#This Row],[Company Name]],"Previous close",TRUE)</f>
        <v>58</v>
      </c>
      <c r="G71" s="19" cm="1">
        <f t="array" aca="1" ref="G71" ca="1">_FV(RTData[[#This Row],[Company Name]],"Open")</f>
        <v>58.08</v>
      </c>
      <c r="H71" s="19" cm="1">
        <f t="array" aca="1" ref="H71" ca="1">_FV(RTData[[#This Row],[Company Name]],"Price")</f>
        <v>58.27</v>
      </c>
      <c r="I71" s="19" cm="1">
        <f t="array" aca="1" ref="I71" ca="1">_FV(RTData[[#This Row],[Company Name]],"Low")</f>
        <v>57.755000000000003</v>
      </c>
      <c r="J71" s="19" cm="1">
        <f t="array" aca="1" ref="J71" ca="1">_FV(RTData[[#This Row],[Company Name]],"High")</f>
        <v>58.805</v>
      </c>
      <c r="K71" s="20" cm="1">
        <f t="array" aca="1" ref="K71" ca="1">IFERROR(_FV(RTData[[#This Row],[Company Name]],"P/E",TRUE),99)</f>
        <v>8.3602000000000007</v>
      </c>
      <c r="L71" s="21" cm="1">
        <f t="array" aca="1" ref="L71" ca="1">_FV(RTData[[#This Row],[Company Name]],"Change")</f>
        <v>0.27</v>
      </c>
      <c r="M71" s="22" cm="1">
        <f t="array" aca="1" ref="M71" ca="1">_FV(RTData[[#This Row],[Company Name]],"Change (%)",TRUE)</f>
        <v>4.6550000000000003E-3</v>
      </c>
      <c r="N71" s="19" cm="1">
        <f t="array" aca="1" ref="N71" ca="1">_FV(RTData[[#This Row],[Company Name]],"52 week low",TRUE)</f>
        <v>41.6</v>
      </c>
      <c r="O71" s="19" cm="1">
        <f t="array" aca="1" ref="O71" ca="1">_FV(RTData[[#This Row],[Company Name]],"52 week high",TRUE)</f>
        <v>61.24</v>
      </c>
      <c r="P71" s="23" cm="1">
        <f t="array" aca="1" ref="P71" ca="1">_FV(RTData[[#This Row],[Company Name]],"Volume")</f>
        <v>7378092</v>
      </c>
      <c r="Q71" s="23" cm="1">
        <f t="array" aca="1" ref="Q71" ca="1">_FV(RTData[[#This Row],[Company Name]],"Volume average",TRUE)</f>
        <v>6899790</v>
      </c>
      <c r="R71" s="19" cm="1">
        <f t="array" aca="1" ref="R71" ca="1">_FV(RTData[[#This Row],[Company Name]],"Beta")</f>
        <v>1.3385</v>
      </c>
      <c r="S71" t="s">
        <v>25</v>
      </c>
      <c r="T71" t="s">
        <v>26</v>
      </c>
      <c r="U71" t="str" cm="1">
        <f t="array" aca="1" ref="U71" ca="1">_FV(RTData[[#This Row],[Company Name]],"Exchange abbreviation",TRUE)</f>
        <v>XNYS</v>
      </c>
      <c r="V71" s="24">
        <f ca="1">IFERROR(RTData[[#This Row],[Volume]]/RTData[[#This Row],[Volume average]],1)</f>
        <v>1.0693212402116585</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1.1532695190866105E-2</v>
      </c>
      <c r="C72" s="42" t="e" vm="23">
        <v>#VALUE!</v>
      </c>
      <c r="D72" s="17" t="str" cm="1">
        <f t="array" aca="1" ref="D72" ca="1">_FV(RTData[[#This Row],[Company Name]],"Currency")</f>
        <v>GBp</v>
      </c>
      <c r="E72" s="18" cm="1">
        <f t="array" aca="1" ref="E72" ca="1">_FV(RTData[[#This Row],[Company Name]],"Last trade time",TRUE)</f>
        <v>45905.62336168906</v>
      </c>
      <c r="F72" s="19" cm="1">
        <f t="array" aca="1" ref="F72" ca="1">_FV(RTData[[#This Row],[Company Name]],"Previous close",TRUE)</f>
        <v>390</v>
      </c>
      <c r="G72" s="19" cm="1">
        <f t="array" aca="1" ref="G72" ca="1">_FV(RTData[[#This Row],[Company Name]],"Open")</f>
        <v>390.8</v>
      </c>
      <c r="H72" s="19" cm="1">
        <f t="array" aca="1" ref="H72" ca="1">_FV(RTData[[#This Row],[Company Name]],"Price")</f>
        <v>390.7</v>
      </c>
      <c r="I72" s="19" cm="1">
        <f t="array" aca="1" ref="I72" ca="1">_FV(RTData[[#This Row],[Company Name]],"Low")</f>
        <v>385.8</v>
      </c>
      <c r="J72" s="19" cm="1">
        <f t="array" aca="1" ref="J72" ca="1">_FV(RTData[[#This Row],[Company Name]],"High")</f>
        <v>393.5</v>
      </c>
      <c r="K72" s="20" cm="1">
        <f t="array" aca="1" ref="K72" ca="1">IFERROR(_FV(RTData[[#This Row],[Company Name]],"P/E",TRUE),99)</f>
        <v>7.0258000000000003</v>
      </c>
      <c r="L72" s="21" cm="1">
        <f t="array" aca="1" ref="L72" ca="1">_FV(RTData[[#This Row],[Company Name]],"Change")</f>
        <v>0.7</v>
      </c>
      <c r="M72" s="22" cm="1">
        <f t="array" aca="1" ref="M72" ca="1">_FV(RTData[[#This Row],[Company Name]],"Change (%)",TRUE)</f>
        <v>1.7949999999999999E-3</v>
      </c>
      <c r="N72" s="19" cm="1">
        <f t="array" aca="1" ref="N72" ca="1">_FV(RTData[[#This Row],[Company Name]],"52 week low",TRUE)</f>
        <v>180.6</v>
      </c>
      <c r="O72" s="19" cm="1">
        <f t="array" aca="1" ref="O72" ca="1">_FV(RTData[[#This Row],[Company Name]],"52 week high",TRUE)</f>
        <v>396.7</v>
      </c>
      <c r="P72" s="23" cm="1">
        <f t="array" aca="1" ref="P72" ca="1">_FV(RTData[[#This Row],[Company Name]],"Volume")</f>
        <v>11836586</v>
      </c>
      <c r="Q72" s="23" cm="1">
        <f t="array" aca="1" ref="Q72" ca="1">_FV(RTData[[#This Row],[Company Name]],"Volume average",TRUE)</f>
        <v>11453210</v>
      </c>
      <c r="R72" s="19" cm="1">
        <f t="array" aca="1" ref="R72" ca="1">_FV(RTData[[#This Row],[Company Name]],"Beta")</f>
        <v>2.8026</v>
      </c>
      <c r="S72" t="s">
        <v>25</v>
      </c>
      <c r="T72" t="s">
        <v>26</v>
      </c>
      <c r="U72" t="str" cm="1">
        <f t="array" aca="1" ref="U72" ca="1">_FV(RTData[[#This Row],[Company Name]],"Exchange abbreviation",TRUE)</f>
        <v>XLON</v>
      </c>
      <c r="V72" s="24">
        <f ca="1">IFERROR(RTData[[#This Row],[Volume]]/RTData[[#This Row],[Volume average]],1)</f>
        <v>1.0334732358875809</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0.85346078347699927</v>
      </c>
      <c r="C73" t="e" vm="27">
        <v>#VALUE!</v>
      </c>
      <c r="D73" s="17" t="str" cm="1">
        <f t="array" aca="1" ref="D73" ca="1">_FV(RTData[[#This Row],[Company Name]],"Currency")</f>
        <v>USD</v>
      </c>
      <c r="E73" s="18" cm="1">
        <f t="array" aca="1" ref="E73" ca="1">_FV(RTData[[#This Row],[Company Name]],"Last trade time",TRUE)</f>
        <v>45905.999667916403</v>
      </c>
      <c r="F73" s="19" cm="1">
        <f t="array" aca="1" ref="F73" ca="1">_FV(RTData[[#This Row],[Company Name]],"Previous close",TRUE)</f>
        <v>24.28</v>
      </c>
      <c r="G73" s="19" cm="1">
        <f t="array" aca="1" ref="G73" ca="1">_FV(RTData[[#This Row],[Company Name]],"Open")</f>
        <v>24.66</v>
      </c>
      <c r="H73" s="19" cm="1">
        <f t="array" aca="1" ref="H73" ca="1">_FV(RTData[[#This Row],[Company Name]],"Price")</f>
        <v>25.14</v>
      </c>
      <c r="I73" s="19" cm="1">
        <f t="array" aca="1" ref="I73" ca="1">_FV(RTData[[#This Row],[Company Name]],"Low")</f>
        <v>24.605399999999999</v>
      </c>
      <c r="J73" s="19" cm="1">
        <f t="array" aca="1" ref="J73" ca="1">_FV(RTData[[#This Row],[Company Name]],"High")</f>
        <v>25.48</v>
      </c>
      <c r="K73" s="20" cm="1">
        <f t="array" aca="1" ref="K73" ca="1">IFERROR(_FV(RTData[[#This Row],[Company Name]],"P/E",TRUE),99)</f>
        <v>0</v>
      </c>
      <c r="L73" s="21" cm="1">
        <f t="array" aca="1" ref="L73" ca="1">_FV(RTData[[#This Row],[Company Name]],"Change")</f>
        <v>0.86</v>
      </c>
      <c r="M73" s="22" cm="1">
        <f t="array" aca="1" ref="M73" ca="1">_FV(RTData[[#This Row],[Company Name]],"Change (%)",TRUE)</f>
        <v>3.542E-2</v>
      </c>
      <c r="N73" s="19" cm="1">
        <f t="array" aca="1" ref="N73" ca="1">_FV(RTData[[#This Row],[Company Name]],"52 week low",TRUE)</f>
        <v>23.15</v>
      </c>
      <c r="O73" s="19" cm="1">
        <f t="array" aca="1" ref="O73" ca="1">_FV(RTData[[#This Row],[Company Name]],"52 week high",TRUE)</f>
        <v>79.958699999999993</v>
      </c>
      <c r="P73" s="23" cm="1">
        <f t="array" aca="1" ref="P73" ca="1">_FV(RTData[[#This Row],[Company Name]],"Volume")</f>
        <v>13040610</v>
      </c>
      <c r="Q73" s="23" cm="1">
        <f t="array" aca="1" ref="Q73" ca="1">_FV(RTData[[#This Row],[Company Name]],"Volume average",TRUE)</f>
        <v>9768259</v>
      </c>
      <c r="R73" s="19" cm="1">
        <f t="array" aca="1" ref="R73" ca="1">_FV(RTData[[#This Row],[Company Name]],"Beta")</f>
        <v>2.0028999999999999</v>
      </c>
      <c r="S73" t="s">
        <v>25</v>
      </c>
      <c r="T73" t="s">
        <v>26</v>
      </c>
      <c r="U73" t="str" cm="1">
        <f t="array" aca="1" ref="U73" ca="1">_FV(RTData[[#This Row],[Company Name]],"Exchange abbreviation",TRUE)</f>
        <v>XNAS</v>
      </c>
      <c r="V73" s="24">
        <f ca="1">IFERROR(RTData[[#This Row],[Volume]]/RTData[[#This Row],[Volume average]],1)</f>
        <v>1.3349983860993038</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0.85346078347699927</v>
      </c>
      <c r="C74" s="43" t="e" vm="56">
        <v>#VALUE!</v>
      </c>
      <c r="D74" s="17" t="str" cm="1">
        <f t="array" aca="1" ref="D74" ca="1">_FV(RTData[[#This Row],[Company Name]],"Currency")</f>
        <v>USD</v>
      </c>
      <c r="E74" s="18" cm="1">
        <f t="array" aca="1" ref="E74" ca="1">_FV(RTData[[#This Row],[Company Name]],"Last trade time",TRUE)</f>
        <v>45905.998764617965</v>
      </c>
      <c r="F74" s="19" cm="1">
        <f t="array" aca="1" ref="F74" ca="1">_FV(RTData[[#This Row],[Company Name]],"Previous close",TRUE)</f>
        <v>1.02</v>
      </c>
      <c r="G74" s="19" cm="1">
        <f t="array" aca="1" ref="G74" ca="1">_FV(RTData[[#This Row],[Company Name]],"Open")</f>
        <v>1.03</v>
      </c>
      <c r="H74" s="19" cm="1">
        <f t="array" aca="1" ref="H74" ca="1">_FV(RTData[[#This Row],[Company Name]],"Price")</f>
        <v>1.02</v>
      </c>
      <c r="I74" s="19" cm="1">
        <f t="array" aca="1" ref="I74" ca="1">_FV(RTData[[#This Row],[Company Name]],"Low")</f>
        <v>1.01</v>
      </c>
      <c r="J74" s="19" cm="1">
        <f t="array" aca="1" ref="J74" ca="1">_FV(RTData[[#This Row],[Company Name]],"High")</f>
        <v>1.077</v>
      </c>
      <c r="K74" s="20" cm="1">
        <f t="array" aca="1" ref="K74" ca="1">IFERROR(_FV(RTData[[#This Row],[Company Name]],"P/E",TRUE),99)</f>
        <v>0</v>
      </c>
      <c r="L74" s="21" cm="1">
        <f t="array" aca="1" ref="L74" ca="1">_FV(RTData[[#This Row],[Company Name]],"Change")</f>
        <v>0</v>
      </c>
      <c r="M74" s="22" cm="1">
        <f t="array" aca="1" ref="M74" ca="1">_FV(RTData[[#This Row],[Company Name]],"Change (%)",TRUE)</f>
        <v>0</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2168950</v>
      </c>
      <c r="Q74" s="23" cm="1">
        <f t="array" aca="1" ref="Q74" ca="1">_FV(RTData[[#This Row],[Company Name]],"Volume average",TRUE)</f>
        <v>2803617</v>
      </c>
      <c r="R74" s="19" cm="1">
        <f t="array" aca="1" ref="R74" ca="1">_FV(RTData[[#This Row],[Company Name]],"Beta")</f>
        <v>3.4899</v>
      </c>
      <c r="T74" t="s">
        <v>26</v>
      </c>
      <c r="U74" t="str" cm="1">
        <f t="array" aca="1" ref="U74" ca="1">_FV(RTData[[#This Row],[Company Name]],"Exchange abbreviation",TRUE)</f>
        <v>XNAS</v>
      </c>
      <c r="V74" s="24">
        <f ca="1">IFERROR(RTData[[#This Row],[Volume]]/RTData[[#This Row],[Volume average]],1)</f>
        <v>0.77362564144817214</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45905.666666666664</v>
      </c>
      <c r="F75" s="29" cm="1">
        <f t="array" aca="1" ref="F75" ca="1">_FV(RTData[[#This Row],[Company Name]],"Previous close",TRUE)</f>
        <v>14.928000000000001</v>
      </c>
      <c r="G75" s="29" cm="1">
        <f t="array" aca="1" ref="G75" ca="1">_FV(RTData[[#This Row],[Company Name]],"Open")</f>
        <v>14.968</v>
      </c>
      <c r="H75" s="29" cm="1">
        <f t="array" aca="1" ref="H75" ca="1">_FV(RTData[[#This Row],[Company Name]],"Price")</f>
        <v>14.625999999999999</v>
      </c>
      <c r="I75" s="29" cm="1">
        <f t="array" aca="1" ref="I75" ca="1">_FV(RTData[[#This Row],[Company Name]],"Low")</f>
        <v>14.506</v>
      </c>
      <c r="J75" s="29" cm="1">
        <f t="array" aca="1" ref="J75" ca="1">_FV(RTData[[#This Row],[Company Name]],"High")</f>
        <v>14.99</v>
      </c>
      <c r="K75" s="20" cm="1">
        <f t="array" aca="1" ref="K75" ca="1">IFERROR(_FV(RTData[[#This Row],[Company Name]],"P/E",TRUE),99)</f>
        <v>18.650700000000001</v>
      </c>
      <c r="L75" s="21" cm="1">
        <f t="array" aca="1" ref="L75" ca="1">_FV(RTData[[#This Row],[Company Name]],"Change")</f>
        <v>-0.30199999999999999</v>
      </c>
      <c r="M75" s="22" cm="1">
        <f t="array" aca="1" ref="M75" ca="1">_FV(RTData[[#This Row],[Company Name]],"Change (%)",TRUE)</f>
        <v>-2.0230000000000001E-2</v>
      </c>
      <c r="N75" s="29" cm="1">
        <f t="array" aca="1" ref="N75" ca="1">_FV(RTData[[#This Row],[Company Name]],"52 week low",TRUE)</f>
        <v>11.01</v>
      </c>
      <c r="O75" s="29" cm="1">
        <f t="array" aca="1" ref="O75" ca="1">_FV(RTData[[#This Row],[Company Name]],"52 week high",TRUE)</f>
        <v>15.39</v>
      </c>
      <c r="P75" s="23" cm="1">
        <f t="array" aca="1" ref="P75" ca="1">_FV(RTData[[#This Row],[Company Name]],"Volume")</f>
        <v>14927417</v>
      </c>
      <c r="Q75" s="23" cm="1">
        <f t="array" aca="1" ref="Q75" ca="1">_FV(RTData[[#This Row],[Company Name]],"Volume average",TRUE)</f>
        <v>10556960</v>
      </c>
      <c r="R75" s="19" cm="1">
        <f t="array" aca="1" ref="R75" ca="1">_FV(RTData[[#This Row],[Company Name]],"Beta")</f>
        <v>1.1017999999999999</v>
      </c>
      <c r="T75" t="s">
        <v>26</v>
      </c>
      <c r="U75" t="str" cm="1">
        <f t="array" aca="1" ref="U75" ca="1">_FV(RTData[[#This Row],[Company Name]],"Exchange abbreviation",TRUE)</f>
        <v>XMIL</v>
      </c>
      <c r="V75" s="24">
        <f ca="1">IFERROR(RTData[[#This Row],[Volume]]/RTData[[#This Row],[Volume average]],1)</f>
        <v>1.4139882125157242</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1.1532695190866105E-2</v>
      </c>
      <c r="C76" s="43" t="e" vm="57">
        <v>#VALUE!</v>
      </c>
      <c r="D76" s="17" t="str" cm="1">
        <f t="array" aca="1" ref="D76" ca="1">_FV(RTData[[#This Row],[Company Name]],"Currency")</f>
        <v>GBp</v>
      </c>
      <c r="E76" s="18" cm="1">
        <f t="array" aca="1" ref="E76" ca="1">_FV(RTData[[#This Row],[Company Name]],"Last trade time",TRUE)</f>
        <v>45905.64122349531</v>
      </c>
      <c r="F76" s="19" cm="1">
        <f t="array" aca="1" ref="F76" ca="1">_FV(RTData[[#This Row],[Company Name]],"Previous close",TRUE)</f>
        <v>466.3</v>
      </c>
      <c r="G76" s="19" cm="1">
        <f t="array" aca="1" ref="G76" ca="1">_FV(RTData[[#This Row],[Company Name]],"Open")</f>
        <v>468</v>
      </c>
      <c r="H76" s="19" cm="1">
        <f t="array" aca="1" ref="H76" ca="1">_FV(RTData[[#This Row],[Company Name]],"Price")</f>
        <v>469.8</v>
      </c>
      <c r="I76" s="19" cm="1">
        <f t="array" aca="1" ref="I76" ca="1">_FV(RTData[[#This Row],[Company Name]],"Low")</f>
        <v>466.3</v>
      </c>
      <c r="J76" s="19" cm="1">
        <f t="array" aca="1" ref="J76" ca="1">_FV(RTData[[#This Row],[Company Name]],"High")</f>
        <v>471.4</v>
      </c>
      <c r="K76" s="20" cm="1">
        <f t="array" aca="1" ref="K76" ca="1">IFERROR(_FV(RTData[[#This Row],[Company Name]],"P/E",TRUE),99)</f>
        <v>8.4337</v>
      </c>
      <c r="L76" s="21" cm="1">
        <f t="array" aca="1" ref="L76" ca="1">_FV(RTData[[#This Row],[Company Name]],"Change")</f>
        <v>3.5</v>
      </c>
      <c r="M76" s="22" cm="1">
        <f t="array" aca="1" ref="M76" ca="1">_FV(RTData[[#This Row],[Company Name]],"Change (%)",TRUE)</f>
        <v>7.5060000000000005E-3</v>
      </c>
      <c r="N76" s="19" cm="1">
        <f t="array" aca="1" ref="N76" ca="1">_FV(RTData[[#This Row],[Company Name]],"52 week low",TRUE)</f>
        <v>401.05</v>
      </c>
      <c r="O76" s="19" cm="1">
        <f t="array" aca="1" ref="O76" ca="1">_FV(RTData[[#This Row],[Company Name]],"52 week high",TRUE)</f>
        <v>594</v>
      </c>
      <c r="P76" s="23" cm="1">
        <f t="array" aca="1" ref="P76" ca="1">_FV(RTData[[#This Row],[Company Name]],"Volume")</f>
        <v>3677210</v>
      </c>
      <c r="Q76" s="23" cm="1">
        <f t="array" aca="1" ref="Q76" ca="1">_FV(RTData[[#This Row],[Company Name]],"Volume average",TRUE)</f>
        <v>3165610</v>
      </c>
      <c r="R76" s="19" cm="1">
        <f t="array" aca="1" ref="R76" ca="1">_FV(RTData[[#This Row],[Company Name]],"Beta")</f>
        <v>2.7930000000000001</v>
      </c>
      <c r="T76" t="s">
        <v>26</v>
      </c>
      <c r="U76" t="str" cm="1">
        <f t="array" aca="1" ref="U76" ca="1">_FV(RTData[[#This Row],[Company Name]],"Exchange abbreviation",TRUE)</f>
        <v>XLON</v>
      </c>
      <c r="V76" s="24">
        <f ca="1">IFERROR(RTData[[#This Row],[Volume]]/RTData[[#This Row],[Volume average]],1)</f>
        <v>1.1616118220500946</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0.85346078347699927</v>
      </c>
      <c r="C77" s="43" t="e" vm="58">
        <v>#VALUE!</v>
      </c>
      <c r="D77" s="17" t="str" cm="1">
        <f t="array" aca="1" ref="D77" ca="1">_FV(RTData[[#This Row],[Company Name]],"Currency")</f>
        <v>USD</v>
      </c>
      <c r="E77" s="18" cm="1">
        <f t="array" aca="1" ref="E77" ca="1">_FV(RTData[[#This Row],[Company Name]],"Last trade time",TRUE)</f>
        <v>45905.999493495314</v>
      </c>
      <c r="F77" s="19" cm="1">
        <f t="array" aca="1" ref="F77" ca="1">_FV(RTData[[#This Row],[Company Name]],"Previous close",TRUE)</f>
        <v>11.68</v>
      </c>
      <c r="G77" s="19" cm="1">
        <f t="array" aca="1" ref="G77" ca="1">_FV(RTData[[#This Row],[Company Name]],"Open")</f>
        <v>11.71</v>
      </c>
      <c r="H77" s="19" cm="1">
        <f t="array" aca="1" ref="H77" ca="1">_FV(RTData[[#This Row],[Company Name]],"Price")</f>
        <v>11.74</v>
      </c>
      <c r="I77" s="19" cm="1">
        <f t="array" aca="1" ref="I77" ca="1">_FV(RTData[[#This Row],[Company Name]],"Low")</f>
        <v>11.66</v>
      </c>
      <c r="J77" s="19" cm="1">
        <f t="array" aca="1" ref="J77" ca="1">_FV(RTData[[#This Row],[Company Name]],"High")</f>
        <v>11.91</v>
      </c>
      <c r="K77" s="20" cm="1">
        <f t="array" aca="1" ref="K77" ca="1">IFERROR(_FV(RTData[[#This Row],[Company Name]],"P/E",TRUE),99)</f>
        <v>15.0128</v>
      </c>
      <c r="L77" s="21" cm="1">
        <f t="array" aca="1" ref="L77" ca="1">_FV(RTData[[#This Row],[Company Name]],"Change")</f>
        <v>0.06</v>
      </c>
      <c r="M77" s="22" cm="1">
        <f t="array" aca="1" ref="M77" ca="1">_FV(RTData[[#This Row],[Company Name]],"Change (%)",TRUE)</f>
        <v>5.1370000000000001E-3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47547831</v>
      </c>
      <c r="Q77" s="23" cm="1">
        <f t="array" aca="1" ref="Q77" ca="1">_FV(RTData[[#This Row],[Company Name]],"Volume average",TRUE)</f>
        <v>55882391</v>
      </c>
      <c r="R77" s="19" cm="1">
        <f t="array" aca="1" ref="R77" ca="1">_FV(RTData[[#This Row],[Company Name]],"Beta")</f>
        <v>1.5407999999999999</v>
      </c>
      <c r="T77" t="s">
        <v>26</v>
      </c>
      <c r="U77" t="str" cm="1">
        <f t="array" aca="1" ref="U77" ca="1">_FV(RTData[[#This Row],[Company Name]],"Exchange abbreviation",TRUE)</f>
        <v>XNYS</v>
      </c>
      <c r="V77" s="24">
        <f ca="1">IFERROR(RTData[[#This Row],[Volume]]/RTData[[#This Row],[Volume average]],1)</f>
        <v>0.85085534368062388</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45905.666666666664</v>
      </c>
      <c r="F78" s="29" cm="1">
        <f t="array" aca="1" ref="F78" ca="1">_FV(RTData[[#This Row],[Company Name]],"Previous close",TRUE)</f>
        <v>54.08</v>
      </c>
      <c r="G78" s="29" cm="1">
        <f t="array" aca="1" ref="G78" ca="1">_FV(RTData[[#This Row],[Company Name]],"Open")</f>
        <v>54.36</v>
      </c>
      <c r="H78" s="29" cm="1">
        <f t="array" aca="1" ref="H78" ca="1">_FV(RTData[[#This Row],[Company Name]],"Price")</f>
        <v>53.04</v>
      </c>
      <c r="I78" s="29" cm="1">
        <f t="array" aca="1" ref="I78" ca="1">_FV(RTData[[#This Row],[Company Name]],"Low")</f>
        <v>52.82</v>
      </c>
      <c r="J78" s="29" cm="1">
        <f t="array" aca="1" ref="J78" ca="1">_FV(RTData[[#This Row],[Company Name]],"High")</f>
        <v>54.4</v>
      </c>
      <c r="K78" s="20" cm="1">
        <f t="array" aca="1" ref="K78" ca="1">IFERROR(_FV(RTData[[#This Row],[Company Name]],"P/E",TRUE),99)</f>
        <v>8.8834</v>
      </c>
      <c r="L78" s="21" cm="1">
        <f t="array" aca="1" ref="L78" ca="1">_FV(RTData[[#This Row],[Company Name]],"Change")</f>
        <v>-1.04</v>
      </c>
      <c r="M78" s="22" cm="1">
        <f t="array" aca="1" ref="M78" ca="1">_FV(RTData[[#This Row],[Company Name]],"Change (%)",TRUE)</f>
        <v>-1.9231000000000002E-2</v>
      </c>
      <c r="N78" s="29" cm="1">
        <f t="array" aca="1" ref="N78" ca="1">_FV(RTData[[#This Row],[Company Name]],"52 week low",TRUE)</f>
        <v>21.08</v>
      </c>
      <c r="O78" s="29" cm="1">
        <f t="array" aca="1" ref="O78" ca="1">_FV(RTData[[#This Row],[Company Name]],"52 week high",TRUE)</f>
        <v>59.42</v>
      </c>
      <c r="P78" s="23" cm="1">
        <f t="array" aca="1" ref="P78" ca="1">_FV(RTData[[#This Row],[Company Name]],"Volume")</f>
        <v>2111572</v>
      </c>
      <c r="Q78" s="23" cm="1">
        <f t="array" aca="1" ref="Q78" ca="1">_FV(RTData[[#This Row],[Company Name]],"Volume average",TRUE)</f>
        <v>3003100</v>
      </c>
      <c r="R78" s="19" cm="1">
        <f t="array" aca="1" ref="R78" ca="1">_FV(RTData[[#This Row],[Company Name]],"Beta")</f>
        <v>1.5658000000000001</v>
      </c>
      <c r="T78" t="s">
        <v>26</v>
      </c>
      <c r="U78" t="str" cm="1">
        <f t="array" aca="1" ref="U78" ca="1">_FV(RTData[[#This Row],[Company Name]],"Exchange abbreviation",TRUE)</f>
        <v>XPAR</v>
      </c>
      <c r="V78" s="24">
        <f ca="1">IFERROR(RTData[[#This Row],[Volume]]/RTData[[#This Row],[Volume average]],1)</f>
        <v>0.70313076487629445</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0.85346078347699927</v>
      </c>
      <c r="C79" s="43" t="e" vm="59">
        <v>#VALUE!</v>
      </c>
      <c r="D79" s="17" t="str" cm="1">
        <f t="array" aca="1" ref="D79" ca="1">_FV(RTData[[#This Row],[Company Name]],"Currency")</f>
        <v>USD</v>
      </c>
      <c r="E79" s="18" cm="1">
        <f t="array" aca="1" ref="E79" ca="1">_FV(RTData[[#This Row],[Company Name]],"Last trade time",TRUE)</f>
        <v>45905.988185532035</v>
      </c>
      <c r="F79" s="19" cm="1">
        <f t="array" aca="1" ref="F79" ca="1">_FV(RTData[[#This Row],[Company Name]],"Previous close",TRUE)</f>
        <v>178.18</v>
      </c>
      <c r="G79" s="19" cm="1">
        <f t="array" aca="1" ref="G79" ca="1">_FV(RTData[[#This Row],[Company Name]],"Open")</f>
        <v>179.24</v>
      </c>
      <c r="H79" s="19" cm="1">
        <f t="array" aca="1" ref="H79" ca="1">_FV(RTData[[#This Row],[Company Name]],"Price")</f>
        <v>181.3</v>
      </c>
      <c r="I79" s="19" cm="1">
        <f t="array" aca="1" ref="I79" ca="1">_FV(RTData[[#This Row],[Company Name]],"Low")</f>
        <v>176.66</v>
      </c>
      <c r="J79" s="19" cm="1">
        <f t="array" aca="1" ref="J79" ca="1">_FV(RTData[[#This Row],[Company Name]],"High")</f>
        <v>181.60499999999999</v>
      </c>
      <c r="K79" s="20" cm="1">
        <f t="array" aca="1" ref="K79" ca="1">IFERROR(_FV(RTData[[#This Row],[Company Name]],"P/E",TRUE),99)</f>
        <v>30.1053</v>
      </c>
      <c r="L79" s="21" cm="1">
        <f t="array" aca="1" ref="L79" ca="1">_FV(RTData[[#This Row],[Company Name]],"Change")</f>
        <v>3.12</v>
      </c>
      <c r="M79" s="22" cm="1">
        <f t="array" aca="1" ref="M79" ca="1">_FV(RTData[[#This Row],[Company Name]],"Change (%)",TRUE)</f>
        <v>1.7509999999999998E-2</v>
      </c>
      <c r="N79" s="19" cm="1">
        <f t="array" aca="1" ref="N79" ca="1">_FV(RTData[[#This Row],[Company Name]],"52 week low",TRUE)</f>
        <v>99.5</v>
      </c>
      <c r="O79" s="19" cm="1">
        <f t="array" aca="1" ref="O79" ca="1">_FV(RTData[[#This Row],[Company Name]],"52 week high",TRUE)</f>
        <v>203.2499</v>
      </c>
      <c r="P79" s="23" cm="1">
        <f t="array" aca="1" ref="P79" ca="1">_FV(RTData[[#This Row],[Company Name]],"Volume")</f>
        <v>642765</v>
      </c>
      <c r="Q79" s="23" cm="1">
        <f t="array" aca="1" ref="Q79" ca="1">_FV(RTData[[#This Row],[Company Name]],"Volume average",TRUE)</f>
        <v>1004911</v>
      </c>
      <c r="R79" s="19" cm="1">
        <f t="array" aca="1" ref="R79" ca="1">_FV(RTData[[#This Row],[Company Name]],"Beta")</f>
        <v>1.6718999999999999</v>
      </c>
      <c r="T79" t="s">
        <v>26</v>
      </c>
      <c r="U79" t="str" cm="1">
        <f t="array" aca="1" ref="U79" ca="1">_FV(RTData[[#This Row],[Company Name]],"Exchange abbreviation",TRUE)</f>
        <v>XNYS</v>
      </c>
      <c r="V79" s="24">
        <f ca="1">IFERROR(RTData[[#This Row],[Volume]]/RTData[[#This Row],[Volume average]],1)</f>
        <v>0.63962380748145853</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0.85346078347699927</v>
      </c>
      <c r="C80" t="e" vm="60">
        <v>#VALUE!</v>
      </c>
      <c r="D80" s="17" t="str" cm="1">
        <f t="array" aca="1" ref="D80" ca="1">_FV(RTData[[#This Row],[Company Name]],"Currency")</f>
        <v>USD</v>
      </c>
      <c r="E80" s="18" cm="1">
        <f t="array" aca="1" ref="E80" ca="1">_FV(RTData[[#This Row],[Company Name]],"Last trade time",TRUE)</f>
        <v>45905.999708668751</v>
      </c>
      <c r="F80" s="19" cm="1">
        <f t="array" aca="1" ref="F80" ca="1">_FV(RTData[[#This Row],[Company Name]],"Previous close",TRUE)</f>
        <v>748.9</v>
      </c>
      <c r="G80" s="19" cm="1">
        <f t="array" aca="1" ref="G80" ca="1">_FV(RTData[[#This Row],[Company Name]],"Open")</f>
        <v>752.19</v>
      </c>
      <c r="H80" s="19" cm="1">
        <f t="array" aca="1" ref="H80" ca="1">_FV(RTData[[#This Row],[Company Name]],"Price")</f>
        <v>738.21</v>
      </c>
      <c r="I80" s="19" cm="1">
        <f t="array" aca="1" ref="I80" ca="1">_FV(RTData[[#This Row],[Company Name]],"Low")</f>
        <v>727.15250000000003</v>
      </c>
      <c r="J80" s="19" cm="1">
        <f t="array" aca="1" ref="J80" ca="1">_FV(RTData[[#This Row],[Company Name]],"High")</f>
        <v>757.35</v>
      </c>
      <c r="K80" s="20" cm="1">
        <f t="array" aca="1" ref="K80" ca="1">IFERROR(_FV(RTData[[#This Row],[Company Name]],"P/E",TRUE),99)</f>
        <v>16.503900000000002</v>
      </c>
      <c r="L80" s="21" cm="1">
        <f t="array" aca="1" ref="L80" ca="1">_FV(RTData[[#This Row],[Company Name]],"Change")</f>
        <v>-10.69</v>
      </c>
      <c r="M80" s="22" cm="1">
        <f t="array" aca="1" ref="M80" ca="1">_FV(RTData[[#This Row],[Company Name]],"Change (%)",TRUE)</f>
        <v>-1.4274E-2</v>
      </c>
      <c r="N80" s="19" cm="1">
        <f t="array" aca="1" ref="N80" ca="1">_FV(RTData[[#This Row],[Company Name]],"52 week low",TRUE)</f>
        <v>439.38</v>
      </c>
      <c r="O80" s="19" cm="1">
        <f t="array" aca="1" ref="O80" ca="1">_FV(RTData[[#This Row],[Company Name]],"52 week high",TRUE)</f>
        <v>757.35</v>
      </c>
      <c r="P80" s="23" cm="1">
        <f t="array" aca="1" ref="P80" ca="1">_FV(RTData[[#This Row],[Company Name]],"Volume")</f>
        <v>1822767</v>
      </c>
      <c r="Q80" s="23" cm="1">
        <f t="array" aca="1" ref="Q80" ca="1">_FV(RTData[[#This Row],[Company Name]],"Volume average",TRUE)</f>
        <v>1707160</v>
      </c>
      <c r="R80" s="19" cm="1">
        <f t="array" aca="1" ref="R80" ca="1">_FV(RTData[[#This Row],[Company Name]],"Beta")</f>
        <v>1.4151</v>
      </c>
      <c r="T80" t="s">
        <v>26</v>
      </c>
      <c r="U80" t="str" cm="1">
        <f t="array" aca="1" ref="U80" ca="1">_FV(RTData[[#This Row],[Company Name]],"Exchange abbreviation",TRUE)</f>
        <v>XNYS</v>
      </c>
      <c r="V80" s="24">
        <f ca="1">IFERROR(RTData[[#This Row],[Volume]]/RTData[[#This Row],[Volume average]],1)</f>
        <v>1.0677189015675157</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0.85346078347699927</v>
      </c>
      <c r="C81" s="43" t="e" vm="61">
        <v>#VALUE!</v>
      </c>
      <c r="D81" s="17" t="str" cm="1">
        <f t="array" aca="1" ref="D81" ca="1">_FV(RTData[[#This Row],[Company Name]],"Currency")</f>
        <v>USD</v>
      </c>
      <c r="E81" s="18" cm="1">
        <f t="array" aca="1" ref="E81" ca="1">_FV(RTData[[#This Row],[Company Name]],"Last trade time",TRUE)</f>
        <v>45905.997372580467</v>
      </c>
      <c r="F81" s="19" cm="1">
        <f t="array" aca="1" ref="F81" ca="1">_FV(RTData[[#This Row],[Company Name]],"Previous close",TRUE)</f>
        <v>1.69</v>
      </c>
      <c r="G81" s="19" cm="1">
        <f t="array" aca="1" ref="G81" ca="1">_FV(RTData[[#This Row],[Company Name]],"Open")</f>
        <v>1.71</v>
      </c>
      <c r="H81" s="19" cm="1">
        <f t="array" aca="1" ref="H81" ca="1">_FV(RTData[[#This Row],[Company Name]],"Price")</f>
        <v>1.66</v>
      </c>
      <c r="I81" s="19" cm="1">
        <f t="array" aca="1" ref="I81" ca="1">_FV(RTData[[#This Row],[Company Name]],"Low")</f>
        <v>1.64</v>
      </c>
      <c r="J81" s="19" cm="1">
        <f t="array" aca="1" ref="J81" ca="1">_FV(RTData[[#This Row],[Company Name]],"High")</f>
        <v>1.76</v>
      </c>
      <c r="K81" s="20" cm="1">
        <f t="array" aca="1" ref="K81" ca="1">IFERROR(_FV(RTData[[#This Row],[Company Name]],"P/E",TRUE),99)</f>
        <v>0</v>
      </c>
      <c r="L81" s="21" cm="1">
        <f t="array" aca="1" ref="L81" ca="1">_FV(RTData[[#This Row],[Company Name]],"Change")</f>
        <v>-0.03</v>
      </c>
      <c r="M81" s="22" cm="1">
        <f t="array" aca="1" ref="M81" ca="1">_FV(RTData[[#This Row],[Company Name]],"Change (%)",TRUE)</f>
        <v>-1.7750999999999999E-2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2543756</v>
      </c>
      <c r="Q81" s="23" cm="1">
        <f t="array" aca="1" ref="Q81" ca="1">_FV(RTData[[#This Row],[Company Name]],"Volume average",TRUE)</f>
        <v>3946831</v>
      </c>
      <c r="R81" s="19" cm="1">
        <f t="array" aca="1" ref="R81" ca="1">_FV(RTData[[#This Row],[Company Name]],"Beta")</f>
        <v>2.0226999999999999</v>
      </c>
      <c r="T81" t="s">
        <v>26</v>
      </c>
      <c r="U81" t="str" cm="1">
        <f t="array" aca="1" ref="U81" ca="1">_FV(RTData[[#This Row],[Company Name]],"Exchange abbreviation",TRUE)</f>
        <v>XNAS</v>
      </c>
      <c r="V81" s="24">
        <f ca="1">IFERROR(RTData[[#This Row],[Volume]]/RTData[[#This Row],[Volume average]],1)</f>
        <v>0.6445059340012278</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0.85346078347699927</v>
      </c>
      <c r="C82" s="43" t="e" vm="62">
        <v>#VALUE!</v>
      </c>
      <c r="D82" s="17" t="str" cm="1">
        <f t="array" aca="1" ref="D82" ca="1">_FV(RTData[[#This Row],[Company Name]],"Currency")</f>
        <v>USD</v>
      </c>
      <c r="E82" s="18" cm="1">
        <f t="array" aca="1" ref="E82" ca="1">_FV(RTData[[#This Row],[Company Name]],"Last trade time",TRUE)</f>
        <v>45905.975763853909</v>
      </c>
      <c r="F82" s="19" cm="1">
        <f t="array" aca="1" ref="F82" ca="1">_FV(RTData[[#This Row],[Company Name]],"Previous close",TRUE)</f>
        <v>31.12</v>
      </c>
      <c r="G82" s="19" cm="1">
        <f t="array" aca="1" ref="G82" ca="1">_FV(RTData[[#This Row],[Company Name]],"Open")</f>
        <v>31.23</v>
      </c>
      <c r="H82" s="19" cm="1">
        <f t="array" aca="1" ref="H82" ca="1">_FV(RTData[[#This Row],[Company Name]],"Price")</f>
        <v>31.39</v>
      </c>
      <c r="I82" s="19" cm="1">
        <f t="array" aca="1" ref="I82" ca="1">_FV(RTData[[#This Row],[Company Name]],"Low")</f>
        <v>30.99</v>
      </c>
      <c r="J82" s="19" cm="1">
        <f t="array" aca="1" ref="J82" ca="1">_FV(RTData[[#This Row],[Company Name]],"High")</f>
        <v>31.86</v>
      </c>
      <c r="K82" s="20" cm="1">
        <f t="array" aca="1" ref="K82" ca="1">IFERROR(_FV(RTData[[#This Row],[Company Name]],"P/E",TRUE),99)</f>
        <v>37.683100000000003</v>
      </c>
      <c r="L82" s="21" cm="1">
        <f t="array" aca="1" ref="L82" ca="1">_FV(RTData[[#This Row],[Company Name]],"Change")</f>
        <v>0.27</v>
      </c>
      <c r="M82" s="22" cm="1">
        <f t="array" aca="1" ref="M82" ca="1">_FV(RTData[[#This Row],[Company Name]],"Change (%)",TRUE)</f>
        <v>8.6759999999999997E-3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8027905</v>
      </c>
      <c r="Q82" s="23" cm="1">
        <f t="array" aca="1" ref="Q82" ca="1">_FV(RTData[[#This Row],[Company Name]],"Volume average",TRUE)</f>
        <v>7619263</v>
      </c>
      <c r="R82" s="19" cm="1">
        <f t="array" aca="1" ref="R82" ca="1">_FV(RTData[[#This Row],[Company Name]],"Beta")</f>
        <v>1.2143999999999999</v>
      </c>
      <c r="T82" t="s">
        <v>26</v>
      </c>
      <c r="U82" t="str" cm="1">
        <f t="array" aca="1" ref="U82" ca="1">_FV(RTData[[#This Row],[Company Name]],"Exchange abbreviation",TRUE)</f>
        <v>XNYS</v>
      </c>
      <c r="V82" s="24">
        <f ca="1">IFERROR(RTData[[#This Row],[Volume]]/RTData[[#This Row],[Volume average]],1)</f>
        <v>1.0536327463693012</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0.85346078347699927</v>
      </c>
      <c r="C83" s="43" t="e" vm="63">
        <v>#VALUE!</v>
      </c>
      <c r="D83" s="17" t="str" cm="1">
        <f t="array" aca="1" ref="D83" ca="1">_FV(RTData[[#This Row],[Company Name]],"Currency")</f>
        <v>USD</v>
      </c>
      <c r="E83" s="18" cm="1">
        <f t="array" aca="1" ref="E83" ca="1">_FV(RTData[[#This Row],[Company Name]],"Last trade time",TRUE)</f>
        <v>45905.99901518516</v>
      </c>
      <c r="F83" s="19" cm="1">
        <f t="array" aca="1" ref="F83" ca="1">_FV(RTData[[#This Row],[Company Name]],"Previous close",TRUE)</f>
        <v>595.64</v>
      </c>
      <c r="G83" s="19" cm="1">
        <f t="array" aca="1" ref="G83" ca="1">_FV(RTData[[#This Row],[Company Name]],"Open")</f>
        <v>595.47</v>
      </c>
      <c r="H83" s="19" cm="1">
        <f t="array" aca="1" ref="H83" ca="1">_FV(RTData[[#This Row],[Company Name]],"Price")</f>
        <v>584.22</v>
      </c>
      <c r="I83" s="19" cm="1">
        <f t="array" aca="1" ref="I83" ca="1">_FV(RTData[[#This Row],[Company Name]],"Low")</f>
        <v>579.02520000000004</v>
      </c>
      <c r="J83" s="19" cm="1">
        <f t="array" aca="1" ref="J83" ca="1">_FV(RTData[[#This Row],[Company Name]],"High")</f>
        <v>598.58000000000004</v>
      </c>
      <c r="K83" s="20" cm="1">
        <f t="array" aca="1" ref="K83" ca="1">IFERROR(_FV(RTData[[#This Row],[Company Name]],"P/E",TRUE),99)</f>
        <v>40.169400000000003</v>
      </c>
      <c r="L83" s="21" cm="1">
        <f t="array" aca="1" ref="L83" ca="1">_FV(RTData[[#This Row],[Company Name]],"Change")</f>
        <v>-11.42</v>
      </c>
      <c r="M83" s="22" cm="1">
        <f t="array" aca="1" ref="M83" ca="1">_FV(RTData[[#This Row],[Company Name]],"Change (%)",TRUE)</f>
        <v>-1.9172999999999999E-2</v>
      </c>
      <c r="N83" s="19" cm="1">
        <f t="array" aca="1" ref="N83" ca="1">_FV(RTData[[#This Row],[Company Name]],"52 week low",TRUE)</f>
        <v>465.59</v>
      </c>
      <c r="O83" s="19" cm="1">
        <f t="array" aca="1" ref="O83" ca="1">_FV(RTData[[#This Row],[Company Name]],"52 week high",TRUE)</f>
        <v>601.77</v>
      </c>
      <c r="P83" s="23" cm="1">
        <f t="array" aca="1" ref="P83" ca="1">_FV(RTData[[#This Row],[Company Name]],"Volume")</f>
        <v>2432345</v>
      </c>
      <c r="Q83" s="23" cm="1">
        <f t="array" aca="1" ref="Q83" ca="1">_FV(RTData[[#This Row],[Company Name]],"Volume average",TRUE)</f>
        <v>2561396</v>
      </c>
      <c r="R83" s="19" cm="1">
        <f t="array" aca="1" ref="R83" ca="1">_FV(RTData[[#This Row],[Company Name]],"Beta")</f>
        <v>0.98370000000000002</v>
      </c>
      <c r="T83" t="s">
        <v>26</v>
      </c>
      <c r="U83" t="str" cm="1">
        <f t="array" aca="1" ref="U83" ca="1">_FV(RTData[[#This Row],[Company Name]],"Exchange abbreviation",TRUE)</f>
        <v>XNYS</v>
      </c>
      <c r="V83" s="24">
        <f ca="1">IFERROR(RTData[[#This Row],[Volume]]/RTData[[#This Row],[Volume average]],1)</f>
        <v>0.94961692764414407</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0.85346078347699927</v>
      </c>
      <c r="C84" s="43" t="e" vm="64">
        <v>#VALUE!</v>
      </c>
      <c r="D84" s="17" t="str" cm="1">
        <f t="array" aca="1" ref="D84" ca="1">_FV(RTData[[#This Row],[Company Name]],"Currency")</f>
        <v>USD</v>
      </c>
      <c r="E84" s="18" cm="1">
        <f t="array" aca="1" ref="E84" ca="1">_FV(RTData[[#This Row],[Company Name]],"Last trade time",TRUE)</f>
        <v>45905.999816423435</v>
      </c>
      <c r="F84" s="19" cm="1">
        <f t="array" aca="1" ref="F84" ca="1">_FV(RTData[[#This Row],[Company Name]],"Previous close",TRUE)</f>
        <v>7.79</v>
      </c>
      <c r="G84" s="19" cm="1">
        <f t="array" aca="1" ref="G84" ca="1">_FV(RTData[[#This Row],[Company Name]],"Open")</f>
        <v>7.89</v>
      </c>
      <c r="H84" s="19" cm="1">
        <f t="array" aca="1" ref="H84" ca="1">_FV(RTData[[#This Row],[Company Name]],"Price")</f>
        <v>7.9</v>
      </c>
      <c r="I84" s="19" cm="1">
        <f t="array" aca="1" ref="I84" ca="1">_FV(RTData[[#This Row],[Company Name]],"Low")</f>
        <v>7.6612999999999998</v>
      </c>
      <c r="J84" s="19" cm="1">
        <f t="array" aca="1" ref="J84" ca="1">_FV(RTData[[#This Row],[Company Name]],"High")</f>
        <v>7.9550000000000001</v>
      </c>
      <c r="K84" s="20" cm="1">
        <f t="array" aca="1" ref="K84" ca="1">IFERROR(_FV(RTData[[#This Row],[Company Name]],"P/E",TRUE),99)</f>
        <v>3.4540000000000002</v>
      </c>
      <c r="L84" s="21" cm="1">
        <f t="array" aca="1" ref="L84" ca="1">_FV(RTData[[#This Row],[Company Name]],"Change")</f>
        <v>0.11</v>
      </c>
      <c r="M84" s="22" cm="1">
        <f t="array" aca="1" ref="M84" ca="1">_FV(RTData[[#This Row],[Company Name]],"Change (%)",TRUE)</f>
        <v>1.4121E-2</v>
      </c>
      <c r="N84" s="19" cm="1">
        <f t="array" aca="1" ref="N84" ca="1">_FV(RTData[[#This Row],[Company Name]],"52 week low",TRUE)</f>
        <v>5.01</v>
      </c>
      <c r="O84" s="19" cm="1">
        <f t="array" aca="1" ref="O84" ca="1">_FV(RTData[[#This Row],[Company Name]],"52 week high",TRUE)</f>
        <v>15.22</v>
      </c>
      <c r="P84" s="23" cm="1">
        <f t="array" aca="1" ref="P84" ca="1">_FV(RTData[[#This Row],[Company Name]],"Volume")</f>
        <v>5445159</v>
      </c>
      <c r="Q84" s="23" cm="1">
        <f t="array" aca="1" ref="Q84" ca="1">_FV(RTData[[#This Row],[Company Name]],"Volume average",TRUE)</f>
        <v>8647727</v>
      </c>
      <c r="R84" s="19" cm="1">
        <f t="array" aca="1" ref="R84" ca="1">_FV(RTData[[#This Row],[Company Name]],"Beta")</f>
        <v>2.7240000000000002</v>
      </c>
      <c r="T84" t="s">
        <v>26</v>
      </c>
      <c r="U84" t="str" cm="1">
        <f t="array" aca="1" ref="U84" ca="1">_FV(RTData[[#This Row],[Company Name]],"Exchange abbreviation",TRUE)</f>
        <v>XNAS</v>
      </c>
      <c r="V84" s="24">
        <f ca="1">IFERROR(RTData[[#This Row],[Volume]]/RTData[[#This Row],[Volume average]],1)</f>
        <v>0.62966360987112568</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0.85346078347699927</v>
      </c>
      <c r="C85" t="e" vm="65">
        <v>#VALUE!</v>
      </c>
      <c r="D85" s="17" t="str" cm="1">
        <f t="array" aca="1" ref="D85" ca="1">_FV(RTData[[#This Row],[Company Name]],"Currency")</f>
        <v>USD</v>
      </c>
      <c r="E85" s="18" cm="1">
        <f t="array" aca="1" ref="E85" ca="1">_FV(RTData[[#This Row],[Company Name]],"Last trade time",TRUE)</f>
        <v>45905.973885705469</v>
      </c>
      <c r="F85" s="19" cm="1">
        <f t="array" aca="1" ref="F85" ca="1">_FV(RTData[[#This Row],[Company Name]],"Previous close",TRUE)</f>
        <v>128.41999999999999</v>
      </c>
      <c r="G85" s="19" cm="1">
        <f t="array" aca="1" ref="G85" ca="1">_FV(RTData[[#This Row],[Company Name]],"Open")</f>
        <v>129.82</v>
      </c>
      <c r="H85" s="19" cm="1">
        <f t="array" aca="1" ref="H85" ca="1">_FV(RTData[[#This Row],[Company Name]],"Price")</f>
        <v>129.72999999999999</v>
      </c>
      <c r="I85" s="19" cm="1">
        <f t="array" aca="1" ref="I85" ca="1">_FV(RTData[[#This Row],[Company Name]],"Low")</f>
        <v>129.15</v>
      </c>
      <c r="J85" s="19" cm="1">
        <f t="array" aca="1" ref="J85" ca="1">_FV(RTData[[#This Row],[Company Name]],"High")</f>
        <v>130.46</v>
      </c>
      <c r="K85" s="20" cm="1">
        <f t="array" aca="1" ref="K85" ca="1">IFERROR(_FV(RTData[[#This Row],[Company Name]],"P/E",TRUE),99)</f>
        <v>18.718699999999998</v>
      </c>
      <c r="L85" s="21" cm="1">
        <f t="array" aca="1" ref="L85" ca="1">_FV(RTData[[#This Row],[Company Name]],"Change")</f>
        <v>1.31</v>
      </c>
      <c r="M85" s="22" cm="1">
        <f t="array" aca="1" ref="M85" ca="1">_FV(RTData[[#This Row],[Company Name]],"Change (%)",TRUE)</f>
        <v>1.0201E-2</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1339550</v>
      </c>
      <c r="Q85" s="23" cm="1">
        <f t="array" aca="1" ref="Q85" ca="1">_FV(RTData[[#This Row],[Company Name]],"Volume average",TRUE)</f>
        <v>1328756</v>
      </c>
      <c r="R85" s="19" cm="1">
        <f t="array" aca="1" ref="R85" ca="1">_FV(RTData[[#This Row],[Company Name]],"Beta")</f>
        <v>0.6341</v>
      </c>
      <c r="T85" t="s">
        <v>26</v>
      </c>
      <c r="U85" t="str" cm="1">
        <f t="array" aca="1" ref="U85" ca="1">_FV(RTData[[#This Row],[Company Name]],"Exchange abbreviation",TRUE)</f>
        <v>XNYS</v>
      </c>
      <c r="V85" s="24">
        <f ca="1">IFERROR(RTData[[#This Row],[Volume]]/RTData[[#This Row],[Volume average]],1)</f>
        <v>1.0081233875895952</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45905.666666666664</v>
      </c>
      <c r="F86" s="29" cm="1">
        <f t="array" aca="1" ref="F86" ca="1">_FV(RTData[[#This Row],[Company Name]],"Previous close",TRUE)</f>
        <v>13.715</v>
      </c>
      <c r="G86" s="29" cm="1">
        <f t="array" aca="1" ref="G86" ca="1">_FV(RTData[[#This Row],[Company Name]],"Open")</f>
        <v>13.7</v>
      </c>
      <c r="H86" s="29" cm="1">
        <f t="array" aca="1" ref="H86" ca="1">_FV(RTData[[#This Row],[Company Name]],"Price")</f>
        <v>13.625</v>
      </c>
      <c r="I86" s="29" cm="1">
        <f t="array" aca="1" ref="I86" ca="1">_FV(RTData[[#This Row],[Company Name]],"Low")</f>
        <v>13.57</v>
      </c>
      <c r="J86" s="29" cm="1">
        <f t="array" aca="1" ref="J86" ca="1">_FV(RTData[[#This Row],[Company Name]],"High")</f>
        <v>13.75</v>
      </c>
      <c r="K86" s="20" cm="1">
        <f t="array" aca="1" ref="K86" ca="1">IFERROR(_FV(RTData[[#This Row],[Company Name]],"P/E",TRUE),99)</f>
        <v>43.319600000000001</v>
      </c>
      <c r="L86" s="21" cm="1">
        <f t="array" aca="1" ref="L86" ca="1">_FV(RTData[[#This Row],[Company Name]],"Change")</f>
        <v>-0.09</v>
      </c>
      <c r="M86" s="22" cm="1">
        <f t="array" aca="1" ref="M86" ca="1">_FV(RTData[[#This Row],[Company Name]],"Change (%)",TRUE)</f>
        <v>-6.5620000000000001E-3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4366285</v>
      </c>
      <c r="Q86" s="23" cm="1">
        <f t="array" aca="1" ref="Q86" ca="1">_FV(RTData[[#This Row],[Company Name]],"Volume average",TRUE)</f>
        <v>5729350</v>
      </c>
      <c r="R86" s="19" cm="1">
        <f t="array" aca="1" ref="R86" ca="1">_FV(RTData[[#This Row],[Company Name]],"Beta")</f>
        <v>0.27610000000000001</v>
      </c>
      <c r="T86" t="s">
        <v>26</v>
      </c>
      <c r="U86" t="str" cm="1">
        <f t="array" aca="1" ref="U86" ca="1">_FV(RTData[[#This Row],[Company Name]],"Exchange abbreviation",TRUE)</f>
        <v>XPAR</v>
      </c>
      <c r="V86" s="24">
        <f ca="1">IFERROR(RTData[[#This Row],[Volume]]/RTData[[#This Row],[Volume average]],1)</f>
        <v>0.76209081309398097</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0.85346078347699927</v>
      </c>
      <c r="C87" s="43" t="e" vm="66">
        <v>#VALUE!</v>
      </c>
      <c r="D87" s="17" t="str" cm="1">
        <f t="array" aca="1" ref="D87" ca="1">_FV(RTData[[#This Row],[Company Name]],"Currency")</f>
        <v>USD</v>
      </c>
      <c r="E87" s="18" cm="1">
        <f t="array" aca="1" ref="E87" ca="1">_FV(RTData[[#This Row],[Company Name]],"Last trade time",TRUE)</f>
        <v>45905.999511041409</v>
      </c>
      <c r="F87" s="19" cm="1">
        <f t="array" aca="1" ref="F87" ca="1">_FV(RTData[[#This Row],[Company Name]],"Previous close",TRUE)</f>
        <v>46.61</v>
      </c>
      <c r="G87" s="19" cm="1">
        <f t="array" aca="1" ref="G87" ca="1">_FV(RTData[[#This Row],[Company Name]],"Open")</f>
        <v>46.24</v>
      </c>
      <c r="H87" s="19" cm="1">
        <f t="array" aca="1" ref="H87" ca="1">_FV(RTData[[#This Row],[Company Name]],"Price")</f>
        <v>45.91</v>
      </c>
      <c r="I87" s="19" cm="1">
        <f t="array" aca="1" ref="I87" ca="1">_FV(RTData[[#This Row],[Company Name]],"Low")</f>
        <v>45.23</v>
      </c>
      <c r="J87" s="19" cm="1">
        <f t="array" aca="1" ref="J87" ca="1">_FV(RTData[[#This Row],[Company Name]],"High")</f>
        <v>46.24</v>
      </c>
      <c r="K87" s="20" cm="1">
        <f t="array" aca="1" ref="K87" ca="1">IFERROR(_FV(RTData[[#This Row],[Company Name]],"P/E",TRUE),99)</f>
        <v>27.455400000000001</v>
      </c>
      <c r="L87" s="21" cm="1">
        <f t="array" aca="1" ref="L87" ca="1">_FV(RTData[[#This Row],[Company Name]],"Change")</f>
        <v>-0.7</v>
      </c>
      <c r="M87" s="22" cm="1">
        <f t="array" aca="1" ref="M87" ca="1">_FV(RTData[[#This Row],[Company Name]],"Change (%)",TRUE)</f>
        <v>-1.5018E-2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9840623</v>
      </c>
      <c r="Q87" s="23" cm="1">
        <f t="array" aca="1" ref="Q87" ca="1">_FV(RTData[[#This Row],[Company Name]],"Volume average",TRUE)</f>
        <v>9559081</v>
      </c>
      <c r="R87" s="19" cm="1">
        <f t="array" aca="1" ref="R87" ca="1">_FV(RTData[[#This Row],[Company Name]],"Beta")</f>
        <v>0.96750000000000003</v>
      </c>
      <c r="T87" t="s">
        <v>26</v>
      </c>
      <c r="U87" t="str" cm="1">
        <f t="array" aca="1" ref="U87" ca="1">_FV(RTData[[#This Row],[Company Name]],"Exchange abbreviation",TRUE)</f>
        <v>XNYS</v>
      </c>
      <c r="V87" s="24">
        <f ca="1">IFERROR(RTData[[#This Row],[Volume]]/RTData[[#This Row],[Volume average]],1)</f>
        <v>1.0294528312920457</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0.85346078347699927</v>
      </c>
      <c r="C88" s="43" t="e" vm="67">
        <v>#VALUE!</v>
      </c>
      <c r="D88" s="17" t="str" cm="1">
        <f t="array" aca="1" ref="D88" ca="1">_FV(RTData[[#This Row],[Company Name]],"Currency")</f>
        <v>USD</v>
      </c>
      <c r="E88" s="18" cm="1">
        <f t="array" aca="1" ref="E88" ca="1">_FV(RTData[[#This Row],[Company Name]],"Last trade time",TRUE)</f>
        <v>45905.999749803123</v>
      </c>
      <c r="F88" s="19" cm="1">
        <f t="array" aca="1" ref="F88" ca="1">_FV(RTData[[#This Row],[Company Name]],"Previous close",TRUE)</f>
        <v>24.54</v>
      </c>
      <c r="G88" s="19" cm="1">
        <f t="array" aca="1" ref="G88" ca="1">_FV(RTData[[#This Row],[Company Name]],"Open")</f>
        <v>24.57</v>
      </c>
      <c r="H88" s="19" cm="1">
        <f t="array" aca="1" ref="H88" ca="1">_FV(RTData[[#This Row],[Company Name]],"Price")</f>
        <v>24.88</v>
      </c>
      <c r="I88" s="19" cm="1">
        <f t="array" aca="1" ref="I88" ca="1">_FV(RTData[[#This Row],[Company Name]],"Low")</f>
        <v>24.504999999999999</v>
      </c>
      <c r="J88" s="19" cm="1">
        <f t="array" aca="1" ref="J88" ca="1">_FV(RTData[[#This Row],[Company Name]],"High")</f>
        <v>24.89</v>
      </c>
      <c r="K88" s="20" cm="1">
        <f t="array" aca="1" ref="K88" ca="1">IFERROR(_FV(RTData[[#This Row],[Company Name]],"P/E",TRUE),99)</f>
        <v>17.7959</v>
      </c>
      <c r="L88" s="21" cm="1">
        <f t="array" aca="1" ref="L88" ca="1">_FV(RTData[[#This Row],[Company Name]],"Change")</f>
        <v>0.34</v>
      </c>
      <c r="M88" s="22" cm="1">
        <f t="array" aca="1" ref="M88" ca="1">_FV(RTData[[#This Row],[Company Name]],"Change (%)",TRUE)</f>
        <v>1.3854999999999999E-2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34613225</v>
      </c>
      <c r="Q88" s="23" cm="1">
        <f t="array" aca="1" ref="Q88" ca="1">_FV(RTData[[#This Row],[Company Name]],"Volume average",TRUE)</f>
        <v>43656101</v>
      </c>
      <c r="R88" s="19" cm="1">
        <f t="array" aca="1" ref="R88" ca="1">_FV(RTData[[#This Row],[Company Name]],"Beta")</f>
        <v>0.50639999999999996</v>
      </c>
      <c r="T88" t="s">
        <v>26</v>
      </c>
      <c r="U88" t="str" cm="1">
        <f t="array" aca="1" ref="U88" ca="1">_FV(RTData[[#This Row],[Company Name]],"Exchange abbreviation",TRUE)</f>
        <v>XNYS</v>
      </c>
      <c r="V88" s="24">
        <f ca="1">IFERROR(RTData[[#This Row],[Volume]]/RTData[[#This Row],[Volume average]],1)</f>
        <v>0.79286111693758454</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0.85346078347699927</v>
      </c>
      <c r="C89" s="44" t="e" vm="68">
        <v>#VALUE!</v>
      </c>
      <c r="D89" s="17" t="str" cm="1">
        <f t="array" aca="1" ref="D89" ca="1">_FV(RTData[[#This Row],[Company Name]],"Currency")</f>
        <v>USD</v>
      </c>
      <c r="E89" s="18" cm="1">
        <f t="array" aca="1" ref="E89" ca="1">_FV(RTData[[#This Row],[Company Name]],"Last trade time",TRUE)</f>
        <v>45905.99831770781</v>
      </c>
      <c r="F89" s="19" cm="1">
        <f t="array" aca="1" ref="F89" ca="1">_FV(RTData[[#This Row],[Company Name]],"Previous close",TRUE)</f>
        <v>3.1</v>
      </c>
      <c r="G89" s="19" cm="1">
        <f t="array" aca="1" ref="G89" ca="1">_FV(RTData[[#This Row],[Company Name]],"Open")</f>
        <v>3.07</v>
      </c>
      <c r="H89" s="19" cm="1">
        <f t="array" aca="1" ref="H89" ca="1">_FV(RTData[[#This Row],[Company Name]],"Price")</f>
        <v>3.07</v>
      </c>
      <c r="I89" s="19" cm="1">
        <f t="array" aca="1" ref="I89" ca="1">_FV(RTData[[#This Row],[Company Name]],"Low")</f>
        <v>3.03</v>
      </c>
      <c r="J89" s="19" cm="1">
        <f t="array" aca="1" ref="J89" ca="1">_FV(RTData[[#This Row],[Company Name]],"High")</f>
        <v>3.14</v>
      </c>
      <c r="K89" s="20" cm="1">
        <f t="array" ref="K89">IFERROR(_FV(RTData[[#This Row],[Company Name]],"P/E",TRUE),99)</f>
        <v>99</v>
      </c>
      <c r="L89" s="21" cm="1">
        <f t="array" aca="1" ref="L89" ca="1">_FV(RTData[[#This Row],[Company Name]],"Change")</f>
        <v>-0.03</v>
      </c>
      <c r="M89" s="22" cm="1">
        <f t="array" aca="1" ref="M89" ca="1">_FV(RTData[[#This Row],[Company Name]],"Change (%)",TRUE)</f>
        <v>-9.6769999999999998E-3</v>
      </c>
      <c r="N89" s="19" cm="1">
        <f t="array" aca="1" ref="N89" ca="1">_FV(RTData[[#This Row],[Company Name]],"52 week low",TRUE)</f>
        <v>1.97</v>
      </c>
      <c r="O89" s="19" cm="1">
        <f t="array" aca="1" ref="O89" ca="1">_FV(RTData[[#This Row],[Company Name]],"52 week high",TRUE)</f>
        <v>4.76</v>
      </c>
      <c r="P89" s="23" cm="1">
        <f t="array" aca="1" ref="P89" ca="1">_FV(RTData[[#This Row],[Company Name]],"Volume")</f>
        <v>20104307</v>
      </c>
      <c r="Q89" s="23" cm="1">
        <f t="array" aca="1" ref="Q89" ca="1">_FV(RTData[[#This Row],[Company Name]],"Volume average",TRUE)</f>
        <v>22862852</v>
      </c>
      <c r="R89" s="19" cm="1">
        <f t="array" aca="1" ref="R89" ca="1">_FV(RTData[[#This Row],[Company Name]],"Beta")</f>
        <v>2.6911</v>
      </c>
      <c r="T89" t="s">
        <v>26</v>
      </c>
      <c r="U89" t="str" cm="1">
        <f t="array" aca="1" ref="U89" ca="1">_FV(RTData[[#This Row],[Company Name]],"Exchange abbreviation",TRUE)</f>
        <v>XNYS</v>
      </c>
      <c r="V89" s="24">
        <f ca="1">IFERROR(RTData[[#This Row],[Volume]]/RTData[[#This Row],[Volume average]],1)</f>
        <v>0.87934379315406497</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0.85346078347699927</v>
      </c>
      <c r="C90" s="43" t="e" vm="69">
        <v>#VALUE!</v>
      </c>
      <c r="D90" s="17" t="str" cm="1">
        <f t="array" aca="1" ref="D90" ca="1">_FV(RTData[[#This Row],[Company Name]],"Currency")</f>
        <v>USD</v>
      </c>
      <c r="E90" s="18" cm="1">
        <f t="array" aca="1" ref="E90" ca="1">_FV(RTData[[#This Row],[Company Name]],"Last trade time",TRUE)</f>
        <v>45905.958333344533</v>
      </c>
      <c r="F90" s="19" cm="1">
        <f t="array" aca="1" ref="F90" ca="1">_FV(RTData[[#This Row],[Company Name]],"Previous close",TRUE)</f>
        <v>34.94</v>
      </c>
      <c r="G90" s="19" cm="1">
        <f t="array" aca="1" ref="G90" ca="1">_FV(RTData[[#This Row],[Company Name]],"Open")</f>
        <v>34.71</v>
      </c>
      <c r="H90" s="19" cm="1">
        <f t="array" aca="1" ref="H90" ca="1">_FV(RTData[[#This Row],[Company Name]],"Price")</f>
        <v>34.700000000000003</v>
      </c>
      <c r="I90" s="19" cm="1">
        <f t="array" aca="1" ref="I90" ca="1">_FV(RTData[[#This Row],[Company Name]],"Low")</f>
        <v>34.15</v>
      </c>
      <c r="J90" s="19" cm="1">
        <f t="array" aca="1" ref="J90" ca="1">_FV(RTData[[#This Row],[Company Name]],"High")</f>
        <v>35.020000000000003</v>
      </c>
      <c r="K90" s="20" cm="1">
        <f t="array" aca="1" ref="K90" ca="1">IFERROR(_FV(RTData[[#This Row],[Company Name]],"P/E",TRUE),99)</f>
        <v>31.3324</v>
      </c>
      <c r="L90" s="21" cm="1">
        <f t="array" aca="1" ref="L90" ca="1">_FV(RTData[[#This Row],[Company Name]],"Change")</f>
        <v>-0.24</v>
      </c>
      <c r="M90" s="22" cm="1">
        <f t="array" aca="1" ref="M90" ca="1">_FV(RTData[[#This Row],[Company Name]],"Change (%)",TRUE)</f>
        <v>-6.8689999999999992E-3</v>
      </c>
      <c r="N90" s="19" cm="1">
        <f t="array" aca="1" ref="N90" ca="1">_FV(RTData[[#This Row],[Company Name]],"52 week low",TRUE)</f>
        <v>27.55</v>
      </c>
      <c r="O90" s="19" cm="1">
        <f t="array" aca="1" ref="O90" ca="1">_FV(RTData[[#This Row],[Company Name]],"52 week high",TRUE)</f>
        <v>43.5</v>
      </c>
      <c r="P90" s="23" cm="1">
        <f t="array" aca="1" ref="P90" ca="1">_FV(RTData[[#This Row],[Company Name]],"Volume")</f>
        <v>2998652</v>
      </c>
      <c r="Q90" s="23" cm="1">
        <f t="array" aca="1" ref="Q90" ca="1">_FV(RTData[[#This Row],[Company Name]],"Volume average",TRUE)</f>
        <v>2371574</v>
      </c>
      <c r="R90" s="19" cm="1">
        <f t="array" aca="1" ref="R90" ca="1">_FV(RTData[[#This Row],[Company Name]],"Beta")</f>
        <v>0.50629999999999997</v>
      </c>
      <c r="T90" t="s">
        <v>26</v>
      </c>
      <c r="U90" t="str" cm="1">
        <f t="array" aca="1" ref="U90" ca="1">_FV(RTData[[#This Row],[Company Name]],"Exchange abbreviation",TRUE)</f>
        <v>XNYS</v>
      </c>
      <c r="V90" s="24">
        <f ca="1">IFERROR(RTData[[#This Row],[Volume]]/RTData[[#This Row],[Volume average]],1)</f>
        <v>1.2644142666431661</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0.85346078347699927</v>
      </c>
      <c r="C91" s="43" t="e" vm="70">
        <v>#VALUE!</v>
      </c>
      <c r="D91" s="17" t="str" cm="1">
        <f t="array" aca="1" ref="D91" ca="1">_FV(RTData[[#This Row],[Company Name]],"Currency")</f>
        <v>USD</v>
      </c>
      <c r="E91" s="18" cm="1">
        <f t="array" aca="1" ref="E91" ca="1">_FV(RTData[[#This Row],[Company Name]],"Last trade time",TRUE)</f>
        <v>45905.996865381247</v>
      </c>
      <c r="F91" s="19" cm="1">
        <f t="array" aca="1" ref="F91" ca="1">_FV(RTData[[#This Row],[Company Name]],"Previous close",TRUE)</f>
        <v>75.75</v>
      </c>
      <c r="G91" s="19" cm="1">
        <f t="array" aca="1" ref="G91" ca="1">_FV(RTData[[#This Row],[Company Name]],"Open")</f>
        <v>76.3</v>
      </c>
      <c r="H91" s="19" cm="1">
        <f t="array" aca="1" ref="H91" ca="1">_FV(RTData[[#This Row],[Company Name]],"Price")</f>
        <v>74.94</v>
      </c>
      <c r="I91" s="19" cm="1">
        <f t="array" aca="1" ref="I91" ca="1">_FV(RTData[[#This Row],[Company Name]],"Low")</f>
        <v>73.69</v>
      </c>
      <c r="J91" s="19" cm="1">
        <f t="array" aca="1" ref="J91" ca="1">_FV(RTData[[#This Row],[Company Name]],"High")</f>
        <v>77.075000000000003</v>
      </c>
      <c r="K91" s="20" cm="1">
        <f t="array" aca="1" ref="K91" ca="1">IFERROR(_FV(RTData[[#This Row],[Company Name]],"P/E",TRUE),99)</f>
        <v>44.733499999999999</v>
      </c>
      <c r="L91" s="21" cm="1">
        <f t="array" aca="1" ref="L91" ca="1">_FV(RTData[[#This Row],[Company Name]],"Change")</f>
        <v>-0.81</v>
      </c>
      <c r="M91" s="22" cm="1">
        <f t="array" aca="1" ref="M91" ca="1">_FV(RTData[[#This Row],[Company Name]],"Change (%)",TRUE)</f>
        <v>-1.0692999999999999E-2</v>
      </c>
      <c r="N91" s="19" cm="1">
        <f t="array" aca="1" ref="N91" ca="1">_FV(RTData[[#This Row],[Company Name]],"52 week low",TRUE)</f>
        <v>44.27</v>
      </c>
      <c r="O91" s="19" cm="1">
        <f t="array" aca="1" ref="O91" ca="1">_FV(RTData[[#This Row],[Company Name]],"52 week high",TRUE)</f>
        <v>99.26</v>
      </c>
      <c r="P91" s="23" cm="1">
        <f t="array" aca="1" ref="P91" ca="1">_FV(RTData[[#This Row],[Company Name]],"Volume")</f>
        <v>4785770</v>
      </c>
      <c r="Q91" s="23" cm="1">
        <f t="array" aca="1" ref="Q91" ca="1">_FV(RTData[[#This Row],[Company Name]],"Volume average",TRUE)</f>
        <v>7716194</v>
      </c>
      <c r="R91" s="19" cm="1">
        <f t="array" aca="1" ref="R91" ca="1">_FV(RTData[[#This Row],[Company Name]],"Beta")</f>
        <v>2.7463000000000002</v>
      </c>
      <c r="T91" t="s">
        <v>26</v>
      </c>
      <c r="U91" t="str" cm="1">
        <f t="array" aca="1" ref="U91" ca="1">_FV(RTData[[#This Row],[Company Name]],"Exchange abbreviation",TRUE)</f>
        <v>XNYS</v>
      </c>
      <c r="V91" s="24">
        <f ca="1">IFERROR(RTData[[#This Row],[Volume]]/RTData[[#This Row],[Volume average]],1)</f>
        <v>0.62022416751056286</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0.85346078347699927</v>
      </c>
      <c r="C92" s="43" t="e" vm="71">
        <v>#VALUE!</v>
      </c>
      <c r="D92" s="17" t="str" cm="1">
        <f t="array" aca="1" ref="D92" ca="1">_FV(RTData[[#This Row],[Company Name]],"Currency")</f>
        <v>USD</v>
      </c>
      <c r="E92" s="18" cm="1">
        <f t="array" aca="1" ref="E92" ca="1">_FV(RTData[[#This Row],[Company Name]],"Last trade time",TRUE)</f>
        <v>45905.999455404686</v>
      </c>
      <c r="F92" s="19" cm="1">
        <f t="array" aca="1" ref="F92" ca="1">_FV(RTData[[#This Row],[Company Name]],"Previous close",TRUE)</f>
        <v>192.52</v>
      </c>
      <c r="G92" s="19" cm="1">
        <f t="array" aca="1" ref="G92" ca="1">_FV(RTData[[#This Row],[Company Name]],"Open")</f>
        <v>193.53</v>
      </c>
      <c r="H92" s="19" cm="1">
        <f t="array" aca="1" ref="H92" ca="1">_FV(RTData[[#This Row],[Company Name]],"Price")</f>
        <v>196.18</v>
      </c>
      <c r="I92" s="19" cm="1">
        <f t="array" aca="1" ref="I92" ca="1">_FV(RTData[[#This Row],[Company Name]],"Low")</f>
        <v>192.98</v>
      </c>
      <c r="J92" s="19" cm="1">
        <f t="array" aca="1" ref="J92" ca="1">_FV(RTData[[#This Row],[Company Name]],"High")</f>
        <v>196.73</v>
      </c>
      <c r="K92" s="20" cm="1">
        <f t="array" aca="1" ref="K92" ca="1">IFERROR(_FV(RTData[[#This Row],[Company Name]],"P/E",TRUE),99)</f>
        <v>12.729100000000001</v>
      </c>
      <c r="L92" s="21" cm="1">
        <f t="array" aca="1" ref="L92" ca="1">_FV(RTData[[#This Row],[Company Name]],"Change")</f>
        <v>3.66</v>
      </c>
      <c r="M92" s="22" cm="1">
        <f t="array" aca="1" ref="M92" ca="1">_FV(RTData[[#This Row],[Company Name]],"Change (%)",TRUE)</f>
        <v>1.9011E-2</v>
      </c>
      <c r="N92" s="19" cm="1">
        <f t="array" aca="1" ref="N92" ca="1">_FV(RTData[[#This Row],[Company Name]],"52 week low",TRUE)</f>
        <v>109.82389999999999</v>
      </c>
      <c r="O92" s="19" cm="1">
        <f t="array" aca="1" ref="O92" ca="1">_FV(RTData[[#This Row],[Company Name]],"52 week high",TRUE)</f>
        <v>196.73</v>
      </c>
      <c r="P92" s="23" cm="1">
        <f t="array" aca="1" ref="P92" ca="1">_FV(RTData[[#This Row],[Company Name]],"Volume")</f>
        <v>924023</v>
      </c>
      <c r="Q92" s="23" cm="1">
        <f t="array" aca="1" ref="Q92" ca="1">_FV(RTData[[#This Row],[Company Name]],"Volume average",TRUE)</f>
        <v>953068</v>
      </c>
      <c r="R92" s="19" cm="1">
        <f t="array" aca="1" ref="R92" ca="1">_FV(RTData[[#This Row],[Company Name]],"Beta")</f>
        <v>1.5163</v>
      </c>
      <c r="T92" t="s">
        <v>26</v>
      </c>
      <c r="U92" t="str" cm="1">
        <f t="array" aca="1" ref="U92" ca="1">_FV(RTData[[#This Row],[Company Name]],"Exchange abbreviation",TRUE)</f>
        <v>XNYS</v>
      </c>
      <c r="V92" s="24">
        <f ca="1">IFERROR(RTData[[#This Row],[Volume]]/RTData[[#This Row],[Volume average]],1)</f>
        <v>0.96952473485627466</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0.85346078347699927</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45905.770833333336</v>
      </c>
      <c r="F94" s="138" cm="1">
        <f t="array" aca="1" ref="F94" ca="1">_FV(RTData[[#This Row],[Company Name]],"Previous close",TRUE)</f>
        <v>14.925000000000001</v>
      </c>
      <c r="G94" s="138" cm="1">
        <f t="array" aca="1" ref="G94" ca="1">_FV(RTData[[#This Row],[Company Name]],"Open")</f>
        <v>14.91</v>
      </c>
      <c r="H94" s="138" cm="1">
        <f t="array" aca="1" ref="H94" ca="1">_FV(RTData[[#This Row],[Company Name]],"Price")</f>
        <v>15.175000000000001</v>
      </c>
      <c r="I94" s="138" cm="1">
        <f t="array" aca="1" ref="I94" ca="1">_FV(RTData[[#This Row],[Company Name]],"Low")</f>
        <v>14.895</v>
      </c>
      <c r="J94" s="138" cm="1">
        <f t="array" aca="1" ref="J94" ca="1">_FV(RTData[[#This Row],[Company Name]],"High")</f>
        <v>15.175000000000001</v>
      </c>
      <c r="K94" s="62" cm="1">
        <f t="array" aca="1" ref="K94" ca="1">IFERROR(_FV(RTData[[#This Row],[Company Name]],"P/E",TRUE),99)</f>
        <v>12.360200000000001</v>
      </c>
      <c r="L94" s="63" cm="1">
        <f t="array" aca="1" ref="L94" ca="1">_FV(RTData[[#This Row],[Company Name]],"Change")</f>
        <v>0.25</v>
      </c>
      <c r="M94" s="64" cm="1">
        <f t="array" aca="1" ref="M94" ca="1">_FV(RTData[[#This Row],[Company Name]],"Change (%)",TRUE)</f>
        <v>1.6750000000000001E-2</v>
      </c>
      <c r="N94" s="138" cm="1">
        <f t="array" aca="1" ref="N94" ca="1">_FV(RTData[[#This Row],[Company Name]],"52 week low",TRUE)</f>
        <v>10.435</v>
      </c>
      <c r="O94" s="138" cm="1">
        <f t="array" aca="1" ref="O94" ca="1">_FV(RTData[[#This Row],[Company Name]],"52 week high",TRUE)</f>
        <v>16.55</v>
      </c>
      <c r="P94" s="65" cm="1">
        <f t="array" aca="1" ref="P94" ca="1">_FV(RTData[[#This Row],[Company Name]],"Volume")</f>
        <v>6564190</v>
      </c>
      <c r="Q94" s="65" cm="1">
        <f t="array" aca="1" ref="Q94" ca="1">_FV(RTData[[#This Row],[Company Name]],"Volume average",TRUE)</f>
        <v>3889840</v>
      </c>
      <c r="R94" s="60" cm="1">
        <f t="array" aca="1" ref="R94" ca="1">_FV(RTData[[#This Row],[Company Name]],"Beta")</f>
        <v>0.71319999999999995</v>
      </c>
      <c r="S94" s="66" t="s">
        <v>21</v>
      </c>
      <c r="T94" s="66" t="s">
        <v>22</v>
      </c>
      <c r="U94" s="66" t="str" cm="1">
        <f t="array" aca="1" ref="U94" ca="1">_FV(RTData[[#This Row],[Company Name]],"Exchange abbreviation",TRUE)</f>
        <v>XETR</v>
      </c>
      <c r="V94" s="142">
        <f ca="1">IFERROR(RTData[[#This Row],[Volume]]/RTData[[#This Row],[Volume average]],1)</f>
        <v>1.6875218517985315</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45905.651801828128</v>
      </c>
      <c r="F95" s="29" cm="1">
        <f t="array" aca="1" ref="F95" ca="1">_FV(RTData[[#This Row],[Company Name]],"Previous close",TRUE)</f>
        <v>9.9350000000000005</v>
      </c>
      <c r="G95" s="29" cm="1">
        <f t="array" aca="1" ref="G95" ca="1">_FV(RTData[[#This Row],[Company Name]],"Open")</f>
        <v>10.013999999999999</v>
      </c>
      <c r="H95" s="29" cm="1">
        <f t="array" aca="1" ref="H95" ca="1">_FV(RTData[[#This Row],[Company Name]],"Price")</f>
        <v>10.032</v>
      </c>
      <c r="I95" s="29" cm="1">
        <f t="array" aca="1" ref="I95" ca="1">_FV(RTData[[#This Row],[Company Name]],"Low")</f>
        <v>9.9890000000000008</v>
      </c>
      <c r="J95" s="29" cm="1">
        <f t="array" aca="1" ref="J95" ca="1">_FV(RTData[[#This Row],[Company Name]],"High")</f>
        <v>10.130000000000001</v>
      </c>
      <c r="K95" s="20" cm="1">
        <f t="array" ref="K95">IFERROR(_FV(RTData[[#This Row],[Company Name]],"P/E",TRUE),99)</f>
        <v>99</v>
      </c>
      <c r="L95" s="21" cm="1">
        <f t="array" aca="1" ref="L95" ca="1">_FV(RTData[[#This Row],[Company Name]],"Change")</f>
        <v>9.7000000000000003E-2</v>
      </c>
      <c r="M95" s="22" cm="1">
        <f t="array" aca="1" ref="M95" ca="1">_FV(RTData[[#This Row],[Company Name]],"Change (%)",TRUE)</f>
        <v>9.7629999999999991E-3</v>
      </c>
      <c r="N95" s="29" cm="1">
        <f t="array" aca="1" ref="N95" ca="1">_FV(RTData[[#This Row],[Company Name]],"52 week low",TRUE)</f>
        <v>7.351</v>
      </c>
      <c r="O95" s="29" cm="1">
        <f t="array" aca="1" ref="O95" ca="1">_FV(RTData[[#This Row],[Company Name]],"52 week high",TRUE)</f>
        <v>10.130000000000001</v>
      </c>
      <c r="P95" s="23" cm="1">
        <f t="array" aca="1" ref="P95" ca="1">_FV(RTData[[#This Row],[Company Name]],"Volume")</f>
        <v>70921</v>
      </c>
      <c r="Q95" s="23" t="e" cm="1" vm="74">
        <f t="array" ref="Q95">_FV(RTData[[#This Row],[Company Name]],"Volume average",TRUE)</f>
        <v>#VALUE!</v>
      </c>
      <c r="R95" s="19" cm="1">
        <f t="array" aca="1" ref="R95" ca="1">_FV(RTData[[#This Row],[Company Name]],"Beta")</f>
        <v>0.61380000000000001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0.22660645161290324</v>
      </c>
      <c r="M96" s="48">
        <f ca="1">SUBTOTAL(104,RTData[Change%])</f>
        <v>0.15982399999999999</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1.1717</v>
      </c>
      <c r="C98" s="53" cm="1">
        <f t="array" aca="1" ref="C98" ca="1">_FV(A98,"52 week high",TRUE)</f>
        <v>1.1829000000000001</v>
      </c>
      <c r="D98" s="19">
        <f ca="1">1/RTExR[[#This Row],[RT]]</f>
        <v>0.85346078347699927</v>
      </c>
      <c r="P98" s="54"/>
      <c r="R98"/>
      <c r="W98" s="84"/>
      <c r="X98" s="51"/>
    </row>
    <row r="99" spans="1:26" x14ac:dyDescent="0.3">
      <c r="A99" t="e" vm="77">
        <v>#VALUE!</v>
      </c>
      <c r="B99" s="52" cm="1">
        <f t="array" aca="1" ref="B99" ca="1">_FV(A99,"Price")</f>
        <v>0.93510000000000004</v>
      </c>
      <c r="C99" s="56" cm="1">
        <f t="array" aca="1" ref="C99" ca="1">_FV(A99,"52 week high",TRUE)</f>
        <v>0.96609999999999996</v>
      </c>
      <c r="D99" s="19">
        <f ca="1">1/RTExR[[#This Row],[RT]]</f>
        <v>1.0694043417816277</v>
      </c>
      <c r="P99" s="54"/>
      <c r="R99"/>
    </row>
    <row r="100" spans="1:26" x14ac:dyDescent="0.3">
      <c r="A100" t="e" vm="78">
        <v>#VALUE!</v>
      </c>
      <c r="B100" s="52" cm="1">
        <f t="array" aca="1" ref="B100" ca="1">_FV(A100,"Price")</f>
        <v>0.86709999999999998</v>
      </c>
      <c r="C100" s="57" cm="1">
        <f t="array" aca="1" ref="C100" ca="1">_FV(A100,"52 week high",TRUE)</f>
        <v>0.87629999999999997</v>
      </c>
      <c r="D100" s="19">
        <f ca="1">1/RTExR[[#This Row],[RT]]</f>
        <v>1.1532695190866105</v>
      </c>
      <c r="P100" s="54"/>
      <c r="R100"/>
    </row>
    <row r="101" spans="1:26" x14ac:dyDescent="0.3">
      <c r="A101" t="e" vm="79">
        <v>#VALUE!</v>
      </c>
      <c r="B101" s="52" cm="1">
        <f t="array" aca="1" ref="B101" ca="1">_FV(A101,"Price")</f>
        <v>1.7861</v>
      </c>
      <c r="C101" s="53" cm="1">
        <f t="array" aca="1" ref="C101" ca="1">_FV(A101,"52 week high",TRUE)</f>
        <v>1.8554999999999999</v>
      </c>
      <c r="D101" s="19">
        <f ca="1">1/RTExR[[#This Row],[RT]]</f>
        <v>0.55987906612171767</v>
      </c>
      <c r="P101" s="54"/>
      <c r="R101"/>
    </row>
    <row r="102" spans="1:26" x14ac:dyDescent="0.3">
      <c r="A102" t="e" vm="80">
        <v>#VALUE!</v>
      </c>
      <c r="B102" s="52" cm="1">
        <f t="array" aca="1" ref="B102" ca="1">_FV(A102,"Price")</f>
        <v>1.6203000000000001</v>
      </c>
      <c r="C102" s="53" cm="1">
        <f t="array" aca="1" ref="C102" ca="1">_FV(A102,"52 week high",TRUE)</f>
        <v>1.6225000000000001</v>
      </c>
      <c r="D102" s="19">
        <f ca="1">1/RTExR[[#This Row],[RT]]</f>
        <v>0.61716965993951733</v>
      </c>
      <c r="P102" s="54"/>
      <c r="R102"/>
    </row>
    <row r="103" spans="1:26" x14ac:dyDescent="0.3">
      <c r="A103" t="e" vm="81">
        <v>#VALUE!</v>
      </c>
      <c r="B103" s="52" cm="1">
        <f t="array" aca="1" ref="B103" ca="1">_FV(A103,"Price")</f>
        <v>147.38</v>
      </c>
      <c r="C103" s="58" cm="1">
        <f t="array" aca="1" ref="C103" ca="1">_FV(A103,"52 week high",TRUE)</f>
        <v>158.87</v>
      </c>
      <c r="D103" s="19">
        <f ca="1">1/RTExR[[#This Row],[RT]]</f>
        <v>6.7851811643370877E-3</v>
      </c>
      <c r="P103" s="54"/>
      <c r="R103"/>
    </row>
    <row r="104" spans="1:26" x14ac:dyDescent="0.3">
      <c r="A104" t="e" vm="82">
        <v>#VALUE!</v>
      </c>
      <c r="B104" s="52" cm="1">
        <f t="array" aca="1" ref="B104" ca="1">_FV(A104,"Price")</f>
        <v>0.79810000000000003</v>
      </c>
      <c r="C104" s="56" cm="1">
        <f t="array" aca="1" ref="C104" ca="1">_FV(A104,"52 week high",TRUE)</f>
        <v>0.92</v>
      </c>
      <c r="D104" s="19">
        <f ca="1">1/RTExR[[#This Row],[RT]]</f>
        <v>1.2529758175667209</v>
      </c>
    </row>
    <row r="105" spans="1:26" x14ac:dyDescent="0.3">
      <c r="A105" t="e" vm="83">
        <v>#VALUE!</v>
      </c>
      <c r="B105" s="52" cm="1">
        <f t="array" aca="1" ref="B105" ca="1">_FV(A105,"Price")</f>
        <v>0.74</v>
      </c>
      <c r="C105" s="57" cm="1">
        <f t="array" aca="1" ref="C105" ca="1">_FV(A105,"52 week high",TRUE)</f>
        <v>0.82650000000000001</v>
      </c>
      <c r="D105" s="19">
        <f ca="1">1/RTExR[[#This Row],[RT]]</f>
        <v>1.3513513513513513</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45656.49</v>
      </c>
      <c r="F107" s="19" cm="1">
        <f t="array" aca="1" ref="F107" ca="1">_FV(C108,"Price")</f>
        <v>45400.86</v>
      </c>
      <c r="X107" s="19"/>
      <c r="Y107" s="19"/>
      <c r="Z107" s="19"/>
    </row>
    <row r="108" spans="1:26" x14ac:dyDescent="0.3">
      <c r="C108" t="e" vm="84">
        <v>#VALUE!</v>
      </c>
      <c r="D108" s="19" cm="1">
        <f t="array" aca="1" ref="D108" ca="1">_FV(C108,"Previous close",TRUE)</f>
        <v>45621.29</v>
      </c>
      <c r="E108" s="19" cm="1">
        <f t="array" aca="1" ref="E108" ca="1">_FV(C109,"Open")</f>
        <v>54.9</v>
      </c>
      <c r="F108" s="19" cm="1">
        <f t="array" aca="1" ref="F108" ca="1">_FV(C109,"Price")</f>
        <v>54.6</v>
      </c>
    </row>
    <row r="109" spans="1:26" x14ac:dyDescent="0.3">
      <c r="C109" s="49" t="e" vm="85">
        <v>#VALUE!</v>
      </c>
      <c r="D109" s="19" cm="1">
        <f t="array" aca="1" ref="D109" ca="1">_FV(C109,"Previous close",TRUE)</f>
        <v>54.35</v>
      </c>
    </row>
    <row r="110" spans="1:26" x14ac:dyDescent="0.3">
      <c r="C110" s="49" t="s">
        <v>85</v>
      </c>
      <c r="D110" t="e" cm="1" vm="86">
        <f t="array" ref="D110">_FV(C110,"Instrument type",TRUE)</f>
        <v>#VALUE!</v>
      </c>
      <c r="E110" s="19" cm="1">
        <f t="array" aca="1" ref="E110" ca="1">_FV(C111,"Open")</f>
        <v>44.32</v>
      </c>
      <c r="F110" s="19" cm="1">
        <f t="array" aca="1" ref="F110" ca="1">_FV(C111,"Price")</f>
        <v>44.099600000000002</v>
      </c>
    </row>
    <row r="111" spans="1:26" x14ac:dyDescent="0.3">
      <c r="C111" s="49" t="e" vm="87">
        <v>#VALUE!</v>
      </c>
      <c r="D111" s="19" cm="1">
        <f t="array" aca="1" ref="D111" ca="1">_FV(C111,"Previous close",TRUE)</f>
        <v>44.23</v>
      </c>
    </row>
    <row r="112" spans="1:26" x14ac:dyDescent="0.3">
      <c r="A112" s="49"/>
      <c r="C112" s="49" t="s">
        <v>86</v>
      </c>
    </row>
    <row r="113" spans="4:4" x14ac:dyDescent="0.3">
      <c r="D113" s="49"/>
    </row>
  </sheetData>
  <phoneticPr fontId="19" type="noConversion"/>
  <conditionalFormatting sqref="AA3:AA95">
    <cfRule type="cellIs" dxfId="15"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45906.606318634258</v>
      </c>
      <c r="D4" s="51"/>
      <c r="F4" s="106"/>
    </row>
    <row r="5" spans="1:8" x14ac:dyDescent="0.3">
      <c r="A5" t="s">
        <v>40</v>
      </c>
      <c r="B5" s="107">
        <f ca="1">TODAY()</f>
        <v>45906</v>
      </c>
      <c r="F5" s="108" t="s">
        <v>41</v>
      </c>
      <c r="G5" s="108" t="str">
        <f ca="1">IF((NOW()-TODAY()-TIME(9,0,0))-CETZoneShift&lt;0,"Yesterday",NOW()-TODAY()-TIME(9,0,0)-CETZoneShift)&amp;" CET"</f>
        <v>0.189651967591393 CET</v>
      </c>
    </row>
    <row r="6" spans="1:8" ht="23" thickBot="1" x14ac:dyDescent="0.35">
      <c r="A6" t="s">
        <v>42</v>
      </c>
      <c r="B6" s="109">
        <f ca="1">NOW()-TODAY()</f>
        <v>0.60631863425805932</v>
      </c>
      <c r="C6" t="s">
        <v>43</v>
      </c>
      <c r="E6" t="s">
        <v>44</v>
      </c>
      <c r="F6" s="110">
        <f ca="1">NOW()</f>
        <v>45906.606318634258</v>
      </c>
      <c r="G6" s="110">
        <f ca="1">NOW()-TODAY()-CETZoneShift+1</f>
        <v>1.5646519675913928</v>
      </c>
    </row>
    <row r="7" spans="1:8" x14ac:dyDescent="0.3">
      <c r="A7" t="s">
        <v>45</v>
      </c>
      <c r="B7" s="109">
        <f ca="1">IF(NOW()-TODAY()-CETZoneShift&lt;0,NOW()-TODAY()-CETZoneShift+1,NOW()-TODAY()-CETZoneShift)</f>
        <v>0.56465196759139269</v>
      </c>
      <c r="C7" t="s">
        <v>46</v>
      </c>
      <c r="D7" s="111">
        <f ca="1">ExtEntry!E20</f>
        <v>45905.770833333336</v>
      </c>
      <c r="E7"/>
      <c r="F7" s="106"/>
    </row>
    <row r="8" spans="1:8" x14ac:dyDescent="0.3">
      <c r="A8" t="s">
        <v>47</v>
      </c>
      <c r="B8" s="109">
        <f ca="1">IF(CET-TIME(1,0,0)&lt;0,CET-TIME(1,0,0)+TIME(23,0,0),CET-TIME(1,0,0))</f>
        <v>0.52298530092472606</v>
      </c>
      <c r="C8" t="s">
        <v>48</v>
      </c>
      <c r="D8" s="111">
        <f ca="1">NOW()-LastTradeTimeEOAN-CETZoneShift</f>
        <v>0.79381863425563404</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45906.375</v>
      </c>
      <c r="E11" s="117"/>
      <c r="F11" s="108"/>
      <c r="G11" s="117"/>
      <c r="H11" s="115"/>
    </row>
    <row r="12" spans="1:8" x14ac:dyDescent="0.3">
      <c r="A12" s="118" t="s">
        <v>52</v>
      </c>
      <c r="B12" s="109"/>
      <c r="C12" t="s">
        <v>53</v>
      </c>
      <c r="D12" s="119">
        <f ca="1">B4-D11</f>
        <v>0.23131863425805932</v>
      </c>
      <c r="F12" s="120">
        <f ca="1">IFERROR(IF(NONWORKINGDAYCRITERIA&gt;1,"None-Working Day",IF(OR(D12/D13&lt;0,D12&gt;D13),"Closed",D12/D13)),"Closed")</f>
        <v>0.65313496731687337</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0.56465196759139269</v>
      </c>
    </row>
    <row r="17" spans="1:8" x14ac:dyDescent="0.3">
      <c r="A17" s="114" t="s">
        <v>56</v>
      </c>
      <c r="B17" s="115"/>
      <c r="C17" s="115" t="s">
        <v>57</v>
      </c>
      <c r="D17" s="116">
        <f ca="1">TODAY()+TIME(9,0,0)</f>
        <v>45906.375</v>
      </c>
      <c r="E17" s="117"/>
      <c r="F17" s="108"/>
      <c r="G17" s="117"/>
      <c r="H17" s="115"/>
    </row>
    <row r="18" spans="1:8" x14ac:dyDescent="0.3">
      <c r="A18" s="118" t="s">
        <v>58</v>
      </c>
      <c r="C18" t="s">
        <v>53</v>
      </c>
      <c r="D18" s="119">
        <f ca="1">D12</f>
        <v>0.23131863425805932</v>
      </c>
      <c r="F18" s="120">
        <f ca="1">IFERROR(IF(NONWORKINGDAYCRITERIA&gt;1,"None-Working Day",IF(OR(D18/D19&lt;0,D18&gt;D19),"Closed",D18/D19)),"Closed")</f>
        <v>0.65313496731687337</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0.31034803240618203</v>
      </c>
      <c r="F20" s="108" t="s">
        <v>60</v>
      </c>
      <c r="H20" s="128">
        <f ca="1">ABS(NOW()-F22)</f>
        <v>45905.960485300922</v>
      </c>
    </row>
    <row r="21" spans="1:8" ht="23" thickBot="1" x14ac:dyDescent="0.35">
      <c r="A21" s="129" t="s">
        <v>74</v>
      </c>
      <c r="B21" s="136">
        <f ca="1">F23-OpenTrade</f>
        <v>-3.951469907527394E-2</v>
      </c>
      <c r="C21" s="129"/>
      <c r="D21" s="137">
        <f ca="1">F23-OpenTrade</f>
        <v>-3.951469907527394E-2</v>
      </c>
      <c r="E21" s="130" t="s">
        <v>61</v>
      </c>
      <c r="F21" s="131">
        <f ca="1">IF(ActTime-CETZoneShift&lt;0,ActTime-TIME(6,0,0)-CETZoneShift+1,ActTime-TIME(6,0,0)-CETZoneShift)</f>
        <v>0.31465196759139263</v>
      </c>
      <c r="G21" s="130" t="s">
        <v>62</v>
      </c>
      <c r="H21" s="125" t="str">
        <f ca="1">TEXT(H20,"HH:MM")</f>
        <v>23:03</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45906.916666666664</v>
      </c>
      <c r="H22" s="115"/>
    </row>
    <row r="23" spans="1:8" x14ac:dyDescent="0.3">
      <c r="A23" s="118" t="s">
        <v>66</v>
      </c>
      <c r="C23" t="s">
        <v>67</v>
      </c>
      <c r="D23" t="s">
        <v>68</v>
      </c>
      <c r="E23" s="133">
        <f ca="1">ActTime</f>
        <v>0.60631863425805932</v>
      </c>
      <c r="F23" s="133">
        <f ca="1">ActTime</f>
        <v>0.60631863425805932</v>
      </c>
      <c r="G23" s="133">
        <f ca="1">ActTime</f>
        <v>0.60631863425805932</v>
      </c>
    </row>
    <row r="24" spans="1:8" ht="23" thickBot="1" x14ac:dyDescent="0.35">
      <c r="A24" s="118"/>
      <c r="B24" s="112" t="s">
        <v>69</v>
      </c>
      <c r="C24" s="122" t="s">
        <v>70</v>
      </c>
      <c r="D24" t="s">
        <v>71</v>
      </c>
      <c r="E24" s="119">
        <f>TIME(15,30,0)</f>
        <v>0.64583333333333337</v>
      </c>
      <c r="F24" s="119">
        <f>TIME(22,0,0)</f>
        <v>0.91666666666666663</v>
      </c>
      <c r="G24" s="119">
        <f ca="1">TODAY()+1+OpenPost+TIME(4,0,0)</f>
        <v>91814.083333333328</v>
      </c>
    </row>
    <row r="25" spans="1:8" ht="23" thickBot="1" x14ac:dyDescent="0.35">
      <c r="A25" s="121" t="s">
        <v>72</v>
      </c>
      <c r="B25" s="122"/>
      <c r="C25" s="122"/>
      <c r="D25" s="122" t="s">
        <v>73</v>
      </c>
      <c r="E25" s="134">
        <f>E24-OpenPre</f>
        <v>0.22916666666666669</v>
      </c>
      <c r="F25" s="134">
        <f>F24-OpenTrade</f>
        <v>0.27083333333333337</v>
      </c>
      <c r="G25" s="134">
        <f ca="1">G24-OpenPost</f>
        <v>45907.166666666664</v>
      </c>
      <c r="H25" s="122"/>
    </row>
    <row r="26" spans="1:8" x14ac:dyDescent="0.3">
      <c r="E26" s="120">
        <f ca="1">IF(OR(E23&lt;E22,E23&gt;E24),"Closed",E23/E24)</f>
        <v>0.93881594981893046</v>
      </c>
      <c r="F26" s="120" t="str">
        <f ca="1">IF(OR(F23&lt;F22,F23&gt;F24),"Closed",(F23-F22)/F25)</f>
        <v>Closed</v>
      </c>
      <c r="G26" s="120" t="str">
        <f ca="1">IF(OR(G23&lt;G22,G23&gt;G24),"Closed",G23/G24)</f>
        <v>Closed</v>
      </c>
    </row>
    <row r="27" spans="1:8" x14ac:dyDescent="0.3">
      <c r="E27" s="135">
        <f ca="1">IF(AND(E23&gt;E22,E23&lt;E24),(E23-OpenPre)/E25,"CLOSED")</f>
        <v>0.82757222221698601</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2025-09-06T12:33:05Z</dcterms:modified>
  <cp:category/>
</cp:coreProperties>
</file>