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ink/ink1.xml" ContentType="application/inkml+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897B305F-48F7-334A-855B-829B2A9D0274}"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 name="MSG" sheetId="3" r:id="rId3"/>
    <sheet name="Consolid" sheetId="4" r:id="rId4"/>
  </sheets>
  <externalReferences>
    <externalReference r:id="rId5"/>
    <externalReference r:id="rId6"/>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 localSheetId="3">[1]Mail!$D$5</definedName>
    <definedName name="Acct2" localSheetId="2">[1]Mail!$D$5</definedName>
    <definedName name="Acct2">#REF!</definedName>
    <definedName name="AcctJB">[1]Mail!$D$7</definedName>
    <definedName name="AcctMVE">[1]Mail!$D$4</definedName>
    <definedName name="AcctSAF">[1]Mail!$D$6</definedName>
    <definedName name="ACET" localSheetId="3">[1]Timer!$B$7</definedName>
    <definedName name="ACET" localSheetId="2">[1]Timer!$B$7</definedName>
    <definedName name="ACET">#REF!</definedName>
    <definedName name="ACETZoneShift" localSheetId="3">[1]Timer!$B$3</definedName>
    <definedName name="ACETZoneShift" localSheetId="2">[1]Timer!$B$3</definedName>
    <definedName name="ACETZoneShift">#REF!</definedName>
    <definedName name="AcloseTrade">[1]Timer!$F$24</definedName>
    <definedName name="ActTime" localSheetId="3">[1]Timer!$B$6</definedName>
    <definedName name="ActTime" localSheetId="2">[1]Timer!$B$6</definedName>
    <definedName name="ActTime">Timing!$B$6</definedName>
    <definedName name="ActTimeCET">[1]Timer!$F$23</definedName>
    <definedName name="ACurrencyList" localSheetId="3">[1]!TabCalc[Cur]</definedName>
    <definedName name="ACurrencyList" localSheetId="2">[1]!TabCalc[Cur]</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 localSheetId="3">[1]Timer!$D$7</definedName>
    <definedName name="ALastTimeEoan" localSheetId="2">[1]Timer!$D$7</definedName>
    <definedName name="ALastTimeEoan">#REF!</definedName>
    <definedName name="ALastV">#REF!</definedName>
    <definedName name="ALastVarLow">#REF!</definedName>
    <definedName name="AlastVV1">#REF!</definedName>
    <definedName name="ANonWorkingDayCriteria" localSheetId="3">[1]Timer!$D$8</definedName>
    <definedName name="ANonWorkingDayCriteria" localSheetId="2">[1]Timer!$D$8</definedName>
    <definedName name="ANonWorkingDayCriteria">#REF!</definedName>
    <definedName name="AOpenPost" localSheetId="3">[1]Timer!$G$22</definedName>
    <definedName name="AOpenPost" localSheetId="2">[1]Timer!$G$22</definedName>
    <definedName name="AOpenPost">#REF!</definedName>
    <definedName name="AOpenPre" localSheetId="3">[1]Timer!$E$22</definedName>
    <definedName name="AOpenPre" localSheetId="2">[1]Timer!$E$22</definedName>
    <definedName name="AOpenPre">#REF!</definedName>
    <definedName name="AOpenTrade" localSheetId="3">[1]Timer!$F$22</definedName>
    <definedName name="AOpenTrade" localSheetId="2">[1]Timer!$F$22</definedName>
    <definedName name="AOpenTrade">#REF!</definedName>
    <definedName name="APriceList">#REF!</definedName>
    <definedName name="ArgX">#REF!</definedName>
    <definedName name="ArgY">#REF!</definedName>
    <definedName name="ASummerTimeShift" localSheetId="3">[1]Timer!$D$3</definedName>
    <definedName name="ASummerTimeShift" localSheetId="2">[1]Timer!$D$3</definedName>
    <definedName name="ASummerTimeShift">#REF!</definedName>
    <definedName name="ATickerList">#REF!</definedName>
    <definedName name="AtMarket" localSheetId="3">[1]Mail!$E$4</definedName>
    <definedName name="AtMarket" localSheetId="2">[1]Mail!$E$4</definedName>
    <definedName name="AtMarket">#REF!</definedName>
    <definedName name="AtPrice" localSheetId="3">[1]Mail!$F$4</definedName>
    <definedName name="AtPrice" localSheetId="2">[1]Mail!$F$4</definedName>
    <definedName name="AtPrice">#REF!</definedName>
    <definedName name="Av._Cost">#REF!</definedName>
    <definedName name="BdeltaMinus">[1]Research!$F$3</definedName>
    <definedName name="BdeltaPlus">[1]Research!$F$4</definedName>
    <definedName name="BeginCost">[1]ID!$D$21</definedName>
    <definedName name="CET">Timing!$B$7</definedName>
    <definedName name="CETZoneShift" localSheetId="3">[1]Timer!$B$3</definedName>
    <definedName name="CETZoneShift" localSheetId="2">[1]Timer!$B$3</definedName>
    <definedName name="CETZoneShift">Timing!$B$3</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[1]Markov!$Y$15</definedName>
    <definedName name="LastTradeHeader">#REF!</definedName>
    <definedName name="LastTradeTimeEOAN">Timing!$D$7</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Consolid!$A$1</definedName>
    <definedName name="MatchFromTable" comment="Find the purchase price closest to the market price">Consolid!$GD$42</definedName>
    <definedName name="MDown">[1]Trader!$AD$105</definedName>
    <definedName name="MgtY">[1]Trader!$AD$106</definedName>
    <definedName name="MUp">[1]Trader!$AD$101</definedName>
    <definedName name="NetCash">[1]Calc!$AZ$103</definedName>
    <definedName name="NeutralZoneM">[1]ID!$B$20</definedName>
    <definedName name="NONWORKINGDAYCRITERIA">Timing!$D$8</definedName>
    <definedName name="NoStock">[1]Trader!$AD$108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[1]Markov!$L$55:$S$62</definedName>
    <definedName name="RegArray">#REF!</definedName>
    <definedName name="RePurchaseGain">[1]Trader!$AD$104</definedName>
    <definedName name="ReSaleGain">[1]Trader!$AD$100</definedName>
    <definedName name="Sell">[1]Mail!$B$4</definedName>
    <definedName name="SellMorePercentGain">[1]Trader!$AD$101</definedName>
    <definedName name="SelRow" localSheetId="3">37</definedName>
    <definedName name="SelRow">5</definedName>
    <definedName name="SelRowNum" localSheetId="3">3</definedName>
    <definedName name="SelRowNum">5</definedName>
    <definedName name="StockNow">[1]ID!$E$19</definedName>
    <definedName name="SummerTimeShift">Timing!$D$3</definedName>
    <definedName name="TabRev">TabConsolid[[AAPL]:[JBEOAN2]]</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Consolid!$A$1:$KF$1</definedName>
    <definedName name="YY">#REF!</definedName>
    <definedName name="YYYY">[1]Markov!$L$80:$S$87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4" l="1"/>
  <c r="C1" i="4"/>
  <c r="D1" i="4"/>
  <c r="E1" i="4"/>
  <c r="F1" i="4"/>
  <c r="G1" i="4"/>
  <c r="H1" i="4"/>
  <c r="I1" i="4"/>
  <c r="J1" i="4"/>
  <c r="K1" i="4"/>
  <c r="L1" i="4"/>
  <c r="M1" i="4"/>
  <c r="N1" i="4"/>
  <c r="O1" i="4"/>
  <c r="P1" i="4"/>
  <c r="Q1" i="4"/>
  <c r="R1" i="4"/>
  <c r="S1" i="4"/>
  <c r="W1" i="4"/>
  <c r="X1" i="4"/>
  <c r="Y1" i="4"/>
  <c r="Z1" i="4"/>
  <c r="AA1" i="4"/>
  <c r="AB1" i="4"/>
  <c r="AC1" i="4"/>
  <c r="AD1" i="4"/>
  <c r="AE1" i="4"/>
  <c r="AF1" i="4"/>
  <c r="AG1" i="4"/>
  <c r="AH1" i="4"/>
  <c r="AI1" i="4"/>
  <c r="AJ1" i="4"/>
  <c r="AK1" i="4"/>
  <c r="AL1" i="4"/>
  <c r="AM1" i="4"/>
  <c r="AN1" i="4"/>
  <c r="AO1" i="4"/>
  <c r="AP1" i="4"/>
  <c r="AQ1" i="4"/>
  <c r="AR1" i="4"/>
  <c r="AS1" i="4"/>
  <c r="AT1" i="4"/>
  <c r="AU1" i="4"/>
  <c r="AV1" i="4"/>
  <c r="AW1" i="4"/>
  <c r="AX1" i="4"/>
  <c r="AY1" i="4"/>
  <c r="AZ1" i="4"/>
  <c r="BA1" i="4"/>
  <c r="BB1" i="4"/>
  <c r="BC1" i="4"/>
  <c r="BD1" i="4"/>
  <c r="BE1" i="4"/>
  <c r="BF1" i="4"/>
  <c r="BG1" i="4"/>
  <c r="BH1" i="4"/>
  <c r="BI1" i="4"/>
  <c r="BJ1" i="4"/>
  <c r="BK1" i="4"/>
  <c r="BL1" i="4"/>
  <c r="BM1" i="4"/>
  <c r="BN1" i="4"/>
  <c r="BO1" i="4"/>
  <c r="BP1" i="4"/>
  <c r="BQ1" i="4"/>
  <c r="BR1" i="4"/>
  <c r="BS1" i="4"/>
  <c r="BT1" i="4"/>
  <c r="BU1" i="4"/>
  <c r="BV1" i="4"/>
  <c r="BW1" i="4"/>
  <c r="BX1" i="4"/>
  <c r="BY1" i="4"/>
  <c r="BZ1" i="4"/>
  <c r="CA1" i="4"/>
  <c r="CB1" i="4"/>
  <c r="CC1" i="4"/>
  <c r="CD1" i="4"/>
  <c r="CE1" i="4"/>
  <c r="CF1" i="4"/>
  <c r="CG1" i="4"/>
  <c r="CH1" i="4"/>
  <c r="CI1" i="4"/>
  <c r="CJ1" i="4"/>
  <c r="CK1" i="4"/>
  <c r="CL1" i="4"/>
  <c r="CM1" i="4"/>
  <c r="CN1" i="4"/>
  <c r="CO1" i="4"/>
  <c r="CP1" i="4"/>
  <c r="CQ1" i="4"/>
  <c r="CR1" i="4"/>
  <c r="CS1" i="4"/>
  <c r="CT1" i="4"/>
  <c r="CU1" i="4"/>
  <c r="CV1" i="4"/>
  <c r="CW1" i="4"/>
  <c r="CX1" i="4"/>
  <c r="CY1" i="4"/>
  <c r="CZ1" i="4"/>
  <c r="DA1" i="4"/>
  <c r="DB1" i="4"/>
  <c r="DC1" i="4"/>
  <c r="DD1" i="4"/>
  <c r="DE1" i="4"/>
  <c r="DF1" i="4"/>
  <c r="DG1" i="4"/>
  <c r="DH1" i="4"/>
  <c r="DI1" i="4"/>
  <c r="DJ1" i="4"/>
  <c r="DK1" i="4"/>
  <c r="DL1" i="4"/>
  <c r="DM1" i="4"/>
  <c r="DN1" i="4"/>
  <c r="DO1" i="4"/>
  <c r="DP1" i="4"/>
  <c r="DQ1" i="4"/>
  <c r="DR1" i="4"/>
  <c r="DS1" i="4"/>
  <c r="DT1" i="4"/>
  <c r="DU1" i="4"/>
  <c r="DV1" i="4"/>
  <c r="DW1" i="4"/>
  <c r="DX1" i="4"/>
  <c r="DY1" i="4"/>
  <c r="DZ1" i="4"/>
  <c r="EA1" i="4"/>
  <c r="EB1" i="4"/>
  <c r="EC1" i="4"/>
  <c r="ED1" i="4"/>
  <c r="EE1" i="4"/>
  <c r="EF1" i="4"/>
  <c r="EG1" i="4"/>
  <c r="EH1" i="4"/>
  <c r="EI1" i="4"/>
  <c r="EJ1" i="4"/>
  <c r="EK1" i="4"/>
  <c r="EL1" i="4"/>
  <c r="EM1" i="4"/>
  <c r="EN1" i="4"/>
  <c r="EO1" i="4"/>
  <c r="EP1" i="4"/>
  <c r="EQ1" i="4"/>
  <c r="ER1" i="4"/>
  <c r="ES1" i="4"/>
  <c r="ET1" i="4"/>
  <c r="EU1" i="4"/>
  <c r="EV1" i="4"/>
  <c r="EW1" i="4"/>
  <c r="EX1" i="4"/>
  <c r="EY1" i="4"/>
  <c r="EZ1" i="4"/>
  <c r="FA1" i="4"/>
  <c r="FB1" i="4"/>
  <c r="FC1" i="4"/>
  <c r="FD1" i="4"/>
  <c r="FE1" i="4"/>
  <c r="FF1" i="4"/>
  <c r="FG1" i="4"/>
  <c r="FH1" i="4"/>
  <c r="FI1" i="4"/>
  <c r="FJ1" i="4"/>
  <c r="FK1" i="4"/>
  <c r="FL1" i="4"/>
  <c r="FM1" i="4"/>
  <c r="FN1" i="4"/>
  <c r="FO1" i="4"/>
  <c r="FP1" i="4"/>
  <c r="FQ1" i="4"/>
  <c r="FR1" i="4"/>
  <c r="FS1" i="4"/>
  <c r="FT1" i="4"/>
  <c r="FU1" i="4"/>
  <c r="FV1" i="4"/>
  <c r="FW1" i="4"/>
  <c r="FX1" i="4"/>
  <c r="FY1" i="4"/>
  <c r="FZ1" i="4"/>
  <c r="GA1" i="4"/>
  <c r="GB1" i="4"/>
  <c r="GC1" i="4"/>
  <c r="GD1" i="4"/>
  <c r="GE1" i="4"/>
  <c r="GF1" i="4"/>
  <c r="GG1" i="4"/>
  <c r="GH1" i="4"/>
  <c r="GI1" i="4"/>
  <c r="GJ1" i="4"/>
  <c r="GK1" i="4"/>
  <c r="GL1" i="4"/>
  <c r="GM1" i="4"/>
  <c r="GN1" i="4"/>
  <c r="GO1" i="4"/>
  <c r="GP1" i="4"/>
  <c r="GQ1" i="4"/>
  <c r="GR1" i="4"/>
  <c r="GS1" i="4"/>
  <c r="GT1" i="4"/>
  <c r="GU1" i="4"/>
  <c r="GV1" i="4"/>
  <c r="GW1" i="4"/>
  <c r="GX1" i="4"/>
  <c r="GY1" i="4"/>
  <c r="GZ1" i="4"/>
  <c r="HA1" i="4"/>
  <c r="HB1" i="4"/>
  <c r="HC1" i="4"/>
  <c r="HD1" i="4"/>
  <c r="HE1" i="4"/>
  <c r="HF1" i="4"/>
  <c r="HG1" i="4"/>
  <c r="HH1" i="4"/>
  <c r="HI1" i="4"/>
  <c r="HJ1" i="4"/>
  <c r="HK1" i="4"/>
  <c r="HL1" i="4"/>
  <c r="HM1" i="4"/>
  <c r="HN1" i="4"/>
  <c r="HO1" i="4"/>
  <c r="HP1" i="4"/>
  <c r="HQ1" i="4"/>
  <c r="HR1" i="4"/>
  <c r="HS1" i="4"/>
  <c r="HT1" i="4"/>
  <c r="HU1" i="4"/>
  <c r="HV1" i="4"/>
  <c r="HW1" i="4"/>
  <c r="HX1" i="4"/>
  <c r="HY1" i="4"/>
  <c r="HZ1" i="4"/>
  <c r="IA1" i="4"/>
  <c r="IB1" i="4"/>
  <c r="IC1" i="4"/>
  <c r="ID1" i="4"/>
  <c r="IE1" i="4"/>
  <c r="IF1" i="4"/>
  <c r="IG1" i="4"/>
  <c r="IH1" i="4"/>
  <c r="II1" i="4"/>
  <c r="IJ1" i="4"/>
  <c r="IK1" i="4"/>
  <c r="IL1" i="4"/>
  <c r="IM1" i="4"/>
  <c r="IN1" i="4"/>
  <c r="IO1" i="4"/>
  <c r="IP1" i="4"/>
  <c r="IQ1" i="4"/>
  <c r="IR1" i="4"/>
  <c r="IS1" i="4"/>
  <c r="IT1" i="4"/>
  <c r="IU1" i="4"/>
  <c r="IV1" i="4"/>
  <c r="IW1" i="4"/>
  <c r="IX1" i="4"/>
  <c r="IY1" i="4"/>
  <c r="IZ1" i="4"/>
  <c r="JA1" i="4"/>
  <c r="JB1" i="4"/>
  <c r="JC1" i="4"/>
  <c r="JD1" i="4"/>
  <c r="JE1" i="4"/>
  <c r="JF1" i="4"/>
  <c r="JG1" i="4"/>
  <c r="JH1" i="4"/>
  <c r="JI1" i="4"/>
  <c r="JJ1" i="4"/>
  <c r="JK1" i="4"/>
  <c r="JL1" i="4"/>
  <c r="JM1" i="4"/>
  <c r="JN1" i="4"/>
  <c r="JO1" i="4"/>
  <c r="JP1" i="4"/>
  <c r="JQ1" i="4"/>
  <c r="JR1" i="4"/>
  <c r="JS1" i="4"/>
  <c r="JT1" i="4"/>
  <c r="JU1" i="4"/>
  <c r="JV1" i="4"/>
  <c r="JW1" i="4"/>
  <c r="JX1" i="4"/>
  <c r="JY1" i="4"/>
  <c r="JZ1" i="4"/>
  <c r="KA1" i="4"/>
  <c r="KB1" i="4"/>
  <c r="KC1" i="4"/>
  <c r="KD1" i="4"/>
  <c r="KE1" i="4"/>
  <c r="KF1" i="4"/>
  <c r="A2" i="4"/>
  <c r="B2" i="4"/>
  <c r="C2" i="4"/>
  <c r="D2" i="4"/>
  <c r="E2" i="4"/>
  <c r="F2" i="4"/>
  <c r="G2" i="4"/>
  <c r="H2" i="4"/>
  <c r="I2" i="4"/>
  <c r="J2" i="4"/>
  <c r="K2" i="4"/>
  <c r="L2" i="4"/>
  <c r="M2" i="4"/>
  <c r="N2" i="4"/>
  <c r="O2" i="4"/>
  <c r="P2" i="4"/>
  <c r="Q2" i="4"/>
  <c r="R2" i="4"/>
  <c r="S2" i="4"/>
  <c r="W2" i="4"/>
  <c r="X2" i="4"/>
  <c r="Y2" i="4"/>
  <c r="Z2" i="4"/>
  <c r="AA2" i="4"/>
  <c r="AB2" i="4"/>
  <c r="AC2" i="4"/>
  <c r="AD2" i="4"/>
  <c r="AE2" i="4"/>
  <c r="AF2" i="4"/>
  <c r="AG2" i="4"/>
  <c r="AH2" i="4"/>
  <c r="AI2" i="4"/>
  <c r="AJ2" i="4"/>
  <c r="AK2" i="4"/>
  <c r="AL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BS2" i="4"/>
  <c r="BT2" i="4"/>
  <c r="BU2" i="4"/>
  <c r="BV2" i="4"/>
  <c r="BW2" i="4"/>
  <c r="BX2" i="4"/>
  <c r="BY2" i="4"/>
  <c r="BZ2" i="4"/>
  <c r="CA2" i="4"/>
  <c r="CB2" i="4"/>
  <c r="CC2" i="4"/>
  <c r="CD2" i="4"/>
  <c r="CE2" i="4"/>
  <c r="CF2" i="4"/>
  <c r="CG2" i="4"/>
  <c r="CH2" i="4"/>
  <c r="CI2" i="4"/>
  <c r="CJ2" i="4"/>
  <c r="CK2" i="4"/>
  <c r="CL2" i="4"/>
  <c r="CM2" i="4"/>
  <c r="CN2" i="4"/>
  <c r="CO2" i="4"/>
  <c r="CP2" i="4"/>
  <c r="CQ2" i="4"/>
  <c r="CR2" i="4"/>
  <c r="CS2" i="4"/>
  <c r="CT2" i="4"/>
  <c r="CU2" i="4"/>
  <c r="CV2" i="4"/>
  <c r="CW2" i="4"/>
  <c r="CX2" i="4"/>
  <c r="CY2" i="4"/>
  <c r="CZ2" i="4"/>
  <c r="DA2" i="4"/>
  <c r="DB2" i="4"/>
  <c r="DC2" i="4"/>
  <c r="DD2" i="4"/>
  <c r="DE2" i="4"/>
  <c r="DF2" i="4"/>
  <c r="DG2" i="4"/>
  <c r="DH2" i="4"/>
  <c r="DI2" i="4"/>
  <c r="DJ2" i="4"/>
  <c r="DK2" i="4"/>
  <c r="DL2" i="4"/>
  <c r="DM2" i="4"/>
  <c r="DN2" i="4"/>
  <c r="DO2" i="4"/>
  <c r="DP2" i="4"/>
  <c r="DQ2" i="4"/>
  <c r="DR2" i="4"/>
  <c r="DS2" i="4"/>
  <c r="DT2" i="4"/>
  <c r="DU2" i="4"/>
  <c r="DV2" i="4"/>
  <c r="DW2" i="4"/>
  <c r="DX2" i="4"/>
  <c r="DY2" i="4"/>
  <c r="DZ2" i="4"/>
  <c r="EA2" i="4"/>
  <c r="EB2" i="4"/>
  <c r="EC2" i="4"/>
  <c r="ED2" i="4"/>
  <c r="EE2" i="4"/>
  <c r="EF2" i="4"/>
  <c r="EG2" i="4"/>
  <c r="EH2" i="4"/>
  <c r="EI2" i="4"/>
  <c r="EJ2" i="4"/>
  <c r="EK2" i="4"/>
  <c r="EL2" i="4"/>
  <c r="EM2" i="4"/>
  <c r="EN2" i="4"/>
  <c r="EO2" i="4"/>
  <c r="EP2" i="4"/>
  <c r="EQ2" i="4"/>
  <c r="ER2" i="4"/>
  <c r="ES2" i="4"/>
  <c r="ET2" i="4"/>
  <c r="EU2" i="4"/>
  <c r="EV2" i="4"/>
  <c r="EW2" i="4"/>
  <c r="EX2" i="4"/>
  <c r="EY2" i="4"/>
  <c r="EZ2" i="4"/>
  <c r="FA2" i="4"/>
  <c r="FB2" i="4"/>
  <c r="FC2" i="4"/>
  <c r="FD2" i="4"/>
  <c r="FE2" i="4"/>
  <c r="FF2" i="4"/>
  <c r="FG2" i="4"/>
  <c r="FH2" i="4"/>
  <c r="FI2" i="4"/>
  <c r="FJ2" i="4"/>
  <c r="FK2" i="4"/>
  <c r="FL2" i="4"/>
  <c r="FM2" i="4"/>
  <c r="FN2" i="4"/>
  <c r="FO2" i="4"/>
  <c r="FP2" i="4"/>
  <c r="FQ2" i="4"/>
  <c r="FR2" i="4"/>
  <c r="FS2" i="4"/>
  <c r="FT2" i="4"/>
  <c r="FU2" i="4"/>
  <c r="FV2" i="4"/>
  <c r="FW2" i="4"/>
  <c r="FX2" i="4"/>
  <c r="FY2" i="4"/>
  <c r="FZ2" i="4"/>
  <c r="GA2" i="4"/>
  <c r="GB2" i="4"/>
  <c r="GC2" i="4"/>
  <c r="GD2" i="4"/>
  <c r="GE2" i="4"/>
  <c r="GF2" i="4"/>
  <c r="GG2" i="4"/>
  <c r="GH2" i="4"/>
  <c r="GI2" i="4"/>
  <c r="GJ2" i="4"/>
  <c r="GK2" i="4"/>
  <c r="GL2" i="4"/>
  <c r="GM2" i="4"/>
  <c r="GN2" i="4"/>
  <c r="GO2" i="4"/>
  <c r="GP2" i="4"/>
  <c r="GQ2" i="4"/>
  <c r="GR2" i="4"/>
  <c r="GS2" i="4"/>
  <c r="GT2" i="4"/>
  <c r="GU2" i="4"/>
  <c r="GV2" i="4"/>
  <c r="GW2" i="4"/>
  <c r="GX2" i="4"/>
  <c r="GY2" i="4"/>
  <c r="GZ2" i="4"/>
  <c r="HA2" i="4"/>
  <c r="HB2" i="4"/>
  <c r="HC2" i="4"/>
  <c r="HD2" i="4"/>
  <c r="HE2" i="4"/>
  <c r="HF2" i="4"/>
  <c r="HG2" i="4"/>
  <c r="HH2" i="4"/>
  <c r="HI2" i="4"/>
  <c r="HJ2" i="4"/>
  <c r="HK2" i="4"/>
  <c r="HL2" i="4"/>
  <c r="HM2" i="4"/>
  <c r="HN2" i="4"/>
  <c r="HO2" i="4"/>
  <c r="HP2" i="4"/>
  <c r="HQ2" i="4"/>
  <c r="HR2" i="4"/>
  <c r="HS2" i="4"/>
  <c r="HT2" i="4"/>
  <c r="HU2" i="4"/>
  <c r="HV2" i="4"/>
  <c r="HW2" i="4"/>
  <c r="HX2" i="4"/>
  <c r="HY2" i="4"/>
  <c r="HZ2" i="4"/>
  <c r="IA2" i="4"/>
  <c r="IB2" i="4"/>
  <c r="IC2" i="4"/>
  <c r="ID2" i="4"/>
  <c r="IE2" i="4"/>
  <c r="IF2" i="4"/>
  <c r="IG2" i="4"/>
  <c r="IH2" i="4"/>
  <c r="II2" i="4"/>
  <c r="IJ2" i="4"/>
  <c r="IK2" i="4"/>
  <c r="IL2" i="4"/>
  <c r="IM2" i="4"/>
  <c r="IN2" i="4"/>
  <c r="IO2" i="4"/>
  <c r="IP2" i="4"/>
  <c r="IQ2" i="4"/>
  <c r="IR2" i="4"/>
  <c r="IS2" i="4"/>
  <c r="IT2" i="4"/>
  <c r="IU2" i="4"/>
  <c r="IV2" i="4"/>
  <c r="IW2" i="4"/>
  <c r="IX2" i="4"/>
  <c r="IY2" i="4"/>
  <c r="IZ2" i="4"/>
  <c r="JA2" i="4"/>
  <c r="JB2" i="4"/>
  <c r="JC2" i="4"/>
  <c r="JD2" i="4"/>
  <c r="JE2" i="4"/>
  <c r="JF2" i="4"/>
  <c r="JG2" i="4"/>
  <c r="JH2" i="4"/>
  <c r="JI2" i="4"/>
  <c r="JJ2" i="4"/>
  <c r="JK2" i="4"/>
  <c r="JL2" i="4"/>
  <c r="JM2" i="4"/>
  <c r="JN2" i="4"/>
  <c r="JO2" i="4"/>
  <c r="JP2" i="4"/>
  <c r="JQ2" i="4"/>
  <c r="JR2" i="4"/>
  <c r="JS2" i="4"/>
  <c r="JT2" i="4"/>
  <c r="A4" i="4"/>
  <c r="B4" i="4"/>
  <c r="E4" i="4"/>
  <c r="H4" i="4"/>
  <c r="K4" i="4"/>
  <c r="N4" i="4"/>
  <c r="Q4" i="4"/>
  <c r="W4" i="4"/>
  <c r="Z4" i="4"/>
  <c r="AC4" i="4"/>
  <c r="AF4" i="4"/>
  <c r="AI4" i="4"/>
  <c r="AL4" i="4"/>
  <c r="AO4" i="4"/>
  <c r="AR4" i="4"/>
  <c r="AU4" i="4"/>
  <c r="AX4" i="4"/>
  <c r="BA4" i="4"/>
  <c r="BD4" i="4"/>
  <c r="BG4" i="4"/>
  <c r="BJ4" i="4"/>
  <c r="BM4" i="4"/>
  <c r="BP4" i="4"/>
  <c r="BS4" i="4"/>
  <c r="BV4" i="4"/>
  <c r="BY4" i="4"/>
  <c r="CB4" i="4"/>
  <c r="CE4" i="4"/>
  <c r="CH4" i="4"/>
  <c r="CK4" i="4"/>
  <c r="CN4" i="4"/>
  <c r="CQ4" i="4"/>
  <c r="CT4" i="4"/>
  <c r="CW4" i="4"/>
  <c r="CZ4" i="4"/>
  <c r="DC4" i="4"/>
  <c r="DF4" i="4"/>
  <c r="DI4" i="4"/>
  <c r="DL4" i="4"/>
  <c r="DO4" i="4"/>
  <c r="DR4" i="4"/>
  <c r="DU4" i="4"/>
  <c r="DX4" i="4"/>
  <c r="EA4" i="4"/>
  <c r="ED4" i="4"/>
  <c r="EG4" i="4"/>
  <c r="EJ4" i="4"/>
  <c r="EM4" i="4"/>
  <c r="EP4" i="4"/>
  <c r="ES4" i="4"/>
  <c r="EV4" i="4"/>
  <c r="EY4" i="4"/>
  <c r="FB4" i="4"/>
  <c r="FE4" i="4"/>
  <c r="FH4" i="4"/>
  <c r="FK4" i="4"/>
  <c r="FN4" i="4"/>
  <c r="FQ4" i="4"/>
  <c r="FT4" i="4"/>
  <c r="FW4" i="4"/>
  <c r="FZ4" i="4"/>
  <c r="GC4" i="4"/>
  <c r="GF4" i="4"/>
  <c r="GI4" i="4"/>
  <c r="GL4" i="4"/>
  <c r="GO4" i="4"/>
  <c r="GR4" i="4"/>
  <c r="GU4" i="4"/>
  <c r="GX4" i="4"/>
  <c r="HA4" i="4"/>
  <c r="HD4" i="4"/>
  <c r="HG4" i="4"/>
  <c r="HJ4" i="4"/>
  <c r="HM4" i="4"/>
  <c r="HP4" i="4"/>
  <c r="HS4" i="4"/>
  <c r="HV4" i="4"/>
  <c r="HY4" i="4"/>
  <c r="IB4" i="4"/>
  <c r="IE4" i="4"/>
  <c r="IH4" i="4"/>
  <c r="IK4" i="4"/>
  <c r="IN4" i="4"/>
  <c r="IQ4" i="4"/>
  <c r="IT4" i="4"/>
  <c r="IW4" i="4"/>
  <c r="IZ4" i="4"/>
  <c r="JC4" i="4"/>
  <c r="JF4" i="4"/>
  <c r="JI4" i="4"/>
  <c r="JL4" i="4"/>
  <c r="JO4" i="4"/>
  <c r="JR4" i="4"/>
  <c r="KH4" i="4"/>
  <c r="A5" i="4"/>
  <c r="B5" i="4"/>
  <c r="E5" i="4"/>
  <c r="H5" i="4"/>
  <c r="K5" i="4"/>
  <c r="N5" i="4"/>
  <c r="Q5" i="4"/>
  <c r="W5" i="4"/>
  <c r="Z5" i="4"/>
  <c r="AC5" i="4"/>
  <c r="AF5" i="4"/>
  <c r="AI5" i="4"/>
  <c r="AL5" i="4"/>
  <c r="AO5" i="4"/>
  <c r="AR5" i="4"/>
  <c r="AU5" i="4"/>
  <c r="AX5" i="4"/>
  <c r="BA5" i="4"/>
  <c r="BD5" i="4"/>
  <c r="BG5" i="4"/>
  <c r="BJ5" i="4"/>
  <c r="BM5" i="4"/>
  <c r="BP5" i="4"/>
  <c r="BS5" i="4"/>
  <c r="BV5" i="4"/>
  <c r="BY5" i="4"/>
  <c r="CB5" i="4"/>
  <c r="CH5" i="4"/>
  <c r="CK5" i="4"/>
  <c r="CN5" i="4"/>
  <c r="CQ5" i="4"/>
  <c r="CT5" i="4"/>
  <c r="CW5" i="4"/>
  <c r="CZ5" i="4"/>
  <c r="DC5" i="4"/>
  <c r="DF5" i="4"/>
  <c r="DI5" i="4"/>
  <c r="DL5" i="4"/>
  <c r="DO5" i="4"/>
  <c r="DR5" i="4"/>
  <c r="DU5" i="4"/>
  <c r="DX5" i="4"/>
  <c r="EA5" i="4"/>
  <c r="ED5" i="4"/>
  <c r="EG5" i="4"/>
  <c r="EJ5" i="4"/>
  <c r="EM5" i="4"/>
  <c r="EP5" i="4"/>
  <c r="ES5" i="4"/>
  <c r="EV5" i="4"/>
  <c r="EY5" i="4"/>
  <c r="FB5" i="4"/>
  <c r="FE5" i="4"/>
  <c r="FH5" i="4"/>
  <c r="FK5" i="4"/>
  <c r="FN5" i="4"/>
  <c r="FQ5" i="4"/>
  <c r="FT5" i="4"/>
  <c r="FW5" i="4"/>
  <c r="FZ5" i="4"/>
  <c r="GC5" i="4"/>
  <c r="GF5" i="4"/>
  <c r="GI5" i="4"/>
  <c r="GL5" i="4"/>
  <c r="GO5" i="4"/>
  <c r="GR5" i="4"/>
  <c r="GU5" i="4"/>
  <c r="GX5" i="4"/>
  <c r="HA5" i="4"/>
  <c r="HD5" i="4"/>
  <c r="HG5" i="4"/>
  <c r="HJ5" i="4"/>
  <c r="HM5" i="4"/>
  <c r="HP5" i="4"/>
  <c r="HS5" i="4"/>
  <c r="HV5" i="4"/>
  <c r="HY5" i="4"/>
  <c r="IB5" i="4"/>
  <c r="IE5" i="4"/>
  <c r="IH5" i="4"/>
  <c r="IK5" i="4"/>
  <c r="IN5" i="4"/>
  <c r="IQ5" i="4"/>
  <c r="IT5" i="4"/>
  <c r="IW5" i="4"/>
  <c r="IZ5" i="4"/>
  <c r="JC5" i="4"/>
  <c r="JF5" i="4"/>
  <c r="JI5" i="4"/>
  <c r="JL5" i="4"/>
  <c r="JO5" i="4"/>
  <c r="JR5" i="4"/>
  <c r="A6" i="4"/>
  <c r="B6" i="4"/>
  <c r="E6" i="4"/>
  <c r="H6" i="4"/>
  <c r="K6" i="4"/>
  <c r="N6" i="4"/>
  <c r="Q6" i="4"/>
  <c r="W6" i="4"/>
  <c r="Z6" i="4"/>
  <c r="AC6" i="4"/>
  <c r="AF6" i="4"/>
  <c r="AI6" i="4"/>
  <c r="AL6" i="4"/>
  <c r="AO6" i="4"/>
  <c r="AR6" i="4"/>
  <c r="AU6" i="4"/>
  <c r="AX6" i="4"/>
  <c r="BA6" i="4"/>
  <c r="BD6" i="4"/>
  <c r="BG6" i="4"/>
  <c r="BJ6" i="4"/>
  <c r="BM6" i="4"/>
  <c r="BP6" i="4"/>
  <c r="BS6" i="4"/>
  <c r="BV6" i="4"/>
  <c r="BY6" i="4"/>
  <c r="CB6" i="4"/>
  <c r="CH6" i="4"/>
  <c r="CK6" i="4"/>
  <c r="CN6" i="4"/>
  <c r="CQ6" i="4"/>
  <c r="CT6" i="4"/>
  <c r="CW6" i="4"/>
  <c r="CZ6" i="4"/>
  <c r="DC6" i="4"/>
  <c r="DC36" i="4" s="1"/>
  <c r="DF6" i="4"/>
  <c r="DI6" i="4"/>
  <c r="DL6" i="4"/>
  <c r="DO6" i="4"/>
  <c r="DR6" i="4"/>
  <c r="DU6" i="4"/>
  <c r="DX6" i="4"/>
  <c r="EA6" i="4"/>
  <c r="ED6" i="4"/>
  <c r="EG6" i="4"/>
  <c r="EJ6" i="4"/>
  <c r="EM6" i="4"/>
  <c r="EM36" i="4" s="1"/>
  <c r="EP6" i="4"/>
  <c r="ES6" i="4"/>
  <c r="EV6" i="4"/>
  <c r="EY6" i="4"/>
  <c r="FB6" i="4"/>
  <c r="FE6" i="4"/>
  <c r="FH6" i="4"/>
  <c r="FK6" i="4"/>
  <c r="FN6" i="4"/>
  <c r="FQ6" i="4"/>
  <c r="FT6" i="4"/>
  <c r="FW6" i="4"/>
  <c r="FZ6" i="4"/>
  <c r="GC6" i="4"/>
  <c r="GF6" i="4"/>
  <c r="GI6" i="4"/>
  <c r="GL6" i="4"/>
  <c r="GO6" i="4"/>
  <c r="GR6" i="4"/>
  <c r="GU6" i="4"/>
  <c r="GX6" i="4"/>
  <c r="HA6" i="4"/>
  <c r="HD6" i="4"/>
  <c r="HG6" i="4"/>
  <c r="HJ6" i="4"/>
  <c r="HM6" i="4"/>
  <c r="HP6" i="4"/>
  <c r="HS6" i="4"/>
  <c r="HV6" i="4"/>
  <c r="HY6" i="4"/>
  <c r="IB6" i="4"/>
  <c r="IE6" i="4"/>
  <c r="IH6" i="4"/>
  <c r="IK6" i="4"/>
  <c r="IN6" i="4"/>
  <c r="IQ6" i="4"/>
  <c r="IT6" i="4"/>
  <c r="IW6" i="4"/>
  <c r="IZ6" i="4"/>
  <c r="JC6" i="4"/>
  <c r="JF6" i="4"/>
  <c r="JI6" i="4"/>
  <c r="JL6" i="4"/>
  <c r="JO6" i="4"/>
  <c r="JR6" i="4"/>
  <c r="A7" i="4"/>
  <c r="B7" i="4"/>
  <c r="E7" i="4"/>
  <c r="H7" i="4"/>
  <c r="K7" i="4"/>
  <c r="N7" i="4"/>
  <c r="Q7" i="4"/>
  <c r="W7" i="4"/>
  <c r="Z7" i="4"/>
  <c r="AC7" i="4"/>
  <c r="AF7" i="4"/>
  <c r="AI7" i="4"/>
  <c r="AL7" i="4"/>
  <c r="AO7" i="4"/>
  <c r="AR7" i="4"/>
  <c r="AU7" i="4"/>
  <c r="AX7" i="4"/>
  <c r="BA7" i="4"/>
  <c r="BD7" i="4"/>
  <c r="BG7" i="4"/>
  <c r="BJ7" i="4"/>
  <c r="BM7" i="4"/>
  <c r="BP7" i="4"/>
  <c r="BS7" i="4"/>
  <c r="BV7" i="4"/>
  <c r="BY7" i="4"/>
  <c r="CB7" i="4"/>
  <c r="CH7" i="4"/>
  <c r="CK7" i="4"/>
  <c r="CN7" i="4"/>
  <c r="CQ7" i="4"/>
  <c r="CQ36" i="4" s="1"/>
  <c r="CT7" i="4"/>
  <c r="CW7" i="4"/>
  <c r="CZ7" i="4"/>
  <c r="DC7" i="4"/>
  <c r="DF7" i="4"/>
  <c r="DI7" i="4"/>
  <c r="DL7" i="4"/>
  <c r="DO7" i="4"/>
  <c r="DR7" i="4"/>
  <c r="DU7" i="4"/>
  <c r="DX7" i="4"/>
  <c r="EA7" i="4"/>
  <c r="EA36" i="4" s="1"/>
  <c r="ED7" i="4"/>
  <c r="EG7" i="4"/>
  <c r="EJ7" i="4"/>
  <c r="EM7" i="4"/>
  <c r="EP7" i="4"/>
  <c r="ES7" i="4"/>
  <c r="EV7" i="4"/>
  <c r="EY7" i="4"/>
  <c r="FB7" i="4"/>
  <c r="FE7" i="4"/>
  <c r="FH7" i="4"/>
  <c r="FK7" i="4"/>
  <c r="FK36" i="4" s="1"/>
  <c r="FN7" i="4"/>
  <c r="FQ7" i="4"/>
  <c r="FT7" i="4"/>
  <c r="FW7" i="4"/>
  <c r="FZ7" i="4"/>
  <c r="GC7" i="4"/>
  <c r="GF7" i="4"/>
  <c r="GI7" i="4"/>
  <c r="GL7" i="4"/>
  <c r="GO7" i="4"/>
  <c r="GR7" i="4"/>
  <c r="GU7" i="4"/>
  <c r="GU36" i="4" s="1"/>
  <c r="GX7" i="4"/>
  <c r="HA7" i="4"/>
  <c r="HD7" i="4"/>
  <c r="HG7" i="4"/>
  <c r="HJ7" i="4"/>
  <c r="HM7" i="4"/>
  <c r="HP7" i="4"/>
  <c r="HS7" i="4"/>
  <c r="HV7" i="4"/>
  <c r="HY7" i="4"/>
  <c r="IB7" i="4"/>
  <c r="IE7" i="4"/>
  <c r="IE36" i="4" s="1"/>
  <c r="IH7" i="4"/>
  <c r="IK7" i="4"/>
  <c r="IN7" i="4"/>
  <c r="IQ7" i="4"/>
  <c r="IT7" i="4"/>
  <c r="IW7" i="4"/>
  <c r="IZ7" i="4"/>
  <c r="JC7" i="4"/>
  <c r="JF7" i="4"/>
  <c r="JI7" i="4"/>
  <c r="JL7" i="4"/>
  <c r="JO7" i="4"/>
  <c r="JO36" i="4" s="1"/>
  <c r="JR7" i="4"/>
  <c r="A8" i="4"/>
  <c r="B8" i="4"/>
  <c r="E8" i="4"/>
  <c r="H8" i="4"/>
  <c r="K8" i="4"/>
  <c r="N8" i="4"/>
  <c r="Q8" i="4"/>
  <c r="W8" i="4"/>
  <c r="Z8" i="4"/>
  <c r="AC8" i="4"/>
  <c r="AF8" i="4"/>
  <c r="AI8" i="4"/>
  <c r="AL8" i="4"/>
  <c r="AO8" i="4"/>
  <c r="AR8" i="4"/>
  <c r="AU8" i="4"/>
  <c r="AX8" i="4"/>
  <c r="BA8" i="4"/>
  <c r="BD8" i="4"/>
  <c r="BG8" i="4"/>
  <c r="BJ8" i="4"/>
  <c r="BM8" i="4"/>
  <c r="BP8" i="4"/>
  <c r="BS8" i="4"/>
  <c r="BV8" i="4"/>
  <c r="BY8" i="4"/>
  <c r="CB8" i="4"/>
  <c r="CH8" i="4"/>
  <c r="CK8" i="4"/>
  <c r="CN8" i="4"/>
  <c r="CQ8" i="4"/>
  <c r="CT8" i="4"/>
  <c r="CW8" i="4"/>
  <c r="CZ8" i="4"/>
  <c r="DC8" i="4"/>
  <c r="DF8" i="4"/>
  <c r="DI8" i="4"/>
  <c r="DL8" i="4"/>
  <c r="DO8" i="4"/>
  <c r="DO36" i="4" s="1"/>
  <c r="DR8" i="4"/>
  <c r="DU8" i="4"/>
  <c r="DX8" i="4"/>
  <c r="EA8" i="4"/>
  <c r="ED8" i="4"/>
  <c r="EG8" i="4"/>
  <c r="EJ8" i="4"/>
  <c r="EM8" i="4"/>
  <c r="EP8" i="4"/>
  <c r="ES8" i="4"/>
  <c r="EV8" i="4"/>
  <c r="EY8" i="4"/>
  <c r="EY36" i="4" s="1"/>
  <c r="FB8" i="4"/>
  <c r="FE8" i="4"/>
  <c r="FH8" i="4"/>
  <c r="FK8" i="4"/>
  <c r="FN8" i="4"/>
  <c r="FQ8" i="4"/>
  <c r="FT8" i="4"/>
  <c r="FW8" i="4"/>
  <c r="FZ8" i="4"/>
  <c r="GC8" i="4"/>
  <c r="GF8" i="4"/>
  <c r="GI8" i="4"/>
  <c r="GI36" i="4" s="1"/>
  <c r="GL8" i="4"/>
  <c r="GO8" i="4"/>
  <c r="GR8" i="4"/>
  <c r="GU8" i="4"/>
  <c r="GX8" i="4"/>
  <c r="HA8" i="4"/>
  <c r="HD8" i="4"/>
  <c r="HG8" i="4"/>
  <c r="HJ8" i="4"/>
  <c r="HM8" i="4"/>
  <c r="HP8" i="4"/>
  <c r="HS8" i="4"/>
  <c r="HS36" i="4" s="1"/>
  <c r="HV8" i="4"/>
  <c r="HY8" i="4"/>
  <c r="IB8" i="4"/>
  <c r="IE8" i="4"/>
  <c r="IH8" i="4"/>
  <c r="IK8" i="4"/>
  <c r="IN8" i="4"/>
  <c r="IQ8" i="4"/>
  <c r="IT8" i="4"/>
  <c r="IW8" i="4"/>
  <c r="IZ8" i="4"/>
  <c r="JC8" i="4"/>
  <c r="JC36" i="4" s="1"/>
  <c r="JF8" i="4"/>
  <c r="JI8" i="4"/>
  <c r="JL8" i="4"/>
  <c r="JO8" i="4"/>
  <c r="JR8" i="4"/>
  <c r="A9" i="4"/>
  <c r="B9" i="4"/>
  <c r="E9" i="4"/>
  <c r="H9" i="4"/>
  <c r="K9" i="4"/>
  <c r="N9" i="4"/>
  <c r="Q9" i="4"/>
  <c r="W9" i="4"/>
  <c r="Z9" i="4"/>
  <c r="AC9" i="4"/>
  <c r="AF9" i="4"/>
  <c r="AI9" i="4"/>
  <c r="AL9" i="4"/>
  <c r="AO9" i="4"/>
  <c r="AR9" i="4"/>
  <c r="AU9" i="4"/>
  <c r="AX9" i="4"/>
  <c r="BA9" i="4"/>
  <c r="BD9" i="4"/>
  <c r="BG9" i="4"/>
  <c r="BJ9" i="4"/>
  <c r="BM9" i="4"/>
  <c r="BP9" i="4"/>
  <c r="BS9" i="4"/>
  <c r="BV9" i="4"/>
  <c r="BY9" i="4"/>
  <c r="CB9" i="4"/>
  <c r="CH9" i="4"/>
  <c r="CK9" i="4"/>
  <c r="CN9" i="4"/>
  <c r="CQ9" i="4"/>
  <c r="CT9" i="4"/>
  <c r="CW9" i="4"/>
  <c r="CZ9" i="4"/>
  <c r="DC9" i="4"/>
  <c r="DF9" i="4"/>
  <c r="DI9" i="4"/>
  <c r="DL9" i="4"/>
  <c r="DO9" i="4"/>
  <c r="DR9" i="4"/>
  <c r="DU9" i="4"/>
  <c r="DX9" i="4"/>
  <c r="EA9" i="4"/>
  <c r="ED9" i="4"/>
  <c r="EG9" i="4"/>
  <c r="EJ9" i="4"/>
  <c r="EM9" i="4"/>
  <c r="EP9" i="4"/>
  <c r="ES9" i="4"/>
  <c r="EV9" i="4"/>
  <c r="EY9" i="4"/>
  <c r="FB9" i="4"/>
  <c r="FE9" i="4"/>
  <c r="FH9" i="4"/>
  <c r="FK9" i="4"/>
  <c r="FN9" i="4"/>
  <c r="FQ9" i="4"/>
  <c r="FT9" i="4"/>
  <c r="FW9" i="4"/>
  <c r="FW36" i="4" s="1"/>
  <c r="FZ9" i="4"/>
  <c r="GC9" i="4"/>
  <c r="GF9" i="4"/>
  <c r="GI9" i="4"/>
  <c r="GL9" i="4"/>
  <c r="GO9" i="4"/>
  <c r="GR9" i="4"/>
  <c r="GU9" i="4"/>
  <c r="GX9" i="4"/>
  <c r="HA9" i="4"/>
  <c r="HD9" i="4"/>
  <c r="HG9" i="4"/>
  <c r="HG36" i="4" s="1"/>
  <c r="HJ9" i="4"/>
  <c r="HM9" i="4"/>
  <c r="HP9" i="4"/>
  <c r="HS9" i="4"/>
  <c r="HV9" i="4"/>
  <c r="HY9" i="4"/>
  <c r="IB9" i="4"/>
  <c r="IE9" i="4"/>
  <c r="IH9" i="4"/>
  <c r="IK9" i="4"/>
  <c r="IN9" i="4"/>
  <c r="IQ9" i="4"/>
  <c r="IQ36" i="4" s="1"/>
  <c r="IT9" i="4"/>
  <c r="IW9" i="4"/>
  <c r="IZ9" i="4"/>
  <c r="JC9" i="4"/>
  <c r="JF9" i="4"/>
  <c r="JI9" i="4"/>
  <c r="JL9" i="4"/>
  <c r="JO9" i="4"/>
  <c r="JR9" i="4"/>
  <c r="A10" i="4"/>
  <c r="B10" i="4"/>
  <c r="E10" i="4"/>
  <c r="H10" i="4"/>
  <c r="K10" i="4"/>
  <c r="N10" i="4"/>
  <c r="Q10" i="4"/>
  <c r="W10" i="4"/>
  <c r="Z10" i="4"/>
  <c r="AC10" i="4"/>
  <c r="AF10" i="4"/>
  <c r="AI10" i="4"/>
  <c r="AL10" i="4"/>
  <c r="AO10" i="4"/>
  <c r="AR10" i="4"/>
  <c r="AU10" i="4"/>
  <c r="AX10" i="4"/>
  <c r="BA10" i="4"/>
  <c r="BD10" i="4"/>
  <c r="BG10" i="4"/>
  <c r="BJ10" i="4"/>
  <c r="BM10" i="4"/>
  <c r="BP10" i="4"/>
  <c r="BS10" i="4"/>
  <c r="BV10" i="4"/>
  <c r="BY10" i="4"/>
  <c r="CB10" i="4"/>
  <c r="CH10" i="4"/>
  <c r="CK10" i="4"/>
  <c r="CN10" i="4"/>
  <c r="CQ10" i="4"/>
  <c r="CT10" i="4"/>
  <c r="CW10" i="4"/>
  <c r="CZ10" i="4"/>
  <c r="DC10" i="4"/>
  <c r="DF10" i="4"/>
  <c r="DI10" i="4"/>
  <c r="DL10" i="4"/>
  <c r="DO10" i="4"/>
  <c r="DR10" i="4"/>
  <c r="DU10" i="4"/>
  <c r="DX10" i="4"/>
  <c r="EA10" i="4"/>
  <c r="ED10" i="4"/>
  <c r="EG10" i="4"/>
  <c r="EJ10" i="4"/>
  <c r="EM10" i="4"/>
  <c r="EP10" i="4"/>
  <c r="ES10" i="4"/>
  <c r="EV10" i="4"/>
  <c r="EY10" i="4"/>
  <c r="FB10" i="4"/>
  <c r="FE10" i="4"/>
  <c r="FH10" i="4"/>
  <c r="FK10" i="4"/>
  <c r="FN10" i="4"/>
  <c r="FQ10" i="4"/>
  <c r="FT10" i="4"/>
  <c r="FW10" i="4"/>
  <c r="FZ10" i="4"/>
  <c r="GC10" i="4"/>
  <c r="GF10" i="4"/>
  <c r="GI10" i="4"/>
  <c r="GL10" i="4"/>
  <c r="GO10" i="4"/>
  <c r="GR10" i="4"/>
  <c r="GU10" i="4"/>
  <c r="GX10" i="4"/>
  <c r="HA10" i="4"/>
  <c r="HD10" i="4"/>
  <c r="HG10" i="4"/>
  <c r="HJ10" i="4"/>
  <c r="HM10" i="4"/>
  <c r="HP10" i="4"/>
  <c r="HS10" i="4"/>
  <c r="HV10" i="4"/>
  <c r="HY10" i="4"/>
  <c r="IB10" i="4"/>
  <c r="IE10" i="4"/>
  <c r="IH10" i="4"/>
  <c r="IK10" i="4"/>
  <c r="IN10" i="4"/>
  <c r="IQ10" i="4"/>
  <c r="IT10" i="4"/>
  <c r="IW10" i="4"/>
  <c r="IZ10" i="4"/>
  <c r="JC10" i="4"/>
  <c r="JF10" i="4"/>
  <c r="JI10" i="4"/>
  <c r="JL10" i="4"/>
  <c r="JO10" i="4"/>
  <c r="JR10" i="4"/>
  <c r="A11" i="4"/>
  <c r="B11" i="4"/>
  <c r="E11" i="4"/>
  <c r="H11" i="4"/>
  <c r="K11" i="4"/>
  <c r="N11" i="4"/>
  <c r="Q11" i="4"/>
  <c r="W11" i="4"/>
  <c r="Z11" i="4"/>
  <c r="AC11" i="4"/>
  <c r="AF11" i="4"/>
  <c r="AI11" i="4"/>
  <c r="AL11" i="4"/>
  <c r="AO11" i="4"/>
  <c r="AR11" i="4"/>
  <c r="AU11" i="4"/>
  <c r="AX11" i="4"/>
  <c r="BA11" i="4"/>
  <c r="BD11" i="4"/>
  <c r="BG11" i="4"/>
  <c r="BJ11" i="4"/>
  <c r="BM11" i="4"/>
  <c r="BP11" i="4"/>
  <c r="BS11" i="4"/>
  <c r="BV11" i="4"/>
  <c r="BY11" i="4"/>
  <c r="CB11" i="4"/>
  <c r="CK11" i="4"/>
  <c r="CN11" i="4"/>
  <c r="CQ11" i="4"/>
  <c r="CT11" i="4"/>
  <c r="CW11" i="4"/>
  <c r="CZ11" i="4"/>
  <c r="DC11" i="4"/>
  <c r="DF11" i="4"/>
  <c r="DI11" i="4"/>
  <c r="DL11" i="4"/>
  <c r="DO11" i="4"/>
  <c r="DR11" i="4"/>
  <c r="DU11" i="4"/>
  <c r="DX11" i="4"/>
  <c r="EA11" i="4"/>
  <c r="ED11" i="4"/>
  <c r="EG11" i="4"/>
  <c r="EJ11" i="4"/>
  <c r="EM11" i="4"/>
  <c r="EP11" i="4"/>
  <c r="ES11" i="4"/>
  <c r="EV11" i="4"/>
  <c r="EY11" i="4"/>
  <c r="FB11" i="4"/>
  <c r="FE11" i="4"/>
  <c r="FH11" i="4"/>
  <c r="FK11" i="4"/>
  <c r="FN11" i="4"/>
  <c r="FQ11" i="4"/>
  <c r="FT11" i="4"/>
  <c r="FW11" i="4"/>
  <c r="FZ11" i="4"/>
  <c r="GC11" i="4"/>
  <c r="GF11" i="4"/>
  <c r="GI11" i="4"/>
  <c r="GL11" i="4"/>
  <c r="GO11" i="4"/>
  <c r="GR11" i="4"/>
  <c r="GU11" i="4"/>
  <c r="GX11" i="4"/>
  <c r="HA11" i="4"/>
  <c r="HD11" i="4"/>
  <c r="HG11" i="4"/>
  <c r="HJ11" i="4"/>
  <c r="HM11" i="4"/>
  <c r="HP11" i="4"/>
  <c r="HS11" i="4"/>
  <c r="HV11" i="4"/>
  <c r="HY11" i="4"/>
  <c r="IB11" i="4"/>
  <c r="IE11" i="4"/>
  <c r="IH11" i="4"/>
  <c r="IK11" i="4"/>
  <c r="IN11" i="4"/>
  <c r="IQ11" i="4"/>
  <c r="IT11" i="4"/>
  <c r="IW11" i="4"/>
  <c r="IZ11" i="4"/>
  <c r="JC11" i="4"/>
  <c r="JF11" i="4"/>
  <c r="JI11" i="4"/>
  <c r="JL11" i="4"/>
  <c r="JO11" i="4"/>
  <c r="JR11" i="4"/>
  <c r="A12" i="4"/>
  <c r="B12" i="4"/>
  <c r="E12" i="4"/>
  <c r="H12" i="4"/>
  <c r="K12" i="4"/>
  <c r="N12" i="4"/>
  <c r="Q12" i="4"/>
  <c r="W12" i="4"/>
  <c r="W36" i="4" s="1"/>
  <c r="Z12" i="4"/>
  <c r="AC12" i="4"/>
  <c r="AF12" i="4"/>
  <c r="AI12" i="4"/>
  <c r="AI36" i="4" s="1"/>
  <c r="AL12" i="4"/>
  <c r="AO12" i="4"/>
  <c r="AR12" i="4"/>
  <c r="AU12" i="4"/>
  <c r="AX12" i="4"/>
  <c r="BA12" i="4"/>
  <c r="BD12" i="4"/>
  <c r="BG12" i="4"/>
  <c r="BG36" i="4" s="1"/>
  <c r="BJ12" i="4"/>
  <c r="BM12" i="4"/>
  <c r="BP12" i="4"/>
  <c r="BS12" i="4"/>
  <c r="BS36" i="4" s="1"/>
  <c r="BV12" i="4"/>
  <c r="BY12" i="4"/>
  <c r="CB12" i="4"/>
  <c r="CK12" i="4"/>
  <c r="CN12" i="4"/>
  <c r="CQ12" i="4"/>
  <c r="CT12" i="4"/>
  <c r="CW12" i="4"/>
  <c r="CZ12" i="4"/>
  <c r="DC12" i="4"/>
  <c r="DF12" i="4"/>
  <c r="DI12" i="4"/>
  <c r="DL12" i="4"/>
  <c r="DO12" i="4"/>
  <c r="DR12" i="4"/>
  <c r="DU12" i="4"/>
  <c r="DX12" i="4"/>
  <c r="EA12" i="4"/>
  <c r="ED12" i="4"/>
  <c r="EG12" i="4"/>
  <c r="EJ12" i="4"/>
  <c r="EM12" i="4"/>
  <c r="EP12" i="4"/>
  <c r="ES12" i="4"/>
  <c r="EV12" i="4"/>
  <c r="EY12" i="4"/>
  <c r="FB12" i="4"/>
  <c r="FE12" i="4"/>
  <c r="FH12" i="4"/>
  <c r="FK12" i="4"/>
  <c r="FN12" i="4"/>
  <c r="FQ12" i="4"/>
  <c r="FT12" i="4"/>
  <c r="FW12" i="4"/>
  <c r="FZ12" i="4"/>
  <c r="GC12" i="4"/>
  <c r="GF12" i="4"/>
  <c r="GI12" i="4"/>
  <c r="GL12" i="4"/>
  <c r="GO12" i="4"/>
  <c r="GR12" i="4"/>
  <c r="GU12" i="4"/>
  <c r="GX12" i="4"/>
  <c r="HA12" i="4"/>
  <c r="HD12" i="4"/>
  <c r="HG12" i="4"/>
  <c r="HJ12" i="4"/>
  <c r="HM12" i="4"/>
  <c r="HP12" i="4"/>
  <c r="HS12" i="4"/>
  <c r="HV12" i="4"/>
  <c r="HY12" i="4"/>
  <c r="IB12" i="4"/>
  <c r="IE12" i="4"/>
  <c r="IH12" i="4"/>
  <c r="IK12" i="4"/>
  <c r="IN12" i="4"/>
  <c r="IQ12" i="4"/>
  <c r="IT12" i="4"/>
  <c r="IW12" i="4"/>
  <c r="IZ12" i="4"/>
  <c r="JC12" i="4"/>
  <c r="JF12" i="4"/>
  <c r="JI12" i="4"/>
  <c r="JL12" i="4"/>
  <c r="JO12" i="4"/>
  <c r="JR12" i="4"/>
  <c r="A13" i="4"/>
  <c r="B13" i="4"/>
  <c r="E13" i="4"/>
  <c r="H13" i="4"/>
  <c r="K13" i="4"/>
  <c r="N13" i="4"/>
  <c r="Q13" i="4"/>
  <c r="W13" i="4"/>
  <c r="Z13" i="4"/>
  <c r="AC13" i="4"/>
  <c r="AF13" i="4"/>
  <c r="AI13" i="4"/>
  <c r="AL13" i="4"/>
  <c r="AO13" i="4"/>
  <c r="AR13" i="4"/>
  <c r="AU13" i="4"/>
  <c r="AX13" i="4"/>
  <c r="BA13" i="4"/>
  <c r="BD13" i="4"/>
  <c r="BG13" i="4"/>
  <c r="BJ13" i="4"/>
  <c r="BM13" i="4"/>
  <c r="BP13" i="4"/>
  <c r="BS13" i="4"/>
  <c r="BV13" i="4"/>
  <c r="BY13" i="4"/>
  <c r="CB13" i="4"/>
  <c r="CE13" i="4"/>
  <c r="CK13" i="4"/>
  <c r="CN13" i="4"/>
  <c r="CQ13" i="4"/>
  <c r="CT13" i="4"/>
  <c r="CW13" i="4"/>
  <c r="CZ13" i="4"/>
  <c r="DC13" i="4"/>
  <c r="DF13" i="4"/>
  <c r="DI13" i="4"/>
  <c r="DL13" i="4"/>
  <c r="DO13" i="4"/>
  <c r="DR13" i="4"/>
  <c r="DU13" i="4"/>
  <c r="DX13" i="4"/>
  <c r="EA13" i="4"/>
  <c r="ED13" i="4"/>
  <c r="EG13" i="4"/>
  <c r="EJ13" i="4"/>
  <c r="EM13" i="4"/>
  <c r="EP13" i="4"/>
  <c r="ES13" i="4"/>
  <c r="EV13" i="4"/>
  <c r="EY13" i="4"/>
  <c r="FB13" i="4"/>
  <c r="FE13" i="4"/>
  <c r="FH13" i="4"/>
  <c r="FK13" i="4"/>
  <c r="FN13" i="4"/>
  <c r="FQ13" i="4"/>
  <c r="FT13" i="4"/>
  <c r="FW13" i="4"/>
  <c r="FZ13" i="4"/>
  <c r="GC13" i="4"/>
  <c r="GF13" i="4"/>
  <c r="GI13" i="4"/>
  <c r="GL13" i="4"/>
  <c r="GO13" i="4"/>
  <c r="GR13" i="4"/>
  <c r="GU13" i="4"/>
  <c r="GX13" i="4"/>
  <c r="HA13" i="4"/>
  <c r="HD13" i="4"/>
  <c r="HG13" i="4"/>
  <c r="HJ13" i="4"/>
  <c r="HM13" i="4"/>
  <c r="HP13" i="4"/>
  <c r="HS13" i="4"/>
  <c r="HV13" i="4"/>
  <c r="HY13" i="4"/>
  <c r="IB13" i="4"/>
  <c r="IE13" i="4"/>
  <c r="IH13" i="4"/>
  <c r="IK13" i="4"/>
  <c r="IN13" i="4"/>
  <c r="IQ13" i="4"/>
  <c r="IT13" i="4"/>
  <c r="IW13" i="4"/>
  <c r="IZ13" i="4"/>
  <c r="JC13" i="4"/>
  <c r="JF13" i="4"/>
  <c r="JI13" i="4"/>
  <c r="JL13" i="4"/>
  <c r="JO13" i="4"/>
  <c r="JR13" i="4"/>
  <c r="A14" i="4"/>
  <c r="B14" i="4"/>
  <c r="E14" i="4"/>
  <c r="H14" i="4"/>
  <c r="H36" i="4" s="1"/>
  <c r="K14" i="4"/>
  <c r="N14" i="4"/>
  <c r="Q14" i="4"/>
  <c r="W14" i="4"/>
  <c r="Z14" i="4"/>
  <c r="AC14" i="4"/>
  <c r="AF14" i="4"/>
  <c r="AI14" i="4"/>
  <c r="AL14" i="4"/>
  <c r="AO14" i="4"/>
  <c r="AR14" i="4"/>
  <c r="AU14" i="4"/>
  <c r="AU36" i="4" s="1"/>
  <c r="AX14" i="4"/>
  <c r="BA14" i="4"/>
  <c r="BD14" i="4"/>
  <c r="BG14" i="4"/>
  <c r="BJ14" i="4"/>
  <c r="BM14" i="4"/>
  <c r="BP14" i="4"/>
  <c r="BS14" i="4"/>
  <c r="BV14" i="4"/>
  <c r="BY14" i="4"/>
  <c r="CB14" i="4"/>
  <c r="CE14" i="4"/>
  <c r="CE36" i="4" s="1"/>
  <c r="CH14" i="4"/>
  <c r="CK14" i="4"/>
  <c r="CN14" i="4"/>
  <c r="CQ14" i="4"/>
  <c r="CT14" i="4"/>
  <c r="CW14" i="4"/>
  <c r="CZ14" i="4"/>
  <c r="DC14" i="4"/>
  <c r="DF14" i="4"/>
  <c r="DI14" i="4"/>
  <c r="DL14" i="4"/>
  <c r="DO14" i="4"/>
  <c r="DR14" i="4"/>
  <c r="DU14" i="4"/>
  <c r="DX14" i="4"/>
  <c r="EA14" i="4"/>
  <c r="ED14" i="4"/>
  <c r="EG14" i="4"/>
  <c r="EJ14" i="4"/>
  <c r="EM14" i="4"/>
  <c r="EP14" i="4"/>
  <c r="ES14" i="4"/>
  <c r="EV14" i="4"/>
  <c r="EY14" i="4"/>
  <c r="FB14" i="4"/>
  <c r="FE14" i="4"/>
  <c r="FH14" i="4"/>
  <c r="FK14" i="4"/>
  <c r="FN14" i="4"/>
  <c r="FQ14" i="4"/>
  <c r="FT14" i="4"/>
  <c r="FW14" i="4"/>
  <c r="FZ14" i="4"/>
  <c r="GC14" i="4"/>
  <c r="GF14" i="4"/>
  <c r="GI14" i="4"/>
  <c r="GL14" i="4"/>
  <c r="GO14" i="4"/>
  <c r="GR14" i="4"/>
  <c r="GU14" i="4"/>
  <c r="GX14" i="4"/>
  <c r="HA14" i="4"/>
  <c r="HD14" i="4"/>
  <c r="HG14" i="4"/>
  <c r="HJ14" i="4"/>
  <c r="HM14" i="4"/>
  <c r="HP14" i="4"/>
  <c r="HS14" i="4"/>
  <c r="HV14" i="4"/>
  <c r="HY14" i="4"/>
  <c r="IB14" i="4"/>
  <c r="IE14" i="4"/>
  <c r="IH14" i="4"/>
  <c r="IK14" i="4"/>
  <c r="IN14" i="4"/>
  <c r="IQ14" i="4"/>
  <c r="IT14" i="4"/>
  <c r="IW14" i="4"/>
  <c r="IZ14" i="4"/>
  <c r="JC14" i="4"/>
  <c r="JF14" i="4"/>
  <c r="JI14" i="4"/>
  <c r="JL14" i="4"/>
  <c r="JO14" i="4"/>
  <c r="JR14" i="4"/>
  <c r="A15" i="4"/>
  <c r="B15" i="4"/>
  <c r="E15" i="4"/>
  <c r="H15" i="4"/>
  <c r="K15" i="4"/>
  <c r="N15" i="4"/>
  <c r="Q15" i="4"/>
  <c r="W15" i="4"/>
  <c r="Z15" i="4"/>
  <c r="AC15" i="4"/>
  <c r="AF15" i="4"/>
  <c r="AI15" i="4"/>
  <c r="AL15" i="4"/>
  <c r="AO15" i="4"/>
  <c r="AR15" i="4"/>
  <c r="AU15" i="4"/>
  <c r="AX15" i="4"/>
  <c r="BA15" i="4"/>
  <c r="BD15" i="4"/>
  <c r="BG15" i="4"/>
  <c r="BJ15" i="4"/>
  <c r="BM15" i="4"/>
  <c r="BP15" i="4"/>
  <c r="BS15" i="4"/>
  <c r="BV15" i="4"/>
  <c r="BY15" i="4"/>
  <c r="CB15" i="4"/>
  <c r="CE15" i="4"/>
  <c r="CH15" i="4"/>
  <c r="CK15" i="4"/>
  <c r="CN15" i="4"/>
  <c r="CQ15" i="4"/>
  <c r="CT15" i="4"/>
  <c r="CW15" i="4"/>
  <c r="CZ15" i="4"/>
  <c r="DC15" i="4"/>
  <c r="DF15" i="4"/>
  <c r="DI15" i="4"/>
  <c r="DL15" i="4"/>
  <c r="DO15" i="4"/>
  <c r="DR15" i="4"/>
  <c r="DU15" i="4"/>
  <c r="DX15" i="4"/>
  <c r="EA15" i="4"/>
  <c r="ED15" i="4"/>
  <c r="EG15" i="4"/>
  <c r="EJ15" i="4"/>
  <c r="EM15" i="4"/>
  <c r="EP15" i="4"/>
  <c r="ES15" i="4"/>
  <c r="EV15" i="4"/>
  <c r="EY15" i="4"/>
  <c r="FB15" i="4"/>
  <c r="FE15" i="4"/>
  <c r="FH15" i="4"/>
  <c r="FK15" i="4"/>
  <c r="FN15" i="4"/>
  <c r="FQ15" i="4"/>
  <c r="FT15" i="4"/>
  <c r="FW15" i="4"/>
  <c r="FZ15" i="4"/>
  <c r="GC15" i="4"/>
  <c r="GF15" i="4"/>
  <c r="GI15" i="4"/>
  <c r="GL15" i="4"/>
  <c r="GO15" i="4"/>
  <c r="GR15" i="4"/>
  <c r="GU15" i="4"/>
  <c r="GX15" i="4"/>
  <c r="HA15" i="4"/>
  <c r="HD15" i="4"/>
  <c r="HG15" i="4"/>
  <c r="HJ15" i="4"/>
  <c r="HM15" i="4"/>
  <c r="HP15" i="4"/>
  <c r="HS15" i="4"/>
  <c r="HV15" i="4"/>
  <c r="HY15" i="4"/>
  <c r="IB15" i="4"/>
  <c r="IE15" i="4"/>
  <c r="IH15" i="4"/>
  <c r="IK15" i="4"/>
  <c r="IN15" i="4"/>
  <c r="IQ15" i="4"/>
  <c r="IT15" i="4"/>
  <c r="IW15" i="4"/>
  <c r="IZ15" i="4"/>
  <c r="JC15" i="4"/>
  <c r="JF15" i="4"/>
  <c r="JI15" i="4"/>
  <c r="JL15" i="4"/>
  <c r="JO15" i="4"/>
  <c r="JR15" i="4"/>
  <c r="A16" i="4"/>
  <c r="B16" i="4"/>
  <c r="E16" i="4"/>
  <c r="H16" i="4"/>
  <c r="K16" i="4"/>
  <c r="N16" i="4"/>
  <c r="Q16" i="4"/>
  <c r="Q36" i="4" s="1"/>
  <c r="W16" i="4"/>
  <c r="Z16" i="4"/>
  <c r="AC16" i="4"/>
  <c r="AF16" i="4"/>
  <c r="AI16" i="4"/>
  <c r="AL16" i="4"/>
  <c r="AO16" i="4"/>
  <c r="AR16" i="4"/>
  <c r="AU16" i="4"/>
  <c r="AX16" i="4"/>
  <c r="BA16" i="4"/>
  <c r="BD16" i="4"/>
  <c r="BD36" i="4" s="1"/>
  <c r="BG16" i="4"/>
  <c r="BJ16" i="4"/>
  <c r="BM16" i="4"/>
  <c r="BP16" i="4"/>
  <c r="BS16" i="4"/>
  <c r="BV16" i="4"/>
  <c r="BY16" i="4"/>
  <c r="CB16" i="4"/>
  <c r="CE16" i="4"/>
  <c r="CH16" i="4"/>
  <c r="CK16" i="4"/>
  <c r="CN16" i="4"/>
  <c r="CN36" i="4" s="1"/>
  <c r="CQ16" i="4"/>
  <c r="CT16" i="4"/>
  <c r="CW16" i="4"/>
  <c r="CZ16" i="4"/>
  <c r="DC16" i="4"/>
  <c r="DF16" i="4"/>
  <c r="DI16" i="4"/>
  <c r="DL16" i="4"/>
  <c r="DO16" i="4"/>
  <c r="DR16" i="4"/>
  <c r="DU16" i="4"/>
  <c r="DX16" i="4"/>
  <c r="DX36" i="4" s="1"/>
  <c r="EA16" i="4"/>
  <c r="ED16" i="4"/>
  <c r="EG16" i="4"/>
  <c r="EJ16" i="4"/>
  <c r="EM16" i="4"/>
  <c r="EP16" i="4"/>
  <c r="ES16" i="4"/>
  <c r="EV16" i="4"/>
  <c r="EY16" i="4"/>
  <c r="FB16" i="4"/>
  <c r="FE16" i="4"/>
  <c r="FH16" i="4"/>
  <c r="FH36" i="4" s="1"/>
  <c r="FK16" i="4"/>
  <c r="FN16" i="4"/>
  <c r="FQ16" i="4"/>
  <c r="FT16" i="4"/>
  <c r="FW16" i="4"/>
  <c r="FZ16" i="4"/>
  <c r="GC16" i="4"/>
  <c r="GF16" i="4"/>
  <c r="GI16" i="4"/>
  <c r="GL16" i="4"/>
  <c r="GO16" i="4"/>
  <c r="GR16" i="4"/>
  <c r="GR36" i="4" s="1"/>
  <c r="GU16" i="4"/>
  <c r="GX16" i="4"/>
  <c r="HA16" i="4"/>
  <c r="HD16" i="4"/>
  <c r="HG16" i="4"/>
  <c r="HJ16" i="4"/>
  <c r="HM16" i="4"/>
  <c r="HP16" i="4"/>
  <c r="HS16" i="4"/>
  <c r="HV16" i="4"/>
  <c r="HY16" i="4"/>
  <c r="IB16" i="4"/>
  <c r="IB36" i="4" s="1"/>
  <c r="IE16" i="4"/>
  <c r="IH16" i="4"/>
  <c r="IK16" i="4"/>
  <c r="IN16" i="4"/>
  <c r="IQ16" i="4"/>
  <c r="IT16" i="4"/>
  <c r="IW16" i="4"/>
  <c r="IZ16" i="4"/>
  <c r="JC16" i="4"/>
  <c r="JF16" i="4"/>
  <c r="JI16" i="4"/>
  <c r="JL16" i="4"/>
  <c r="JL36" i="4" s="1"/>
  <c r="JO16" i="4"/>
  <c r="JR16" i="4"/>
  <c r="A17" i="4"/>
  <c r="B17" i="4"/>
  <c r="E17" i="4"/>
  <c r="H17" i="4"/>
  <c r="K17" i="4"/>
  <c r="N17" i="4"/>
  <c r="Q17" i="4"/>
  <c r="W17" i="4"/>
  <c r="Z17" i="4"/>
  <c r="AC17" i="4"/>
  <c r="AF17" i="4"/>
  <c r="AI17" i="4"/>
  <c r="AL17" i="4"/>
  <c r="AO17" i="4"/>
  <c r="AR17" i="4"/>
  <c r="AU17" i="4"/>
  <c r="AX17" i="4"/>
  <c r="BA17" i="4"/>
  <c r="BD17" i="4"/>
  <c r="BG17" i="4"/>
  <c r="BJ17" i="4"/>
  <c r="BM17" i="4"/>
  <c r="BP17" i="4"/>
  <c r="BS17" i="4"/>
  <c r="BV17" i="4"/>
  <c r="BY17" i="4"/>
  <c r="CB17" i="4"/>
  <c r="CE17" i="4"/>
  <c r="CH17" i="4"/>
  <c r="CK17" i="4"/>
  <c r="CN17" i="4"/>
  <c r="CQ17" i="4"/>
  <c r="CT17" i="4"/>
  <c r="CW17" i="4"/>
  <c r="CZ17" i="4"/>
  <c r="DC17" i="4"/>
  <c r="DF17" i="4"/>
  <c r="DI17" i="4"/>
  <c r="DL17" i="4"/>
  <c r="DO17" i="4"/>
  <c r="DR17" i="4"/>
  <c r="DU17" i="4"/>
  <c r="DX17" i="4"/>
  <c r="EA17" i="4"/>
  <c r="ED17" i="4"/>
  <c r="EG17" i="4"/>
  <c r="EJ17" i="4"/>
  <c r="EM17" i="4"/>
  <c r="EP17" i="4"/>
  <c r="ES17" i="4"/>
  <c r="EV17" i="4"/>
  <c r="EY17" i="4"/>
  <c r="FB17" i="4"/>
  <c r="FE17" i="4"/>
  <c r="FH17" i="4"/>
  <c r="FK17" i="4"/>
  <c r="FN17" i="4"/>
  <c r="FQ17" i="4"/>
  <c r="FT17" i="4"/>
  <c r="FW17" i="4"/>
  <c r="FZ17" i="4"/>
  <c r="GC17" i="4"/>
  <c r="GF17" i="4"/>
  <c r="GI17" i="4"/>
  <c r="GL17" i="4"/>
  <c r="GO17" i="4"/>
  <c r="GR17" i="4"/>
  <c r="GU17" i="4"/>
  <c r="GX17" i="4"/>
  <c r="HA17" i="4"/>
  <c r="HD17" i="4"/>
  <c r="HG17" i="4"/>
  <c r="HJ17" i="4"/>
  <c r="HM17" i="4"/>
  <c r="HP17" i="4"/>
  <c r="HS17" i="4"/>
  <c r="HV17" i="4"/>
  <c r="HY17" i="4"/>
  <c r="IB17" i="4"/>
  <c r="IE17" i="4"/>
  <c r="IH17" i="4"/>
  <c r="IK17" i="4"/>
  <c r="IN17" i="4"/>
  <c r="IQ17" i="4"/>
  <c r="IT17" i="4"/>
  <c r="IW17" i="4"/>
  <c r="IZ17" i="4"/>
  <c r="JC17" i="4"/>
  <c r="JF17" i="4"/>
  <c r="JI17" i="4"/>
  <c r="JL17" i="4"/>
  <c r="JO17" i="4"/>
  <c r="JR17" i="4"/>
  <c r="A18" i="4"/>
  <c r="B18" i="4"/>
  <c r="E18" i="4"/>
  <c r="H18" i="4"/>
  <c r="K18" i="4"/>
  <c r="N18" i="4"/>
  <c r="Q18" i="4"/>
  <c r="W18" i="4"/>
  <c r="Z18" i="4"/>
  <c r="AC18" i="4"/>
  <c r="AF18" i="4"/>
  <c r="AI18" i="4"/>
  <c r="AL18" i="4"/>
  <c r="AO18" i="4"/>
  <c r="AR18" i="4"/>
  <c r="AU18" i="4"/>
  <c r="AX18" i="4"/>
  <c r="BA18" i="4"/>
  <c r="BD18" i="4"/>
  <c r="BG18" i="4"/>
  <c r="BJ18" i="4"/>
  <c r="BM18" i="4"/>
  <c r="BP18" i="4"/>
  <c r="BS18" i="4"/>
  <c r="BV18" i="4"/>
  <c r="BY18" i="4"/>
  <c r="CB18" i="4"/>
  <c r="CE18" i="4"/>
  <c r="CH18" i="4"/>
  <c r="CK18" i="4"/>
  <c r="CN18" i="4"/>
  <c r="CQ18" i="4"/>
  <c r="CT18" i="4"/>
  <c r="CW18" i="4"/>
  <c r="CZ18" i="4"/>
  <c r="DC18" i="4"/>
  <c r="DF18" i="4"/>
  <c r="DI18" i="4"/>
  <c r="DL18" i="4"/>
  <c r="DO18" i="4"/>
  <c r="DR18" i="4"/>
  <c r="DU18" i="4"/>
  <c r="DX18" i="4"/>
  <c r="EA18" i="4"/>
  <c r="ED18" i="4"/>
  <c r="EG18" i="4"/>
  <c r="EJ18" i="4"/>
  <c r="EM18" i="4"/>
  <c r="EP18" i="4"/>
  <c r="ES18" i="4"/>
  <c r="EV18" i="4"/>
  <c r="EY18" i="4"/>
  <c r="FB18" i="4"/>
  <c r="FE18" i="4"/>
  <c r="FH18" i="4"/>
  <c r="FK18" i="4"/>
  <c r="FN18" i="4"/>
  <c r="FQ18" i="4"/>
  <c r="FT18" i="4"/>
  <c r="FW18" i="4"/>
  <c r="FZ18" i="4"/>
  <c r="GC18" i="4"/>
  <c r="GF18" i="4"/>
  <c r="GI18" i="4"/>
  <c r="GL18" i="4"/>
  <c r="GO18" i="4"/>
  <c r="GR18" i="4"/>
  <c r="GU18" i="4"/>
  <c r="GX18" i="4"/>
  <c r="HA18" i="4"/>
  <c r="HD18" i="4"/>
  <c r="HG18" i="4"/>
  <c r="HJ18" i="4"/>
  <c r="HM18" i="4"/>
  <c r="HP18" i="4"/>
  <c r="HS18" i="4"/>
  <c r="HV18" i="4"/>
  <c r="HY18" i="4"/>
  <c r="IB18" i="4"/>
  <c r="IE18" i="4"/>
  <c r="IH18" i="4"/>
  <c r="IK18" i="4"/>
  <c r="IN18" i="4"/>
  <c r="IQ18" i="4"/>
  <c r="IT18" i="4"/>
  <c r="IW18" i="4"/>
  <c r="IZ18" i="4"/>
  <c r="JC18" i="4"/>
  <c r="JF18" i="4"/>
  <c r="JI18" i="4"/>
  <c r="JL18" i="4"/>
  <c r="JO18" i="4"/>
  <c r="JR18" i="4"/>
  <c r="A19" i="4"/>
  <c r="B19" i="4"/>
  <c r="E19" i="4"/>
  <c r="H19" i="4"/>
  <c r="K19" i="4"/>
  <c r="N19" i="4"/>
  <c r="Q19" i="4"/>
  <c r="W19" i="4"/>
  <c r="Z19" i="4"/>
  <c r="AC19" i="4"/>
  <c r="AF19" i="4"/>
  <c r="AI19" i="4"/>
  <c r="AL19" i="4"/>
  <c r="AO19" i="4"/>
  <c r="AR19" i="4"/>
  <c r="AU19" i="4"/>
  <c r="AX19" i="4"/>
  <c r="BA19" i="4"/>
  <c r="BD19" i="4"/>
  <c r="BG19" i="4"/>
  <c r="BJ19" i="4"/>
  <c r="BM19" i="4"/>
  <c r="BP19" i="4"/>
  <c r="BS19" i="4"/>
  <c r="BV19" i="4"/>
  <c r="BY19" i="4"/>
  <c r="CB19" i="4"/>
  <c r="CE19" i="4"/>
  <c r="CH19" i="4"/>
  <c r="CK19" i="4"/>
  <c r="CN19" i="4"/>
  <c r="CQ19" i="4"/>
  <c r="CT19" i="4"/>
  <c r="CW19" i="4"/>
  <c r="CZ19" i="4"/>
  <c r="DC19" i="4"/>
  <c r="DF19" i="4"/>
  <c r="DI19" i="4"/>
  <c r="DL19" i="4"/>
  <c r="DO19" i="4"/>
  <c r="DR19" i="4"/>
  <c r="DU19" i="4"/>
  <c r="DX19" i="4"/>
  <c r="EA19" i="4"/>
  <c r="ED19" i="4"/>
  <c r="EG19" i="4"/>
  <c r="EJ19" i="4"/>
  <c r="EM19" i="4"/>
  <c r="EP19" i="4"/>
  <c r="ES19" i="4"/>
  <c r="EV19" i="4"/>
  <c r="EY19" i="4"/>
  <c r="FB19" i="4"/>
  <c r="FE19" i="4"/>
  <c r="FH19" i="4"/>
  <c r="FK19" i="4"/>
  <c r="FN19" i="4"/>
  <c r="FQ19" i="4"/>
  <c r="FT19" i="4"/>
  <c r="FW19" i="4"/>
  <c r="FZ19" i="4"/>
  <c r="GC19" i="4"/>
  <c r="GF19" i="4"/>
  <c r="GI19" i="4"/>
  <c r="GL19" i="4"/>
  <c r="GO19" i="4"/>
  <c r="GR19" i="4"/>
  <c r="GU19" i="4"/>
  <c r="GX19" i="4"/>
  <c r="HA19" i="4"/>
  <c r="HD19" i="4"/>
  <c r="HG19" i="4"/>
  <c r="HJ19" i="4"/>
  <c r="HM19" i="4"/>
  <c r="HP19" i="4"/>
  <c r="HS19" i="4"/>
  <c r="HV19" i="4"/>
  <c r="HY19" i="4"/>
  <c r="IB19" i="4"/>
  <c r="IE19" i="4"/>
  <c r="IH19" i="4"/>
  <c r="IK19" i="4"/>
  <c r="IN19" i="4"/>
  <c r="IQ19" i="4"/>
  <c r="IT19" i="4"/>
  <c r="IW19" i="4"/>
  <c r="IZ19" i="4"/>
  <c r="JC19" i="4"/>
  <c r="JF19" i="4"/>
  <c r="JL19" i="4"/>
  <c r="JO19" i="4"/>
  <c r="JR19" i="4"/>
  <c r="A20" i="4"/>
  <c r="B20" i="4"/>
  <c r="E20" i="4"/>
  <c r="H20" i="4"/>
  <c r="K20" i="4"/>
  <c r="N20" i="4"/>
  <c r="Q20" i="4"/>
  <c r="W20" i="4"/>
  <c r="Z20" i="4"/>
  <c r="AC20" i="4"/>
  <c r="AF20" i="4"/>
  <c r="AI20" i="4"/>
  <c r="AL20" i="4"/>
  <c r="AO20" i="4"/>
  <c r="AR20" i="4"/>
  <c r="AU20" i="4"/>
  <c r="AX20" i="4"/>
  <c r="BA20" i="4"/>
  <c r="BD20" i="4"/>
  <c r="BG20" i="4"/>
  <c r="BJ20" i="4"/>
  <c r="BM20" i="4"/>
  <c r="BP20" i="4"/>
  <c r="BS20" i="4"/>
  <c r="BV20" i="4"/>
  <c r="BY20" i="4"/>
  <c r="CB20" i="4"/>
  <c r="CE20" i="4"/>
  <c r="CH20" i="4"/>
  <c r="CK20" i="4"/>
  <c r="CN20" i="4"/>
  <c r="CQ20" i="4"/>
  <c r="CT20" i="4"/>
  <c r="CW20" i="4"/>
  <c r="CZ20" i="4"/>
  <c r="DC20" i="4"/>
  <c r="DF20" i="4"/>
  <c r="DI20" i="4"/>
  <c r="DL20" i="4"/>
  <c r="DO20" i="4"/>
  <c r="DR20" i="4"/>
  <c r="DU20" i="4"/>
  <c r="DX20" i="4"/>
  <c r="EA20" i="4"/>
  <c r="ED20" i="4"/>
  <c r="EG20" i="4"/>
  <c r="EJ20" i="4"/>
  <c r="EM20" i="4"/>
  <c r="EP20" i="4"/>
  <c r="ES20" i="4"/>
  <c r="EV20" i="4"/>
  <c r="EY20" i="4"/>
  <c r="FB20" i="4"/>
  <c r="FE20" i="4"/>
  <c r="FH20" i="4"/>
  <c r="FK20" i="4"/>
  <c r="FN20" i="4"/>
  <c r="FQ20" i="4"/>
  <c r="FT20" i="4"/>
  <c r="FW20" i="4"/>
  <c r="FZ20" i="4"/>
  <c r="GC20" i="4"/>
  <c r="GF20" i="4"/>
  <c r="GI20" i="4"/>
  <c r="GL20" i="4"/>
  <c r="GO20" i="4"/>
  <c r="GR20" i="4"/>
  <c r="GU20" i="4"/>
  <c r="GX20" i="4"/>
  <c r="HA20" i="4"/>
  <c r="HD20" i="4"/>
  <c r="HG20" i="4"/>
  <c r="HJ20" i="4"/>
  <c r="HM20" i="4"/>
  <c r="HP20" i="4"/>
  <c r="HS20" i="4"/>
  <c r="HV20" i="4"/>
  <c r="HY20" i="4"/>
  <c r="IB20" i="4"/>
  <c r="IE20" i="4"/>
  <c r="IH20" i="4"/>
  <c r="IK20" i="4"/>
  <c r="IN20" i="4"/>
  <c r="IQ20" i="4"/>
  <c r="IT20" i="4"/>
  <c r="IW20" i="4"/>
  <c r="IZ20" i="4"/>
  <c r="JC20" i="4"/>
  <c r="JF20" i="4"/>
  <c r="JL20" i="4"/>
  <c r="JO20" i="4"/>
  <c r="JR20" i="4"/>
  <c r="A21" i="4"/>
  <c r="B21" i="4"/>
  <c r="E21" i="4"/>
  <c r="H21" i="4"/>
  <c r="K21" i="4"/>
  <c r="N21" i="4"/>
  <c r="Q21" i="4"/>
  <c r="W21" i="4"/>
  <c r="Z21" i="4"/>
  <c r="AC21" i="4"/>
  <c r="AF21" i="4"/>
  <c r="AI21" i="4"/>
  <c r="AL21" i="4"/>
  <c r="AO21" i="4"/>
  <c r="AR21" i="4"/>
  <c r="AU21" i="4"/>
  <c r="AX21" i="4"/>
  <c r="BA21" i="4"/>
  <c r="BD21" i="4"/>
  <c r="BG21" i="4"/>
  <c r="BJ21" i="4"/>
  <c r="BM21" i="4"/>
  <c r="BP21" i="4"/>
  <c r="BS21" i="4"/>
  <c r="BV21" i="4"/>
  <c r="BY21" i="4"/>
  <c r="CB21" i="4"/>
  <c r="CE21" i="4"/>
  <c r="CH21" i="4"/>
  <c r="CK21" i="4"/>
  <c r="CN21" i="4"/>
  <c r="CQ21" i="4"/>
  <c r="CT21" i="4"/>
  <c r="CW21" i="4"/>
  <c r="CZ21" i="4"/>
  <c r="DC21" i="4"/>
  <c r="DF21" i="4"/>
  <c r="DI21" i="4"/>
  <c r="DL21" i="4"/>
  <c r="DO21" i="4"/>
  <c r="DR21" i="4"/>
  <c r="DU21" i="4"/>
  <c r="DX21" i="4"/>
  <c r="EA21" i="4"/>
  <c r="ED21" i="4"/>
  <c r="EG21" i="4"/>
  <c r="EJ21" i="4"/>
  <c r="EM21" i="4"/>
  <c r="EP21" i="4"/>
  <c r="ES21" i="4"/>
  <c r="EV21" i="4"/>
  <c r="EY21" i="4"/>
  <c r="FB21" i="4"/>
  <c r="FE21" i="4"/>
  <c r="FH21" i="4"/>
  <c r="FK21" i="4"/>
  <c r="FN21" i="4"/>
  <c r="FQ21" i="4"/>
  <c r="FT21" i="4"/>
  <c r="FW21" i="4"/>
  <c r="FZ21" i="4"/>
  <c r="GC21" i="4"/>
  <c r="GF21" i="4"/>
  <c r="GI21" i="4"/>
  <c r="GL21" i="4"/>
  <c r="GO21" i="4"/>
  <c r="GR21" i="4"/>
  <c r="GU21" i="4"/>
  <c r="GX21" i="4"/>
  <c r="HA21" i="4"/>
  <c r="HD21" i="4"/>
  <c r="HG21" i="4"/>
  <c r="HJ21" i="4"/>
  <c r="HM21" i="4"/>
  <c r="HP21" i="4"/>
  <c r="HS21" i="4"/>
  <c r="HV21" i="4"/>
  <c r="HY21" i="4"/>
  <c r="IB21" i="4"/>
  <c r="IE21" i="4"/>
  <c r="IH21" i="4"/>
  <c r="IK21" i="4"/>
  <c r="IN21" i="4"/>
  <c r="IQ21" i="4"/>
  <c r="IT21" i="4"/>
  <c r="IW21" i="4"/>
  <c r="IZ21" i="4"/>
  <c r="JC21" i="4"/>
  <c r="JF21" i="4"/>
  <c r="JL21" i="4"/>
  <c r="JO21" i="4"/>
  <c r="JR21" i="4"/>
  <c r="A22" i="4"/>
  <c r="B22" i="4"/>
  <c r="E22" i="4"/>
  <c r="H22" i="4"/>
  <c r="K22" i="4"/>
  <c r="N22" i="4"/>
  <c r="Q22" i="4"/>
  <c r="W22" i="4"/>
  <c r="Z22" i="4"/>
  <c r="AC22" i="4"/>
  <c r="AF22" i="4"/>
  <c r="AI22" i="4"/>
  <c r="AL22" i="4"/>
  <c r="AO22" i="4"/>
  <c r="AR22" i="4"/>
  <c r="AR36" i="4" s="1"/>
  <c r="AU22" i="4"/>
  <c r="AX22" i="4"/>
  <c r="BA22" i="4"/>
  <c r="BD22" i="4"/>
  <c r="BG22" i="4"/>
  <c r="BJ22" i="4"/>
  <c r="BM22" i="4"/>
  <c r="BP22" i="4"/>
  <c r="BS22" i="4"/>
  <c r="BV22" i="4"/>
  <c r="BY22" i="4"/>
  <c r="CB22" i="4"/>
  <c r="CE22" i="4"/>
  <c r="CH22" i="4"/>
  <c r="CK22" i="4"/>
  <c r="CN22" i="4"/>
  <c r="CQ22" i="4"/>
  <c r="CT22" i="4"/>
  <c r="CW22" i="4"/>
  <c r="CZ22" i="4"/>
  <c r="DC22" i="4"/>
  <c r="DF22" i="4"/>
  <c r="DI22" i="4"/>
  <c r="DL22" i="4"/>
  <c r="DO22" i="4"/>
  <c r="DR22" i="4"/>
  <c r="DU22" i="4"/>
  <c r="DX22" i="4"/>
  <c r="EA22" i="4"/>
  <c r="ED22" i="4"/>
  <c r="EG22" i="4"/>
  <c r="EJ22" i="4"/>
  <c r="EM22" i="4"/>
  <c r="EP22" i="4"/>
  <c r="ES22" i="4"/>
  <c r="EV22" i="4"/>
  <c r="EY22" i="4"/>
  <c r="FB22" i="4"/>
  <c r="FE22" i="4"/>
  <c r="FH22" i="4"/>
  <c r="FK22" i="4"/>
  <c r="FN22" i="4"/>
  <c r="FQ22" i="4"/>
  <c r="FT22" i="4"/>
  <c r="FW22" i="4"/>
  <c r="FZ22" i="4"/>
  <c r="GC22" i="4"/>
  <c r="GF22" i="4"/>
  <c r="GI22" i="4"/>
  <c r="GL22" i="4"/>
  <c r="GO22" i="4"/>
  <c r="GR22" i="4"/>
  <c r="GU22" i="4"/>
  <c r="GX22" i="4"/>
  <c r="HA22" i="4"/>
  <c r="HD22" i="4"/>
  <c r="HG22" i="4"/>
  <c r="HJ22" i="4"/>
  <c r="HM22" i="4"/>
  <c r="HP22" i="4"/>
  <c r="HS22" i="4"/>
  <c r="HV22" i="4"/>
  <c r="HY22" i="4"/>
  <c r="IB22" i="4"/>
  <c r="IE22" i="4"/>
  <c r="IH22" i="4"/>
  <c r="IK22" i="4"/>
  <c r="IN22" i="4"/>
  <c r="IQ22" i="4"/>
  <c r="IT22" i="4"/>
  <c r="IW22" i="4"/>
  <c r="IZ22" i="4"/>
  <c r="JC22" i="4"/>
  <c r="JF22" i="4"/>
  <c r="JL22" i="4"/>
  <c r="JO22" i="4"/>
  <c r="JR22" i="4"/>
  <c r="A23" i="4"/>
  <c r="B23" i="4"/>
  <c r="E23" i="4"/>
  <c r="H23" i="4"/>
  <c r="K23" i="4"/>
  <c r="N23" i="4"/>
  <c r="Q23" i="4"/>
  <c r="W23" i="4"/>
  <c r="Z23" i="4"/>
  <c r="AC23" i="4"/>
  <c r="AF23" i="4"/>
  <c r="AI23" i="4"/>
  <c r="AL23" i="4"/>
  <c r="AO23" i="4"/>
  <c r="AR23" i="4"/>
  <c r="AU23" i="4"/>
  <c r="AX23" i="4"/>
  <c r="BA23" i="4"/>
  <c r="BD23" i="4"/>
  <c r="BG23" i="4"/>
  <c r="BJ23" i="4"/>
  <c r="BM23" i="4"/>
  <c r="BP23" i="4"/>
  <c r="BS23" i="4"/>
  <c r="BV23" i="4"/>
  <c r="BY23" i="4"/>
  <c r="CB23" i="4"/>
  <c r="CE23" i="4"/>
  <c r="CH23" i="4"/>
  <c r="CK23" i="4"/>
  <c r="CN23" i="4"/>
  <c r="CQ23" i="4"/>
  <c r="CT23" i="4"/>
  <c r="CW23" i="4"/>
  <c r="CZ23" i="4"/>
  <c r="DC23" i="4"/>
  <c r="DF23" i="4"/>
  <c r="DI23" i="4"/>
  <c r="DL23" i="4"/>
  <c r="DO23" i="4"/>
  <c r="DR23" i="4"/>
  <c r="DU23" i="4"/>
  <c r="DX23" i="4"/>
  <c r="EA23" i="4"/>
  <c r="ED23" i="4"/>
  <c r="EG23" i="4"/>
  <c r="EJ23" i="4"/>
  <c r="EM23" i="4"/>
  <c r="EP23" i="4"/>
  <c r="ES23" i="4"/>
  <c r="EV23" i="4"/>
  <c r="EY23" i="4"/>
  <c r="FB23" i="4"/>
  <c r="FE23" i="4"/>
  <c r="FH23" i="4"/>
  <c r="FK23" i="4"/>
  <c r="FN23" i="4"/>
  <c r="FQ23" i="4"/>
  <c r="FT23" i="4"/>
  <c r="FW23" i="4"/>
  <c r="FZ23" i="4"/>
  <c r="GC23" i="4"/>
  <c r="GF23" i="4"/>
  <c r="GI23" i="4"/>
  <c r="GL23" i="4"/>
  <c r="GO23" i="4"/>
  <c r="GR23" i="4"/>
  <c r="GU23" i="4"/>
  <c r="GX23" i="4"/>
  <c r="HA23" i="4"/>
  <c r="HD23" i="4"/>
  <c r="HG23" i="4"/>
  <c r="HJ23" i="4"/>
  <c r="HM23" i="4"/>
  <c r="HP23" i="4"/>
  <c r="HS23" i="4"/>
  <c r="HV23" i="4"/>
  <c r="HY23" i="4"/>
  <c r="IB23" i="4"/>
  <c r="IE23" i="4"/>
  <c r="IH23" i="4"/>
  <c r="IK23" i="4"/>
  <c r="IN23" i="4"/>
  <c r="IQ23" i="4"/>
  <c r="IT23" i="4"/>
  <c r="IW23" i="4"/>
  <c r="IZ23" i="4"/>
  <c r="JC23" i="4"/>
  <c r="JF23" i="4"/>
  <c r="JL23" i="4"/>
  <c r="JO23" i="4"/>
  <c r="JR23" i="4"/>
  <c r="A24" i="4"/>
  <c r="B24" i="4"/>
  <c r="E24" i="4"/>
  <c r="H24" i="4"/>
  <c r="K24" i="4"/>
  <c r="N24" i="4"/>
  <c r="Q24" i="4"/>
  <c r="W24" i="4"/>
  <c r="Z24" i="4"/>
  <c r="AC24" i="4"/>
  <c r="AF24" i="4"/>
  <c r="AI24" i="4"/>
  <c r="AL24" i="4"/>
  <c r="AO24" i="4"/>
  <c r="AR24" i="4"/>
  <c r="AU24" i="4"/>
  <c r="AX24" i="4"/>
  <c r="BA24" i="4"/>
  <c r="BD24" i="4"/>
  <c r="BG24" i="4"/>
  <c r="BJ24" i="4"/>
  <c r="BM24" i="4"/>
  <c r="BP24" i="4"/>
  <c r="BS24" i="4"/>
  <c r="BV24" i="4"/>
  <c r="BY24" i="4"/>
  <c r="CB24" i="4"/>
  <c r="CE24" i="4"/>
  <c r="CH24" i="4"/>
  <c r="CK24" i="4"/>
  <c r="CN24" i="4"/>
  <c r="CQ24" i="4"/>
  <c r="CT24" i="4"/>
  <c r="CW24" i="4"/>
  <c r="CZ24" i="4"/>
  <c r="DC24" i="4"/>
  <c r="DF24" i="4"/>
  <c r="DI24" i="4"/>
  <c r="DL24" i="4"/>
  <c r="DO24" i="4"/>
  <c r="DR24" i="4"/>
  <c r="DU24" i="4"/>
  <c r="DX24" i="4"/>
  <c r="EA24" i="4"/>
  <c r="ED24" i="4"/>
  <c r="EG24" i="4"/>
  <c r="EJ24" i="4"/>
  <c r="EM24" i="4"/>
  <c r="EP24" i="4"/>
  <c r="ES24" i="4"/>
  <c r="EV24" i="4"/>
  <c r="EY24" i="4"/>
  <c r="FB24" i="4"/>
  <c r="FE24" i="4"/>
  <c r="FH24" i="4"/>
  <c r="FK24" i="4"/>
  <c r="FN24" i="4"/>
  <c r="FQ24" i="4"/>
  <c r="FT24" i="4"/>
  <c r="FW24" i="4"/>
  <c r="FZ24" i="4"/>
  <c r="GC24" i="4"/>
  <c r="GF24" i="4"/>
  <c r="GI24" i="4"/>
  <c r="GL24" i="4"/>
  <c r="GO24" i="4"/>
  <c r="GR24" i="4"/>
  <c r="GU24" i="4"/>
  <c r="GX24" i="4"/>
  <c r="HA24" i="4"/>
  <c r="HD24" i="4"/>
  <c r="HG24" i="4"/>
  <c r="HJ24" i="4"/>
  <c r="HM24" i="4"/>
  <c r="HP24" i="4"/>
  <c r="HS24" i="4"/>
  <c r="HV24" i="4"/>
  <c r="HY24" i="4"/>
  <c r="IB24" i="4"/>
  <c r="IE24" i="4"/>
  <c r="IH24" i="4"/>
  <c r="IK24" i="4"/>
  <c r="IN24" i="4"/>
  <c r="IQ24" i="4"/>
  <c r="IT24" i="4"/>
  <c r="IW24" i="4"/>
  <c r="IZ24" i="4"/>
  <c r="JC24" i="4"/>
  <c r="JF24" i="4"/>
  <c r="JL24" i="4"/>
  <c r="JO24" i="4"/>
  <c r="JR24" i="4"/>
  <c r="A25" i="4"/>
  <c r="B25" i="4"/>
  <c r="E25" i="4"/>
  <c r="E36" i="4" s="1"/>
  <c r="H25" i="4"/>
  <c r="K25" i="4"/>
  <c r="N25" i="4"/>
  <c r="Q25" i="4"/>
  <c r="W25" i="4"/>
  <c r="Z25" i="4"/>
  <c r="AC25" i="4"/>
  <c r="AF25" i="4"/>
  <c r="AI25" i="4"/>
  <c r="AL25" i="4"/>
  <c r="AO25" i="4"/>
  <c r="AR25" i="4"/>
  <c r="AU25" i="4"/>
  <c r="AX25" i="4"/>
  <c r="BA25" i="4"/>
  <c r="BD25" i="4"/>
  <c r="BG25" i="4"/>
  <c r="BJ25" i="4"/>
  <c r="BM25" i="4"/>
  <c r="BP25" i="4"/>
  <c r="BS25" i="4"/>
  <c r="BV25" i="4"/>
  <c r="BY25" i="4"/>
  <c r="CB25" i="4"/>
  <c r="CB36" i="4" s="1"/>
  <c r="CE25" i="4"/>
  <c r="CH25" i="4"/>
  <c r="CK25" i="4"/>
  <c r="CN25" i="4"/>
  <c r="CQ25" i="4"/>
  <c r="CT25" i="4"/>
  <c r="CW25" i="4"/>
  <c r="CZ25" i="4"/>
  <c r="DC25" i="4"/>
  <c r="DF25" i="4"/>
  <c r="DI25" i="4"/>
  <c r="DL25" i="4"/>
  <c r="DO25" i="4"/>
  <c r="DR25" i="4"/>
  <c r="DU25" i="4"/>
  <c r="DX25" i="4"/>
  <c r="EA25" i="4"/>
  <c r="ED25" i="4"/>
  <c r="EG25" i="4"/>
  <c r="EJ25" i="4"/>
  <c r="EM25" i="4"/>
  <c r="EP25" i="4"/>
  <c r="ES25" i="4"/>
  <c r="EV25" i="4"/>
  <c r="EY25" i="4"/>
  <c r="FB25" i="4"/>
  <c r="FE25" i="4"/>
  <c r="FH25" i="4"/>
  <c r="FK25" i="4"/>
  <c r="FN25" i="4"/>
  <c r="FQ25" i="4"/>
  <c r="FT25" i="4"/>
  <c r="FW25" i="4"/>
  <c r="FZ25" i="4"/>
  <c r="GC25" i="4"/>
  <c r="GF25" i="4"/>
  <c r="GI25" i="4"/>
  <c r="GL25" i="4"/>
  <c r="GO25" i="4"/>
  <c r="GR25" i="4"/>
  <c r="GU25" i="4"/>
  <c r="GX25" i="4"/>
  <c r="HA25" i="4"/>
  <c r="HD25" i="4"/>
  <c r="HG25" i="4"/>
  <c r="HJ25" i="4"/>
  <c r="HM25" i="4"/>
  <c r="HP25" i="4"/>
  <c r="HS25" i="4"/>
  <c r="HV25" i="4"/>
  <c r="HY25" i="4"/>
  <c r="IB25" i="4"/>
  <c r="IE25" i="4"/>
  <c r="IH25" i="4"/>
  <c r="IK25" i="4"/>
  <c r="IN25" i="4"/>
  <c r="IQ25" i="4"/>
  <c r="IT25" i="4"/>
  <c r="IW25" i="4"/>
  <c r="IZ25" i="4"/>
  <c r="JC25" i="4"/>
  <c r="JF25" i="4"/>
  <c r="JL25" i="4"/>
  <c r="JO25" i="4"/>
  <c r="JR25" i="4"/>
  <c r="A26" i="4"/>
  <c r="B26" i="4"/>
  <c r="E26" i="4"/>
  <c r="H26" i="4"/>
  <c r="K26" i="4"/>
  <c r="N26" i="4"/>
  <c r="Q26" i="4"/>
  <c r="W26" i="4"/>
  <c r="Z26" i="4"/>
  <c r="AC26" i="4"/>
  <c r="AF26" i="4"/>
  <c r="AF36" i="4" s="1"/>
  <c r="AI26" i="4"/>
  <c r="AL26" i="4"/>
  <c r="AO26" i="4"/>
  <c r="AR26" i="4"/>
  <c r="AU26" i="4"/>
  <c r="AX26" i="4"/>
  <c r="BA26" i="4"/>
  <c r="BD26" i="4"/>
  <c r="BG26" i="4"/>
  <c r="BJ26" i="4"/>
  <c r="BM26" i="4"/>
  <c r="BP26" i="4"/>
  <c r="BP36" i="4" s="1"/>
  <c r="BS26" i="4"/>
  <c r="BV26" i="4"/>
  <c r="BY26" i="4"/>
  <c r="CB26" i="4"/>
  <c r="CE26" i="4"/>
  <c r="CH26" i="4"/>
  <c r="CK26" i="4"/>
  <c r="CN26" i="4"/>
  <c r="CQ26" i="4"/>
  <c r="CT26" i="4"/>
  <c r="CW26" i="4"/>
  <c r="CZ26" i="4"/>
  <c r="DC26" i="4"/>
  <c r="DF26" i="4"/>
  <c r="DI26" i="4"/>
  <c r="DL26" i="4"/>
  <c r="DO26" i="4"/>
  <c r="DR26" i="4"/>
  <c r="DU26" i="4"/>
  <c r="DX26" i="4"/>
  <c r="EA26" i="4"/>
  <c r="ED26" i="4"/>
  <c r="EG26" i="4"/>
  <c r="EJ26" i="4"/>
  <c r="EM26" i="4"/>
  <c r="EP26" i="4"/>
  <c r="ES26" i="4"/>
  <c r="EV26" i="4"/>
  <c r="EY26" i="4"/>
  <c r="FB26" i="4"/>
  <c r="FE26" i="4"/>
  <c r="FH26" i="4"/>
  <c r="FK26" i="4"/>
  <c r="FN26" i="4"/>
  <c r="FQ26" i="4"/>
  <c r="FT26" i="4"/>
  <c r="FW26" i="4"/>
  <c r="FZ26" i="4"/>
  <c r="GC26" i="4"/>
  <c r="GF26" i="4"/>
  <c r="GI26" i="4"/>
  <c r="GL26" i="4"/>
  <c r="GO26" i="4"/>
  <c r="GR26" i="4"/>
  <c r="GU26" i="4"/>
  <c r="GX26" i="4"/>
  <c r="HA26" i="4"/>
  <c r="HD26" i="4"/>
  <c r="HG26" i="4"/>
  <c r="HJ26" i="4"/>
  <c r="HM26" i="4"/>
  <c r="HP26" i="4"/>
  <c r="HS26" i="4"/>
  <c r="HV26" i="4"/>
  <c r="HY26" i="4"/>
  <c r="IB26" i="4"/>
  <c r="IE26" i="4"/>
  <c r="IH26" i="4"/>
  <c r="IK26" i="4"/>
  <c r="IN26" i="4"/>
  <c r="IQ26" i="4"/>
  <c r="IT26" i="4"/>
  <c r="IW26" i="4"/>
  <c r="IZ26" i="4"/>
  <c r="JC26" i="4"/>
  <c r="JF26" i="4"/>
  <c r="JL26" i="4"/>
  <c r="JO26" i="4"/>
  <c r="JR26" i="4"/>
  <c r="A27" i="4"/>
  <c r="B27" i="4"/>
  <c r="E27" i="4"/>
  <c r="H27" i="4"/>
  <c r="K27" i="4"/>
  <c r="N27" i="4"/>
  <c r="Q27" i="4"/>
  <c r="W27" i="4"/>
  <c r="Z27" i="4"/>
  <c r="AC27" i="4"/>
  <c r="AF27" i="4"/>
  <c r="AI27" i="4"/>
  <c r="AL27" i="4"/>
  <c r="AO27" i="4"/>
  <c r="AR27" i="4"/>
  <c r="AU27" i="4"/>
  <c r="AX27" i="4"/>
  <c r="BA27" i="4"/>
  <c r="BD27" i="4"/>
  <c r="BG27" i="4"/>
  <c r="BJ27" i="4"/>
  <c r="BM27" i="4"/>
  <c r="BP27" i="4"/>
  <c r="BS27" i="4"/>
  <c r="BV27" i="4"/>
  <c r="BY27" i="4"/>
  <c r="CB27" i="4"/>
  <c r="CE27" i="4"/>
  <c r="CH27" i="4"/>
  <c r="CK27" i="4"/>
  <c r="CN27" i="4"/>
  <c r="CQ27" i="4"/>
  <c r="CT27" i="4"/>
  <c r="CW27" i="4"/>
  <c r="CZ27" i="4"/>
  <c r="DC27" i="4"/>
  <c r="DF27" i="4"/>
  <c r="DI27" i="4"/>
  <c r="DL27" i="4"/>
  <c r="DO27" i="4"/>
  <c r="DR27" i="4"/>
  <c r="DU27" i="4"/>
  <c r="DX27" i="4"/>
  <c r="EA27" i="4"/>
  <c r="ED27" i="4"/>
  <c r="EG27" i="4"/>
  <c r="EJ27" i="4"/>
  <c r="EM27" i="4"/>
  <c r="EP27" i="4"/>
  <c r="ES27" i="4"/>
  <c r="EV27" i="4"/>
  <c r="EY27" i="4"/>
  <c r="FB27" i="4"/>
  <c r="FE27" i="4"/>
  <c r="FH27" i="4"/>
  <c r="FK27" i="4"/>
  <c r="FN27" i="4"/>
  <c r="FQ27" i="4"/>
  <c r="FT27" i="4"/>
  <c r="FW27" i="4"/>
  <c r="FZ27" i="4"/>
  <c r="GC27" i="4"/>
  <c r="GF27" i="4"/>
  <c r="GI27" i="4"/>
  <c r="GL27" i="4"/>
  <c r="GO27" i="4"/>
  <c r="GR27" i="4"/>
  <c r="GU27" i="4"/>
  <c r="GX27" i="4"/>
  <c r="HA27" i="4"/>
  <c r="HD27" i="4"/>
  <c r="HG27" i="4"/>
  <c r="HJ27" i="4"/>
  <c r="HM27" i="4"/>
  <c r="HP27" i="4"/>
  <c r="HS27" i="4"/>
  <c r="HV27" i="4"/>
  <c r="HY27" i="4"/>
  <c r="IB27" i="4"/>
  <c r="IE27" i="4"/>
  <c r="IH27" i="4"/>
  <c r="IK27" i="4"/>
  <c r="IN27" i="4"/>
  <c r="IQ27" i="4"/>
  <c r="IT27" i="4"/>
  <c r="IW27" i="4"/>
  <c r="IZ27" i="4"/>
  <c r="JC27" i="4"/>
  <c r="JF27" i="4"/>
  <c r="JL27" i="4"/>
  <c r="JO27" i="4"/>
  <c r="JR27" i="4"/>
  <c r="A28" i="4"/>
  <c r="B28" i="4"/>
  <c r="E28" i="4"/>
  <c r="H28" i="4"/>
  <c r="K28" i="4"/>
  <c r="N28" i="4"/>
  <c r="Q28" i="4"/>
  <c r="W28" i="4"/>
  <c r="Z28" i="4"/>
  <c r="AC28" i="4"/>
  <c r="AF28" i="4"/>
  <c r="AI28" i="4"/>
  <c r="AL28" i="4"/>
  <c r="AO28" i="4"/>
  <c r="AR28" i="4"/>
  <c r="AU28" i="4"/>
  <c r="AX28" i="4"/>
  <c r="BA28" i="4"/>
  <c r="BD28" i="4"/>
  <c r="BG28" i="4"/>
  <c r="BJ28" i="4"/>
  <c r="BM28" i="4"/>
  <c r="BP28" i="4"/>
  <c r="BS28" i="4"/>
  <c r="BV28" i="4"/>
  <c r="BY28" i="4"/>
  <c r="CB28" i="4"/>
  <c r="CE28" i="4"/>
  <c r="CH28" i="4"/>
  <c r="CK28" i="4"/>
  <c r="CN28" i="4"/>
  <c r="CQ28" i="4"/>
  <c r="CT28" i="4"/>
  <c r="CW28" i="4"/>
  <c r="CZ28" i="4"/>
  <c r="DC28" i="4"/>
  <c r="DF28" i="4"/>
  <c r="DI28" i="4"/>
  <c r="DL28" i="4"/>
  <c r="DL36" i="4" s="1"/>
  <c r="DO28" i="4"/>
  <c r="DR28" i="4"/>
  <c r="DU28" i="4"/>
  <c r="DX28" i="4"/>
  <c r="EA28" i="4"/>
  <c r="ED28" i="4"/>
  <c r="EG28" i="4"/>
  <c r="EJ28" i="4"/>
  <c r="EM28" i="4"/>
  <c r="EP28" i="4"/>
  <c r="ES28" i="4"/>
  <c r="EV28" i="4"/>
  <c r="EV36" i="4" s="1"/>
  <c r="EY28" i="4"/>
  <c r="FB28" i="4"/>
  <c r="FE28" i="4"/>
  <c r="FH28" i="4"/>
  <c r="FK28" i="4"/>
  <c r="FN28" i="4"/>
  <c r="FQ28" i="4"/>
  <c r="FT28" i="4"/>
  <c r="FW28" i="4"/>
  <c r="FZ28" i="4"/>
  <c r="GC28" i="4"/>
  <c r="GF28" i="4"/>
  <c r="GF36" i="4" s="1"/>
  <c r="GI28" i="4"/>
  <c r="GL28" i="4"/>
  <c r="GO28" i="4"/>
  <c r="GR28" i="4"/>
  <c r="GU28" i="4"/>
  <c r="GX28" i="4"/>
  <c r="HA28" i="4"/>
  <c r="HD28" i="4"/>
  <c r="HG28" i="4"/>
  <c r="HJ28" i="4"/>
  <c r="HM28" i="4"/>
  <c r="HP28" i="4"/>
  <c r="HP36" i="4" s="1"/>
  <c r="HS28" i="4"/>
  <c r="HV28" i="4"/>
  <c r="HY28" i="4"/>
  <c r="IB28" i="4"/>
  <c r="IE28" i="4"/>
  <c r="IH28" i="4"/>
  <c r="IK28" i="4"/>
  <c r="IN28" i="4"/>
  <c r="IQ28" i="4"/>
  <c r="IT28" i="4"/>
  <c r="IW28" i="4"/>
  <c r="IZ28" i="4"/>
  <c r="IZ36" i="4" s="1"/>
  <c r="JC28" i="4"/>
  <c r="JF28" i="4"/>
  <c r="JL28" i="4"/>
  <c r="JO28" i="4"/>
  <c r="JR28" i="4"/>
  <c r="A29" i="4"/>
  <c r="B29" i="4"/>
  <c r="E29" i="4"/>
  <c r="H29" i="4"/>
  <c r="K29" i="4"/>
  <c r="N29" i="4"/>
  <c r="Q29" i="4"/>
  <c r="W29" i="4"/>
  <c r="Z29" i="4"/>
  <c r="AC29" i="4"/>
  <c r="AF29" i="4"/>
  <c r="AI29" i="4"/>
  <c r="AL29" i="4"/>
  <c r="AO29" i="4"/>
  <c r="AR29" i="4"/>
  <c r="AU29" i="4"/>
  <c r="AX29" i="4"/>
  <c r="BA29" i="4"/>
  <c r="BD29" i="4"/>
  <c r="BG29" i="4"/>
  <c r="BJ29" i="4"/>
  <c r="BM29" i="4"/>
  <c r="BP29" i="4"/>
  <c r="BS29" i="4"/>
  <c r="BV29" i="4"/>
  <c r="BY29" i="4"/>
  <c r="CB29" i="4"/>
  <c r="CE29" i="4"/>
  <c r="CH29" i="4"/>
  <c r="CK29" i="4"/>
  <c r="CN29" i="4"/>
  <c r="CQ29" i="4"/>
  <c r="CT29" i="4"/>
  <c r="CW29" i="4"/>
  <c r="CZ29" i="4"/>
  <c r="CZ36" i="4" s="1"/>
  <c r="DC29" i="4"/>
  <c r="DF29" i="4"/>
  <c r="DI29" i="4"/>
  <c r="DL29" i="4"/>
  <c r="DO29" i="4"/>
  <c r="DR29" i="4"/>
  <c r="DU29" i="4"/>
  <c r="DX29" i="4"/>
  <c r="EA29" i="4"/>
  <c r="ED29" i="4"/>
  <c r="EG29" i="4"/>
  <c r="EJ29" i="4"/>
  <c r="EJ36" i="4" s="1"/>
  <c r="EM29" i="4"/>
  <c r="EP29" i="4"/>
  <c r="ES29" i="4"/>
  <c r="EV29" i="4"/>
  <c r="EY29" i="4"/>
  <c r="FB29" i="4"/>
  <c r="FE29" i="4"/>
  <c r="FH29" i="4"/>
  <c r="FK29" i="4"/>
  <c r="FN29" i="4"/>
  <c r="FQ29" i="4"/>
  <c r="FT29" i="4"/>
  <c r="FT36" i="4" s="1"/>
  <c r="FW29" i="4"/>
  <c r="FZ29" i="4"/>
  <c r="GC29" i="4"/>
  <c r="GF29" i="4"/>
  <c r="GI29" i="4"/>
  <c r="GL29" i="4"/>
  <c r="GO29" i="4"/>
  <c r="GR29" i="4"/>
  <c r="GU29" i="4"/>
  <c r="GX29" i="4"/>
  <c r="HA29" i="4"/>
  <c r="HD29" i="4"/>
  <c r="HD36" i="4" s="1"/>
  <c r="HG29" i="4"/>
  <c r="HJ29" i="4"/>
  <c r="HM29" i="4"/>
  <c r="HP29" i="4"/>
  <c r="HS29" i="4"/>
  <c r="HV29" i="4"/>
  <c r="HY29" i="4"/>
  <c r="IB29" i="4"/>
  <c r="IE29" i="4"/>
  <c r="IH29" i="4"/>
  <c r="IK29" i="4"/>
  <c r="IN29" i="4"/>
  <c r="IN36" i="4" s="1"/>
  <c r="IQ29" i="4"/>
  <c r="IT29" i="4"/>
  <c r="IW29" i="4"/>
  <c r="IZ29" i="4"/>
  <c r="JC29" i="4"/>
  <c r="JF29" i="4"/>
  <c r="JL29" i="4"/>
  <c r="JO29" i="4"/>
  <c r="JR29" i="4"/>
  <c r="A30" i="4"/>
  <c r="B30" i="4"/>
  <c r="E30" i="4"/>
  <c r="H30" i="4"/>
  <c r="K30" i="4"/>
  <c r="N30" i="4"/>
  <c r="Q30" i="4"/>
  <c r="W30" i="4"/>
  <c r="Z30" i="4"/>
  <c r="AC30" i="4"/>
  <c r="AF30" i="4"/>
  <c r="AI30" i="4"/>
  <c r="AL30" i="4"/>
  <c r="AO30" i="4"/>
  <c r="AR30" i="4"/>
  <c r="AU30" i="4"/>
  <c r="AX30" i="4"/>
  <c r="BA30" i="4"/>
  <c r="BD30" i="4"/>
  <c r="BG30" i="4"/>
  <c r="BJ30" i="4"/>
  <c r="BM30" i="4"/>
  <c r="BP30" i="4"/>
  <c r="BS30" i="4"/>
  <c r="BV30" i="4"/>
  <c r="BY30" i="4"/>
  <c r="CB30" i="4"/>
  <c r="CE30" i="4"/>
  <c r="CH30" i="4"/>
  <c r="CK30" i="4"/>
  <c r="CN30" i="4"/>
  <c r="CQ30" i="4"/>
  <c r="CT30" i="4"/>
  <c r="CW30" i="4"/>
  <c r="CZ30" i="4"/>
  <c r="DC30" i="4"/>
  <c r="DF30" i="4"/>
  <c r="DI30" i="4"/>
  <c r="DL30" i="4"/>
  <c r="DO30" i="4"/>
  <c r="DR30" i="4"/>
  <c r="DU30" i="4"/>
  <c r="DX30" i="4"/>
  <c r="EA30" i="4"/>
  <c r="ED30" i="4"/>
  <c r="EG30" i="4"/>
  <c r="EJ30" i="4"/>
  <c r="EM30" i="4"/>
  <c r="EP30" i="4"/>
  <c r="ES30" i="4"/>
  <c r="EV30" i="4"/>
  <c r="EY30" i="4"/>
  <c r="FB30" i="4"/>
  <c r="FE30" i="4"/>
  <c r="FH30" i="4"/>
  <c r="FK30" i="4"/>
  <c r="FN30" i="4"/>
  <c r="FQ30" i="4"/>
  <c r="FT30" i="4"/>
  <c r="FW30" i="4"/>
  <c r="FZ30" i="4"/>
  <c r="GC30" i="4"/>
  <c r="GF30" i="4"/>
  <c r="GI30" i="4"/>
  <c r="GL30" i="4"/>
  <c r="GO30" i="4"/>
  <c r="GR30" i="4"/>
  <c r="GU30" i="4"/>
  <c r="GX30" i="4"/>
  <c r="HA30" i="4"/>
  <c r="HD30" i="4"/>
  <c r="HG30" i="4"/>
  <c r="HJ30" i="4"/>
  <c r="HM30" i="4"/>
  <c r="HP30" i="4"/>
  <c r="HS30" i="4"/>
  <c r="HV30" i="4"/>
  <c r="HY30" i="4"/>
  <c r="IB30" i="4"/>
  <c r="IE30" i="4"/>
  <c r="IH30" i="4"/>
  <c r="IK30" i="4"/>
  <c r="IN30" i="4"/>
  <c r="IQ30" i="4"/>
  <c r="IT30" i="4"/>
  <c r="IW30" i="4"/>
  <c r="IZ30" i="4"/>
  <c r="JC30" i="4"/>
  <c r="JF30" i="4"/>
  <c r="JL30" i="4"/>
  <c r="JO30" i="4"/>
  <c r="JR30" i="4"/>
  <c r="A31" i="4"/>
  <c r="B31" i="4"/>
  <c r="E31" i="4"/>
  <c r="H31" i="4"/>
  <c r="K31" i="4"/>
  <c r="N31" i="4"/>
  <c r="Q31" i="4"/>
  <c r="W31" i="4"/>
  <c r="Z31" i="4"/>
  <c r="AC31" i="4"/>
  <c r="AF31" i="4"/>
  <c r="AI31" i="4"/>
  <c r="AL31" i="4"/>
  <c r="AO31" i="4"/>
  <c r="AR31" i="4"/>
  <c r="AU31" i="4"/>
  <c r="AX31" i="4"/>
  <c r="BA31" i="4"/>
  <c r="BD31" i="4"/>
  <c r="BG31" i="4"/>
  <c r="BJ31" i="4"/>
  <c r="BM31" i="4"/>
  <c r="BP31" i="4"/>
  <c r="BS31" i="4"/>
  <c r="BV31" i="4"/>
  <c r="BY31" i="4"/>
  <c r="CB31" i="4"/>
  <c r="CE31" i="4"/>
  <c r="CH31" i="4"/>
  <c r="CK31" i="4"/>
  <c r="CN31" i="4"/>
  <c r="CQ31" i="4"/>
  <c r="CT31" i="4"/>
  <c r="CW31" i="4"/>
  <c r="CZ31" i="4"/>
  <c r="DC31" i="4"/>
  <c r="DF31" i="4"/>
  <c r="DI31" i="4"/>
  <c r="DL31" i="4"/>
  <c r="DO31" i="4"/>
  <c r="DR31" i="4"/>
  <c r="DU31" i="4"/>
  <c r="DX31" i="4"/>
  <c r="EA31" i="4"/>
  <c r="ED31" i="4"/>
  <c r="EG31" i="4"/>
  <c r="EJ31" i="4"/>
  <c r="EM31" i="4"/>
  <c r="EP31" i="4"/>
  <c r="ES31" i="4"/>
  <c r="EV31" i="4"/>
  <c r="EY31" i="4"/>
  <c r="FB31" i="4"/>
  <c r="FE31" i="4"/>
  <c r="FH31" i="4"/>
  <c r="FK31" i="4"/>
  <c r="FN31" i="4"/>
  <c r="FQ31" i="4"/>
  <c r="FT31" i="4"/>
  <c r="FW31" i="4"/>
  <c r="FZ31" i="4"/>
  <c r="GC31" i="4"/>
  <c r="GF31" i="4"/>
  <c r="GI31" i="4"/>
  <c r="GL31" i="4"/>
  <c r="GO31" i="4"/>
  <c r="GR31" i="4"/>
  <c r="GU31" i="4"/>
  <c r="GX31" i="4"/>
  <c r="HA31" i="4"/>
  <c r="HD31" i="4"/>
  <c r="HG31" i="4"/>
  <c r="HJ31" i="4"/>
  <c r="HM31" i="4"/>
  <c r="HP31" i="4"/>
  <c r="HS31" i="4"/>
  <c r="HV31" i="4"/>
  <c r="HY31" i="4"/>
  <c r="IB31" i="4"/>
  <c r="IE31" i="4"/>
  <c r="IH31" i="4"/>
  <c r="IK31" i="4"/>
  <c r="IN31" i="4"/>
  <c r="IQ31" i="4"/>
  <c r="IT31" i="4"/>
  <c r="IW31" i="4"/>
  <c r="IZ31" i="4"/>
  <c r="JC31" i="4"/>
  <c r="JF31" i="4"/>
  <c r="JL31" i="4"/>
  <c r="JO31" i="4"/>
  <c r="JR31" i="4"/>
  <c r="A32" i="4"/>
  <c r="B32" i="4"/>
  <c r="E32" i="4"/>
  <c r="H32" i="4"/>
  <c r="K32" i="4"/>
  <c r="N32" i="4"/>
  <c r="Q32" i="4"/>
  <c r="W32" i="4"/>
  <c r="Z32" i="4"/>
  <c r="AC32" i="4"/>
  <c r="AF32" i="4"/>
  <c r="AI32" i="4"/>
  <c r="AL32" i="4"/>
  <c r="AO32" i="4"/>
  <c r="AR32" i="4"/>
  <c r="AU32" i="4"/>
  <c r="AX32" i="4"/>
  <c r="BA32" i="4"/>
  <c r="BD32" i="4"/>
  <c r="BG32" i="4"/>
  <c r="BJ32" i="4"/>
  <c r="BM32" i="4"/>
  <c r="BP32" i="4"/>
  <c r="BS32" i="4"/>
  <c r="BV32" i="4"/>
  <c r="BY32" i="4"/>
  <c r="CB32" i="4"/>
  <c r="CE32" i="4"/>
  <c r="CH32" i="4"/>
  <c r="CK32" i="4"/>
  <c r="CN32" i="4"/>
  <c r="CQ32" i="4"/>
  <c r="CT32" i="4"/>
  <c r="CW32" i="4"/>
  <c r="CZ32" i="4"/>
  <c r="DC32" i="4"/>
  <c r="DF32" i="4"/>
  <c r="DI32" i="4"/>
  <c r="DL32" i="4"/>
  <c r="DO32" i="4"/>
  <c r="DR32" i="4"/>
  <c r="DU32" i="4"/>
  <c r="DX32" i="4"/>
  <c r="EA32" i="4"/>
  <c r="ED32" i="4"/>
  <c r="EG32" i="4"/>
  <c r="EJ32" i="4"/>
  <c r="EM32" i="4"/>
  <c r="EP32" i="4"/>
  <c r="ES32" i="4"/>
  <c r="EV32" i="4"/>
  <c r="EY32" i="4"/>
  <c r="FB32" i="4"/>
  <c r="FE32" i="4"/>
  <c r="FH32" i="4"/>
  <c r="FK32" i="4"/>
  <c r="FN32" i="4"/>
  <c r="FQ32" i="4"/>
  <c r="FT32" i="4"/>
  <c r="FW32" i="4"/>
  <c r="FZ32" i="4"/>
  <c r="GC32" i="4"/>
  <c r="GF32" i="4"/>
  <c r="GI32" i="4"/>
  <c r="GL32" i="4"/>
  <c r="GO32" i="4"/>
  <c r="GR32" i="4"/>
  <c r="GU32" i="4"/>
  <c r="GX32" i="4"/>
  <c r="HA32" i="4"/>
  <c r="HD32" i="4"/>
  <c r="HG32" i="4"/>
  <c r="HJ32" i="4"/>
  <c r="HM32" i="4"/>
  <c r="HP32" i="4"/>
  <c r="HS32" i="4"/>
  <c r="HV32" i="4"/>
  <c r="HY32" i="4"/>
  <c r="IB32" i="4"/>
  <c r="IE32" i="4"/>
  <c r="IH32" i="4"/>
  <c r="IK32" i="4"/>
  <c r="IN32" i="4"/>
  <c r="IQ32" i="4"/>
  <c r="IT32" i="4"/>
  <c r="IW32" i="4"/>
  <c r="IZ32" i="4"/>
  <c r="JC32" i="4"/>
  <c r="JF32" i="4"/>
  <c r="JL32" i="4"/>
  <c r="JO32" i="4"/>
  <c r="JR32" i="4"/>
  <c r="A33" i="4"/>
  <c r="B33" i="4"/>
  <c r="E33" i="4"/>
  <c r="H33" i="4"/>
  <c r="K33" i="4"/>
  <c r="N33" i="4"/>
  <c r="Q33" i="4"/>
  <c r="W33" i="4"/>
  <c r="Z33" i="4"/>
  <c r="AC33" i="4"/>
  <c r="AF33" i="4"/>
  <c r="AI33" i="4"/>
  <c r="AL33" i="4"/>
  <c r="AO33" i="4"/>
  <c r="AR33" i="4"/>
  <c r="AU33" i="4"/>
  <c r="AX33" i="4"/>
  <c r="BA33" i="4"/>
  <c r="BD33" i="4"/>
  <c r="BG33" i="4"/>
  <c r="BJ33" i="4"/>
  <c r="BM33" i="4"/>
  <c r="BP33" i="4"/>
  <c r="BS33" i="4"/>
  <c r="BV33" i="4"/>
  <c r="BY33" i="4"/>
  <c r="CB33" i="4"/>
  <c r="CE33" i="4"/>
  <c r="CH33" i="4"/>
  <c r="CK33" i="4"/>
  <c r="CN33" i="4"/>
  <c r="CQ33" i="4"/>
  <c r="CT33" i="4"/>
  <c r="CW33" i="4"/>
  <c r="CZ33" i="4"/>
  <c r="DC33" i="4"/>
  <c r="DF33" i="4"/>
  <c r="DI33" i="4"/>
  <c r="DL33" i="4"/>
  <c r="DO33" i="4"/>
  <c r="DR33" i="4"/>
  <c r="DU33" i="4"/>
  <c r="DX33" i="4"/>
  <c r="EA33" i="4"/>
  <c r="ED33" i="4"/>
  <c r="EG33" i="4"/>
  <c r="EJ33" i="4"/>
  <c r="EM33" i="4"/>
  <c r="EP33" i="4"/>
  <c r="ES33" i="4"/>
  <c r="EV33" i="4"/>
  <c r="EY33" i="4"/>
  <c r="FB33" i="4"/>
  <c r="FE33" i="4"/>
  <c r="FH33" i="4"/>
  <c r="FK33" i="4"/>
  <c r="FN33" i="4"/>
  <c r="FQ33" i="4"/>
  <c r="FT33" i="4"/>
  <c r="FW33" i="4"/>
  <c r="FZ33" i="4"/>
  <c r="GC33" i="4"/>
  <c r="GF33" i="4"/>
  <c r="GI33" i="4"/>
  <c r="GL33" i="4"/>
  <c r="GO33" i="4"/>
  <c r="GR33" i="4"/>
  <c r="GU33" i="4"/>
  <c r="GX33" i="4"/>
  <c r="HA33" i="4"/>
  <c r="HD33" i="4"/>
  <c r="HG33" i="4"/>
  <c r="HJ33" i="4"/>
  <c r="HM33" i="4"/>
  <c r="HP33" i="4"/>
  <c r="HS33" i="4"/>
  <c r="HV33" i="4"/>
  <c r="HY33" i="4"/>
  <c r="IB33" i="4"/>
  <c r="IE33" i="4"/>
  <c r="IH33" i="4"/>
  <c r="IK33" i="4"/>
  <c r="IN33" i="4"/>
  <c r="IQ33" i="4"/>
  <c r="IT33" i="4"/>
  <c r="IW33" i="4"/>
  <c r="IZ33" i="4"/>
  <c r="JC33" i="4"/>
  <c r="JF33" i="4"/>
  <c r="JL33" i="4"/>
  <c r="JO33" i="4"/>
  <c r="JR33" i="4"/>
  <c r="JR36" i="4" s="1"/>
  <c r="A34" i="4"/>
  <c r="A35" i="4"/>
  <c r="B36" i="4"/>
  <c r="C36" i="4"/>
  <c r="D36" i="4"/>
  <c r="F36" i="4"/>
  <c r="G36" i="4"/>
  <c r="I36" i="4"/>
  <c r="J36" i="4"/>
  <c r="K36" i="4"/>
  <c r="L36" i="4"/>
  <c r="M36" i="4"/>
  <c r="N36" i="4"/>
  <c r="O36" i="4"/>
  <c r="P36" i="4"/>
  <c r="R36" i="4"/>
  <c r="S36" i="4"/>
  <c r="X36" i="4"/>
  <c r="Y36" i="4"/>
  <c r="Z36" i="4"/>
  <c r="AA36" i="4"/>
  <c r="AB36" i="4"/>
  <c r="AC36" i="4"/>
  <c r="AD36" i="4"/>
  <c r="AE36" i="4"/>
  <c r="AG36" i="4"/>
  <c r="AH36" i="4"/>
  <c r="AJ36" i="4"/>
  <c r="AK36" i="4"/>
  <c r="AL36" i="4"/>
  <c r="AM36" i="4"/>
  <c r="AN36" i="4"/>
  <c r="AO36" i="4"/>
  <c r="AP36" i="4"/>
  <c r="AQ36" i="4"/>
  <c r="AS36" i="4"/>
  <c r="AT36" i="4"/>
  <c r="AV36" i="4"/>
  <c r="AW36" i="4"/>
  <c r="AX36" i="4"/>
  <c r="AY36" i="4"/>
  <c r="AZ36" i="4"/>
  <c r="BA36" i="4"/>
  <c r="BB36" i="4"/>
  <c r="BC36" i="4"/>
  <c r="BE36" i="4"/>
  <c r="BF36" i="4"/>
  <c r="BH36" i="4"/>
  <c r="BI36" i="4"/>
  <c r="BJ36" i="4"/>
  <c r="BK36" i="4"/>
  <c r="BL36" i="4"/>
  <c r="BM36" i="4"/>
  <c r="BN36" i="4"/>
  <c r="BO36" i="4"/>
  <c r="BQ36" i="4"/>
  <c r="BR36" i="4"/>
  <c r="BT36" i="4"/>
  <c r="BU36" i="4"/>
  <c r="BV36" i="4"/>
  <c r="BW36" i="4"/>
  <c r="BX36" i="4"/>
  <c r="BY36" i="4"/>
  <c r="BZ36" i="4"/>
  <c r="CA36" i="4"/>
  <c r="CC36" i="4"/>
  <c r="CD36" i="4"/>
  <c r="CF36" i="4"/>
  <c r="CG36" i="4"/>
  <c r="CH36" i="4"/>
  <c r="CI36" i="4"/>
  <c r="CJ36" i="4"/>
  <c r="CK36" i="4"/>
  <c r="CL36" i="4"/>
  <c r="CM36" i="4"/>
  <c r="CO36" i="4"/>
  <c r="CP36" i="4"/>
  <c r="CR36" i="4"/>
  <c r="CS36" i="4"/>
  <c r="CT36" i="4"/>
  <c r="CU36" i="4"/>
  <c r="CV36" i="4"/>
  <c r="CW36" i="4"/>
  <c r="CX36" i="4"/>
  <c r="CY36" i="4"/>
  <c r="DA36" i="4"/>
  <c r="DB36" i="4"/>
  <c r="DD36" i="4"/>
  <c r="DE36" i="4"/>
  <c r="DF36" i="4"/>
  <c r="DG36" i="4"/>
  <c r="DH36" i="4"/>
  <c r="DI36" i="4"/>
  <c r="DJ36" i="4"/>
  <c r="DK36" i="4"/>
  <c r="DM36" i="4"/>
  <c r="DN36" i="4"/>
  <c r="DP36" i="4"/>
  <c r="DQ36" i="4"/>
  <c r="DR36" i="4"/>
  <c r="DS36" i="4"/>
  <c r="DT36" i="4"/>
  <c r="DU36" i="4"/>
  <c r="DV36" i="4"/>
  <c r="DW36" i="4"/>
  <c r="DY36" i="4"/>
  <c r="DZ36" i="4"/>
  <c r="EB36" i="4"/>
  <c r="EC36" i="4"/>
  <c r="ED36" i="4"/>
  <c r="EE36" i="4"/>
  <c r="EF36" i="4"/>
  <c r="EG36" i="4"/>
  <c r="EH36" i="4"/>
  <c r="EI36" i="4"/>
  <c r="EK36" i="4"/>
  <c r="EL36" i="4"/>
  <c r="EN36" i="4"/>
  <c r="EO36" i="4"/>
  <c r="EP36" i="4"/>
  <c r="EQ36" i="4"/>
  <c r="ER36" i="4"/>
  <c r="ES36" i="4"/>
  <c r="ET36" i="4"/>
  <c r="EU36" i="4"/>
  <c r="EW36" i="4"/>
  <c r="EX36" i="4"/>
  <c r="EZ36" i="4"/>
  <c r="FA36" i="4"/>
  <c r="FB36" i="4"/>
  <c r="FC36" i="4"/>
  <c r="FD36" i="4"/>
  <c r="FE36" i="4"/>
  <c r="FF36" i="4"/>
  <c r="FG36" i="4"/>
  <c r="FI36" i="4"/>
  <c r="FJ36" i="4"/>
  <c r="FL36" i="4"/>
  <c r="FM36" i="4"/>
  <c r="FN36" i="4"/>
  <c r="FO36" i="4"/>
  <c r="FP36" i="4"/>
  <c r="FQ36" i="4"/>
  <c r="FR36" i="4"/>
  <c r="FS36" i="4"/>
  <c r="FU36" i="4"/>
  <c r="FV36" i="4"/>
  <c r="FX36" i="4"/>
  <c r="FY36" i="4"/>
  <c r="FZ36" i="4"/>
  <c r="GA36" i="4"/>
  <c r="GB36" i="4"/>
  <c r="GC36" i="4"/>
  <c r="GD36" i="4"/>
  <c r="GE36" i="4"/>
  <c r="GG36" i="4"/>
  <c r="GH36" i="4"/>
  <c r="GJ36" i="4"/>
  <c r="GK36" i="4"/>
  <c r="GL36" i="4"/>
  <c r="GM36" i="4"/>
  <c r="GN36" i="4"/>
  <c r="GO36" i="4"/>
  <c r="GP36" i="4"/>
  <c r="GQ36" i="4"/>
  <c r="GS36" i="4"/>
  <c r="GT36" i="4"/>
  <c r="GV36" i="4"/>
  <c r="GW36" i="4"/>
  <c r="GX36" i="4"/>
  <c r="GY36" i="4"/>
  <c r="GZ36" i="4"/>
  <c r="HA36" i="4"/>
  <c r="HB36" i="4"/>
  <c r="HC36" i="4"/>
  <c r="HE36" i="4"/>
  <c r="HF36" i="4"/>
  <c r="HH36" i="4"/>
  <c r="HI36" i="4"/>
  <c r="HJ36" i="4"/>
  <c r="HK36" i="4"/>
  <c r="HL36" i="4"/>
  <c r="HM36" i="4"/>
  <c r="HN36" i="4"/>
  <c r="HO36" i="4"/>
  <c r="HQ36" i="4"/>
  <c r="HR36" i="4"/>
  <c r="HT36" i="4"/>
  <c r="HU36" i="4"/>
  <c r="HV36" i="4"/>
  <c r="HW36" i="4"/>
  <c r="HX36" i="4"/>
  <c r="HY36" i="4"/>
  <c r="HZ36" i="4"/>
  <c r="IA36" i="4"/>
  <c r="IC36" i="4"/>
  <c r="ID36" i="4"/>
  <c r="IF36" i="4"/>
  <c r="IG36" i="4"/>
  <c r="IH36" i="4"/>
  <c r="II36" i="4"/>
  <c r="IJ36" i="4"/>
  <c r="IK36" i="4"/>
  <c r="IL36" i="4"/>
  <c r="IM36" i="4"/>
  <c r="IO36" i="4"/>
  <c r="IP36" i="4"/>
  <c r="IR36" i="4"/>
  <c r="IS36" i="4"/>
  <c r="IT36" i="4"/>
  <c r="IU36" i="4"/>
  <c r="IV36" i="4"/>
  <c r="IW36" i="4"/>
  <c r="IX36" i="4"/>
  <c r="IY36" i="4"/>
  <c r="JA36" i="4"/>
  <c r="JB36" i="4"/>
  <c r="JD36" i="4"/>
  <c r="JE36" i="4"/>
  <c r="JF36" i="4"/>
  <c r="JG36" i="4"/>
  <c r="JH36" i="4"/>
  <c r="JI36" i="4"/>
  <c r="JJ36" i="4"/>
  <c r="JK36" i="4"/>
  <c r="JM36" i="4"/>
  <c r="JN36" i="4"/>
  <c r="JP36" i="4"/>
  <c r="JQ36" i="4"/>
  <c r="JS36" i="4"/>
  <c r="JT36" i="4"/>
  <c r="JV36" i="4"/>
  <c r="JW36" i="4"/>
  <c r="A37" i="4" a="1"/>
  <c r="A37" i="4" s="1"/>
  <c r="C38" i="4"/>
  <c r="F38" i="4"/>
  <c r="C39" i="4" a="1"/>
  <c r="C39" i="4"/>
  <c r="D39" i="4" a="1"/>
  <c r="D39" i="4" s="1"/>
  <c r="FV39" i="4"/>
  <c r="FS40" i="4"/>
  <c r="FV40" i="4"/>
  <c r="FX40" i="4" a="1"/>
  <c r="FX40" i="4" s="1"/>
  <c r="FY40" i="4"/>
  <c r="GB40" i="4"/>
  <c r="FS41" i="4"/>
  <c r="FT41" i="4" a="1"/>
  <c r="FT41" i="4"/>
  <c r="FX41" i="4" a="1"/>
  <c r="FX41" i="4" s="1"/>
  <c r="GB41" i="4"/>
  <c r="GC42" i="4" a="1"/>
  <c r="GC42" i="4" s="1"/>
  <c r="GD42" i="4" a="1"/>
  <c r="GD42" i="4" s="1"/>
  <c r="A36" i="4" l="1"/>
  <c r="B3" i="3"/>
  <c r="B2" i="3" s="1"/>
  <c r="D3" i="3"/>
  <c r="E3" i="3"/>
  <c r="F3" i="3"/>
  <c r="G3" i="3"/>
  <c r="G5" i="3"/>
  <c r="A97" i="3"/>
  <c r="AF5" i="1" l="1"/>
  <c r="AF12" i="1"/>
  <c r="AF17" i="1"/>
  <c r="AF20" i="1"/>
  <c r="AF23" i="1"/>
  <c r="AF34" i="1"/>
  <c r="AF39" i="1"/>
  <c r="AF45" i="1"/>
  <c r="AF50" i="1"/>
  <c r="AF74" i="1"/>
  <c r="AF75" i="1"/>
  <c r="AF76" i="1"/>
  <c r="AF77" i="1"/>
  <c r="AF78" i="1"/>
  <c r="AF81" i="1"/>
  <c r="AF86" i="1"/>
  <c r="AF89" i="1"/>
  <c r="AF90" i="1"/>
  <c r="AF91" i="1"/>
  <c r="AB61" i="1" l="1"/>
  <c r="AC61" i="1"/>
  <c r="AD61" i="1"/>
  <c r="X61" i="1"/>
  <c r="AF61" i="1" l="1"/>
  <c r="AA39" i="1"/>
  <c r="C105" i="1" l="1" a="1"/>
  <c r="C105" i="1" s="1"/>
  <c r="B105" i="1" l="1" a="1"/>
  <c r="B105" i="1" s="1"/>
  <c r="D105" i="1" s="1"/>
  <c r="Z62" i="1" l="1"/>
  <c r="AB62" i="1"/>
  <c r="AC62" i="1"/>
  <c r="AD62" i="1"/>
  <c r="X62" i="1"/>
  <c r="AB59" i="1"/>
  <c r="AC59" i="1"/>
  <c r="AD59" i="1"/>
  <c r="X59" i="1"/>
  <c r="AF59" i="1" l="1"/>
  <c r="AF62" i="1"/>
  <c r="AB94" i="1"/>
  <c r="AC94" i="1"/>
  <c r="AD94" i="1"/>
  <c r="X94" i="1"/>
  <c r="AF94" i="1" l="1"/>
  <c r="AB57" i="1"/>
  <c r="AC57" i="1"/>
  <c r="AD57" i="1"/>
  <c r="X57" i="1"/>
  <c r="AF57" i="1" l="1"/>
  <c r="AE17" i="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95"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6" i="3" l="1"/>
  <c r="A94" i="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A96" i="3" l="1"/>
  <c r="A60" i="3"/>
  <c r="B21" i="2"/>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A18" i="3" l="1"/>
  <c r="A30" i="3"/>
  <c r="A35" i="3"/>
  <c r="A90" i="3"/>
  <c r="A16" i="3"/>
  <c r="A28" i="3"/>
  <c r="A40" i="3"/>
  <c r="A52" i="3"/>
  <c r="A68" i="3"/>
  <c r="A8" i="3"/>
  <c r="A21" i="3"/>
  <c r="A33" i="3"/>
  <c r="A36" i="3"/>
  <c r="A65" i="3"/>
  <c r="A91" i="3"/>
  <c r="A86" i="3"/>
  <c r="A26" i="3"/>
  <c r="A38" i="3"/>
  <c r="A42" i="3"/>
  <c r="A50" i="3"/>
  <c r="A71" i="3"/>
  <c r="A31" i="3"/>
  <c r="A55" i="3"/>
  <c r="A72" i="3"/>
  <c r="A83" i="3"/>
  <c r="A12" i="3"/>
  <c r="A24" i="3"/>
  <c r="A37" i="3"/>
  <c r="A48" i="3"/>
  <c r="A66" i="3"/>
  <c r="A41" i="3"/>
  <c r="A45" i="3"/>
  <c r="A73" i="3"/>
  <c r="A79" i="3"/>
  <c r="A34" i="3"/>
  <c r="A63" i="3"/>
  <c r="A87" i="3"/>
  <c r="A39" i="3"/>
  <c r="A51" i="3"/>
  <c r="A7" i="3"/>
  <c r="A32" i="3"/>
  <c r="A61" i="3"/>
  <c r="A82" i="3"/>
  <c r="A15" i="3"/>
  <c r="A20" i="3"/>
  <c r="A13" i="3"/>
  <c r="A25" i="3"/>
  <c r="A10" i="3"/>
  <c r="A49" i="3"/>
  <c r="A80" i="3"/>
  <c r="A47" i="3"/>
  <c r="A81" i="3"/>
  <c r="A59" i="3"/>
  <c r="A70" i="3"/>
  <c r="A1" i="4"/>
  <c r="A64" i="3"/>
  <c r="A44" i="3"/>
  <c r="A54" i="3"/>
  <c r="A75" i="3"/>
  <c r="A67" i="3"/>
  <c r="D101" i="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84" i="3" l="1"/>
  <c r="A62" i="3"/>
  <c r="A17" i="3"/>
  <c r="A85" i="3"/>
  <c r="A69" i="3"/>
  <c r="E5" i="3"/>
  <c r="A9" i="3"/>
  <c r="A95" i="3"/>
  <c r="A76" i="3"/>
  <c r="A29" i="3"/>
  <c r="A46" i="3"/>
  <c r="A14" i="3"/>
  <c r="A74" i="3"/>
  <c r="A56" i="3"/>
  <c r="A27" i="3"/>
  <c r="A43" i="3"/>
  <c r="A53" i="3"/>
  <c r="A5" i="3"/>
  <c r="D5" i="3"/>
  <c r="A89" i="3"/>
  <c r="A19" i="3"/>
  <c r="A58" i="3"/>
  <c r="A77" i="3"/>
  <c r="A78" i="3"/>
  <c r="A93" i="3"/>
  <c r="A11" i="3"/>
  <c r="A88" i="3"/>
  <c r="A92" i="3"/>
  <c r="A94" i="3"/>
  <c r="A22" i="3"/>
  <c r="A1" i="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A23" i="3" l="1"/>
  <c r="D8" i="2"/>
  <c r="JX31" i="4" l="1" a="1"/>
  <c r="JX31" i="4" s="1"/>
  <c r="JX8" i="4" a="1"/>
  <c r="JX8" i="4" s="1"/>
  <c r="JU7" i="4" a="1"/>
  <c r="JU7" i="4" s="1"/>
  <c r="KA17" i="4" a="1"/>
  <c r="KA17" i="4" s="1"/>
  <c r="KA27" i="4" a="1"/>
  <c r="KA27" i="4" s="1"/>
  <c r="KD8" i="4" a="1"/>
  <c r="KD8" i="4" s="1"/>
  <c r="KA7" i="4" a="1"/>
  <c r="KA7" i="4" s="1"/>
  <c r="KD5" i="4" a="1"/>
  <c r="KD5" i="4" s="1"/>
  <c r="JX18" i="4" a="1"/>
  <c r="JX18" i="4" s="1"/>
  <c r="JU22" i="4" a="1"/>
  <c r="JU22" i="4" s="1"/>
  <c r="KD27" i="4" a="1"/>
  <c r="KD27" i="4" s="1"/>
  <c r="JU4" i="4" a="1"/>
  <c r="JU4" i="4" s="1"/>
  <c r="JU10" i="4" a="1"/>
  <c r="JU10" i="4" s="1"/>
  <c r="JU5" i="4" a="1"/>
  <c r="JU5" i="4" s="1"/>
  <c r="JU30" i="4" a="1"/>
  <c r="JU30" i="4" s="1"/>
  <c r="KA5" i="4" a="1"/>
  <c r="KA5" i="4" s="1"/>
  <c r="KA6" i="4" a="1"/>
  <c r="KA6" i="4" s="1"/>
  <c r="KA30" i="4" a="1"/>
  <c r="KA30" i="4" s="1"/>
  <c r="JX9" i="4" a="1"/>
  <c r="JX9" i="4" s="1"/>
  <c r="KA8" i="4" a="1"/>
  <c r="KA8" i="4" s="1"/>
  <c r="KA10" i="4" a="1"/>
  <c r="KA10" i="4" s="1"/>
  <c r="KA15" i="4" a="1"/>
  <c r="KA15" i="4" s="1"/>
  <c r="JX7" i="4" a="1"/>
  <c r="JX7" i="4" s="1"/>
  <c r="JU11" i="4" a="1"/>
  <c r="JU11" i="4" s="1"/>
  <c r="JX10" i="4" a="1"/>
  <c r="JX10" i="4" s="1"/>
  <c r="JX13" i="4" a="1"/>
  <c r="JX13" i="4" s="1"/>
  <c r="KA33" i="4" a="1"/>
  <c r="KA33" i="4" s="1"/>
  <c r="JU6" i="4" a="1"/>
  <c r="JU6" i="4" s="1"/>
  <c r="KD19" i="4" a="1"/>
  <c r="KD19" i="4" s="1"/>
  <c r="JU16" i="4" a="1"/>
  <c r="JU16" i="4" s="1"/>
  <c r="JU8" i="4" a="1"/>
  <c r="JU8" i="4" s="1"/>
  <c r="JX16" i="4" a="1"/>
  <c r="JX16" i="4" s="1"/>
  <c r="JX11" i="4" a="1"/>
  <c r="JX11" i="4" s="1"/>
  <c r="KD16" i="4" a="1"/>
  <c r="KD16" i="4" s="1"/>
  <c r="JU14" i="4" a="1"/>
  <c r="JU14" i="4" s="1"/>
  <c r="KD24" i="4" a="1"/>
  <c r="KD24" i="4" s="1"/>
  <c r="KD7" i="4" a="1"/>
  <c r="KD7" i="4" s="1"/>
  <c r="KD14" i="4" a="1"/>
  <c r="KD14" i="4" s="1"/>
  <c r="JU21" i="4" a="1"/>
  <c r="JU21" i="4" s="1"/>
  <c r="KA20" i="4" a="1"/>
  <c r="KA20" i="4" s="1"/>
  <c r="JU9" i="4" a="1"/>
  <c r="JU9" i="4" s="1"/>
  <c r="KA21" i="4" a="1"/>
  <c r="KA21" i="4" s="1"/>
  <c r="KA16" i="4" a="1"/>
  <c r="KA16" i="4" s="1"/>
  <c r="JU18" i="4" a="1"/>
  <c r="JU18" i="4" s="1"/>
  <c r="JU26" i="4" a="1"/>
  <c r="JU26" i="4" s="1"/>
  <c r="KA4" i="4" a="1"/>
  <c r="KA4" i="4" s="1"/>
  <c r="KA19" i="4" a="1"/>
  <c r="KA19" i="4" s="1"/>
  <c r="KD25" i="4" a="1"/>
  <c r="KD25" i="4" s="1"/>
  <c r="JX21" i="4" a="1"/>
  <c r="JX21" i="4" s="1"/>
  <c r="KD15" i="4" a="1"/>
  <c r="KD15" i="4" s="1"/>
  <c r="JX22" i="4" a="1"/>
  <c r="JX22" i="4" s="1"/>
  <c r="JU17" i="4" a="1"/>
  <c r="JU17" i="4" s="1"/>
  <c r="KD22" i="4" a="1"/>
  <c r="KD22" i="4" s="1"/>
  <c r="KD20" i="4" a="1"/>
  <c r="KD20" i="4" s="1"/>
  <c r="KA28" i="4" a="1"/>
  <c r="KA28" i="4" s="1"/>
  <c r="KD21" i="4" a="1"/>
  <c r="KD21" i="4" s="1"/>
  <c r="JU24" i="4" a="1"/>
  <c r="JU24" i="4" s="1"/>
  <c r="JX19" i="4" a="1"/>
  <c r="JX19" i="4" s="1"/>
  <c r="JX26" i="4" a="1"/>
  <c r="JX26" i="4" s="1"/>
  <c r="JX29" i="4" a="1"/>
  <c r="JX29" i="4" s="1"/>
  <c r="JX28" i="4" a="1"/>
  <c r="JX28" i="4" s="1"/>
  <c r="KD26" i="4" a="1"/>
  <c r="KD26" i="4" s="1"/>
  <c r="JX23" i="4" a="1"/>
  <c r="JX23" i="4" s="1"/>
  <c r="KD28" i="4" a="1"/>
  <c r="KD28" i="4" s="1"/>
  <c r="KD30" i="4" a="1"/>
  <c r="KD30" i="4" s="1"/>
  <c r="JX12" i="4" a="1"/>
  <c r="JX12" i="4" s="1"/>
  <c r="JU32" i="4" a="1"/>
  <c r="JU32" i="4" s="1"/>
  <c r="JU33" i="4" a="1"/>
  <c r="JU33" i="4" s="1"/>
  <c r="KD10" i="4" a="1"/>
  <c r="KD10" i="4" s="1"/>
  <c r="KA9" i="4" a="1"/>
  <c r="KA9" i="4" s="1"/>
  <c r="KD13" i="4" a="1"/>
  <c r="KD13" i="4" s="1"/>
  <c r="JU23" i="4" a="1"/>
  <c r="JU23" i="4" s="1"/>
  <c r="JX30" i="4" a="1"/>
  <c r="JX30" i="4" s="1"/>
  <c r="KA14" i="4" a="1"/>
  <c r="KA14" i="4" s="1"/>
  <c r="KA11" i="4" a="1"/>
  <c r="KA11" i="4" s="1"/>
  <c r="JX20" i="4" a="1"/>
  <c r="JX20" i="4" s="1"/>
  <c r="KD29" i="4" a="1"/>
  <c r="KD29" i="4" s="1"/>
  <c r="JX32" i="4" a="1"/>
  <c r="JX32" i="4" s="1"/>
  <c r="JX4" i="4" a="1"/>
  <c r="JX4" i="4" s="1"/>
  <c r="JU25" i="4" a="1"/>
  <c r="JU25" i="4" s="1"/>
  <c r="KA12" i="4" a="1"/>
  <c r="KA12" i="4" s="1"/>
  <c r="JX27" i="4" a="1"/>
  <c r="JX27" i="4" s="1"/>
  <c r="JX24" i="4" a="1"/>
  <c r="JX24" i="4" s="1"/>
  <c r="JX33" i="4" a="1"/>
  <c r="JX33" i="4" s="1"/>
  <c r="JX5" i="4" a="1"/>
  <c r="JX5" i="4" s="1"/>
  <c r="KD33" i="4" a="1"/>
  <c r="KD33" i="4" s="1"/>
  <c r="KD18" i="4" a="1"/>
  <c r="KD18" i="4" s="1"/>
  <c r="KA26" i="4" a="1"/>
  <c r="KA26" i="4" s="1"/>
  <c r="JX14" i="4" a="1"/>
  <c r="JX14" i="4" s="1"/>
  <c r="JU19" i="4" a="1"/>
  <c r="JU19" i="4" s="1"/>
  <c r="KD23" i="4" a="1"/>
  <c r="KD23" i="4" s="1"/>
  <c r="KD11" i="4" a="1"/>
  <c r="KD11" i="4" s="1"/>
  <c r="KA32" i="4" a="1"/>
  <c r="KA32" i="4" s="1"/>
  <c r="KA23" i="4" a="1"/>
  <c r="KA23" i="4" s="1"/>
  <c r="KA31" i="4" a="1"/>
  <c r="KA31" i="4" s="1"/>
  <c r="JX25" i="4" a="1"/>
  <c r="JX25" i="4" s="1"/>
  <c r="KD32" i="4" a="1"/>
  <c r="KD32" i="4" s="1"/>
  <c r="JU15" i="4" a="1"/>
  <c r="JU15" i="4" s="1"/>
  <c r="KD4" i="4" a="1"/>
  <c r="KD4" i="4" s="1"/>
  <c r="KD12" i="4" a="1"/>
  <c r="KD12" i="4" s="1"/>
  <c r="KD17" i="4" a="1"/>
  <c r="KD17" i="4" s="1"/>
  <c r="KD6" i="4" a="1"/>
  <c r="KD6" i="4" s="1"/>
  <c r="JU12" i="4" a="1"/>
  <c r="JU12" i="4" s="1"/>
  <c r="KD31" i="4" a="1"/>
  <c r="KD31" i="4" s="1"/>
  <c r="JX15" i="4" a="1"/>
  <c r="JX15" i="4" s="1"/>
  <c r="KA18" i="4" a="1"/>
  <c r="KA18" i="4" s="1"/>
  <c r="KA24" i="4" a="1"/>
  <c r="KA24" i="4" s="1"/>
  <c r="JU13" i="4" a="1"/>
  <c r="JU13" i="4" s="1"/>
  <c r="KA22" i="4" a="1"/>
  <c r="KA22" i="4" s="1"/>
  <c r="KD9" i="4" a="1"/>
  <c r="KD9" i="4" s="1"/>
  <c r="KA13" i="4" a="1"/>
  <c r="KA13" i="4" s="1"/>
  <c r="KA25" i="4" a="1"/>
  <c r="KA25" i="4" s="1"/>
  <c r="JU27" i="4" a="1"/>
  <c r="JU27" i="4" s="1"/>
  <c r="JX17" i="4" a="1"/>
  <c r="JX17" i="4" s="1"/>
  <c r="KA29" i="4" a="1"/>
  <c r="KA29" i="4" s="1"/>
  <c r="JX6" i="4" a="1"/>
  <c r="JX6" i="4" s="1"/>
  <c r="JU20" i="4" a="1"/>
  <c r="JU20" i="4" s="1"/>
  <c r="JU28" i="4" a="1"/>
  <c r="JU28" i="4" s="1"/>
  <c r="JU31" i="4" a="1"/>
  <c r="JU31" i="4" s="1"/>
  <c r="JU29" i="4" a="1"/>
  <c r="JU29" i="4" s="1"/>
  <c r="A57" i="3"/>
  <c r="F29" i="2"/>
  <c r="F18" i="2"/>
  <c r="F12" i="2"/>
  <c r="D9" i="2"/>
  <c r="JU36" i="4" l="1"/>
  <c r="F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tc={52798177-69C8-5849-A1FF-8D7B2E57A90F}</author>
  </authors>
  <commentList>
    <comment ref="D2" authorId="0" shapeId="0" xr:uid="{52798177-69C8-5849-A1FF-8D7B2E57A90F}">
      <text>
        <t>[Threaded comment]
Your version of Excel allows you to read this threaded comment; however, any edits to it will get removed if the file is opened in a newer version of Excel. Learn more: https://go.microsoft.com/fwlink/?linkid=870924
Comment:
    When the formulas below are copied to certain row they will calculate current dynamic values for the row position.
Data in the columns will be made back static by executing  VBA macro MakeStatic.</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tc={7C6879E1-601E-BA41-B43E-185928FFACA1}</author>
    <author>tc={71CD9E4D-32E3-DB45-BF3E-51E54F68471E}</author>
  </authors>
  <commentList>
    <comment ref="A1" authorId="0" shapeId="0" xr:uid="{7C6879E1-601E-BA41-B43E-185928FFACA1}">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worksheet and formulas in NewReg work sheet put the values into this trade  register.</t>
      </text>
    </comment>
    <comment ref="E3" authorId="1" shapeId="0" xr:uid="{71CD9E4D-32E3-DB45-BF3E-51E54F68471E}">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<sst xmlns="http://schemas.openxmlformats.org/spreadsheetml/2006/main" count="614" uniqueCount="499">
  <si>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</si>
  <si>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</si>
  <si>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</si>
  <si>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</si>
  <si>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</si>
  <si>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</si>
  <si>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</si>
  <si>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</si>
  <si>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</si>
  <si>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</si>
  <si>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</si>
  <si>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</si>
  <si>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</si>
  <si>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</si>
  <si>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</si>
  <si>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</si>
  <si>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</si>
  <si>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</si>
  <si>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</si>
  <si>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</si>
  <si>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</si>
  <si>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</si>
  <si>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</si>
  <si>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</si>
  <si>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</si>
  <si>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</si>
  <si>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</si>
  <si>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</si>
  <si>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</si>
  <si>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</si>
  <si>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</si>
  <si>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</si>
  <si>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</si>
  <si>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</si>
  <si>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</si>
  <si>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</si>
  <si>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</si>
  <si>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</si>
  <si>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</si>
  <si>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</si>
  <si>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</si>
  <si>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</si>
  <si>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</si>
  <si>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</si>
  <si>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</si>
  <si>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</si>
  <si>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</si>
  <si>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</si>
  <si>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</si>
  <si>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</si>
  <si>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</si>
  <si>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</si>
  <si>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</si>
  <si>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</si>
  <si>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</si>
  <si>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</si>
  <si>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</si>
  <si>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</si>
  <si>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</si>
  <si>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</si>
  <si>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</si>
  <si>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</si>
  <si>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</si>
  <si>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</si>
  <si>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</si>
  <si>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</si>
  <si>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</si>
  <si>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</si>
  <si>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</si>
  <si>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</si>
  <si>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</si>
  <si>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</si>
  <si>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</si>
  <si>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</si>
  <si>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</si>
  <si>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</si>
  <si>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</si>
  <si>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</si>
  <si>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</si>
  <si>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</si>
  <si>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</si>
  <si>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</si>
  <si>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</si>
  <si>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</si>
  <si>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</si>
  <si>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</si>
  <si>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</si>
  <si>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</si>
  <si>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</si>
  <si>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</si>
  <si>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</si>
  <si>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</si>
  <si>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</si>
  <si>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</si>
  <si>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</si>
  <si>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</si>
  <si>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</si>
  <si>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</si>
  <si>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</si>
  <si>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</si>
  <si>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</si>
  <si>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</si>
  <si>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</si>
  <si>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</si>
  <si>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</si>
  <si>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</si>
  <si>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</si>
  <si>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</si>
  <si>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</si>
  <si>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</si>
  <si>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</si>
  <si>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</si>
  <si>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</si>
  <si>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</si>
  <si>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</si>
  <si>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 xml:space="preserve">JBEOAN: 0                          </t>
  </si>
  <si>
    <t>X: LOOKS GOING UP 1200 BOUGHT AT 33</t>
  </si>
  <si>
    <t xml:space="preserve">THC: 0                             </t>
  </si>
  <si>
    <t>RRC: Wait further fall ti buy back/</t>
  </si>
  <si>
    <t xml:space="preserve">RIG: Good sale, consider Refill    </t>
  </si>
  <si>
    <t xml:space="preserve">PFE: 0                             </t>
  </si>
  <si>
    <t xml:space="preserve">OXY: Going up, buy 1,000?          </t>
  </si>
  <si>
    <t xml:space="preserve">ORA: 0                             </t>
  </si>
  <si>
    <t xml:space="preserve">NVS: 0                             </t>
  </si>
  <si>
    <t xml:space="preserve">NVAX: 7000 in .02                  </t>
  </si>
  <si>
    <t xml:space="preserve">MA: Rise expected, SELL 300        </t>
  </si>
  <si>
    <t xml:space="preserve">LUV: 0                             </t>
  </si>
  <si>
    <t xml:space="preserve">LAZR: 0                            </t>
  </si>
  <si>
    <t xml:space="preserve">GS: 0                              </t>
  </si>
  <si>
    <t xml:space="preserve">GNRC: 24-Sep, Soaring, Waatch Eff. </t>
  </si>
  <si>
    <t>GLE: Wait for Re-sale: RTVA 115, A_</t>
  </si>
  <si>
    <t>F: To decrease AP buy more at lower</t>
  </si>
  <si>
    <t>EZJ: Buy more ater plumet; 18-Jun-2</t>
  </si>
  <si>
    <t>ENI: Sell 2,000 from .002,wait 15.2</t>
  </si>
  <si>
    <t xml:space="preserve">BLNK: 0                            </t>
  </si>
  <si>
    <t xml:space="preserve">SAFMRNA: 0                         </t>
  </si>
  <si>
    <t>SAFIAG: Wait re-purchase at &gt;Av.Pri</t>
  </si>
  <si>
    <t>SAFGM: 1250 Sold at 47.905 rise exp</t>
  </si>
  <si>
    <t xml:space="preserve">SAFDIS: 0                          </t>
  </si>
  <si>
    <t xml:space="preserve">SAFDDD: 0                          </t>
  </si>
  <si>
    <t>SAFASML: Re-Purchase (888, going do</t>
  </si>
  <si>
    <t xml:space="preserve">SAFAMZN: 0                         </t>
  </si>
  <si>
    <t xml:space="preserve">SAFAAPL: Wait re-sale at &gt;Av.Price </t>
  </si>
  <si>
    <t xml:space="preserve">MVEUN0: 0                          </t>
  </si>
  <si>
    <t xml:space="preserve">MVESAP: Buy &lt; -189.44              </t>
  </si>
  <si>
    <t>MVERWE: Sale of 4,000 @30.82  8-7-C</t>
  </si>
  <si>
    <t xml:space="preserve">MVEORA: Soaring, VART 152, 10.91   </t>
  </si>
  <si>
    <t>MVEGLE: Wait Re-purchase &lt;Eff_P -23</t>
  </si>
  <si>
    <t xml:space="preserve">MVEEPIX: 0                         </t>
  </si>
  <si>
    <t>MVEENI: Wait SALE at &gt;Av.Price -15.</t>
  </si>
  <si>
    <t xml:space="preserve">MVEEOAN: 0                         </t>
  </si>
  <si>
    <t xml:space="preserve">MVEDSY: Watch Effective Price      </t>
  </si>
  <si>
    <t xml:space="preserve">MVEDDD: 0                          </t>
  </si>
  <si>
    <t xml:space="preserve">MVEALDNE: 0                        </t>
  </si>
  <si>
    <t xml:space="preserve">XPER: 0                            </t>
  </si>
  <si>
    <t xml:space="preserve">XOM: Buy more                      </t>
  </si>
  <si>
    <t xml:space="preserve">WBA: 0                             </t>
  </si>
  <si>
    <t xml:space="preserve">VTRS: 0                            </t>
  </si>
  <si>
    <t xml:space="preserve">VONN: 36.5: Hold and BUY cheaper   </t>
  </si>
  <si>
    <t xml:space="preserve">VLVLY: 0                           </t>
  </si>
  <si>
    <t xml:space="preserve">AVGO: Split 1:10 July 15           </t>
  </si>
  <si>
    <t xml:space="preserve">UNIT: 0                            </t>
  </si>
  <si>
    <t xml:space="preserve">UN0: 0                             </t>
  </si>
  <si>
    <t xml:space="preserve">TSM: Buy back at &lt;170              </t>
  </si>
  <si>
    <t xml:space="preserve">TSLA: 0                            </t>
  </si>
  <si>
    <t xml:space="preserve">SSYS: 0                            </t>
  </si>
  <si>
    <t xml:space="preserve">SHECY: 0                           </t>
  </si>
  <si>
    <t>SAP: RE-PURCHASE AT &lt;188.64 (IT WAS</t>
  </si>
  <si>
    <t xml:space="preserve">RWE: Wait re-purchase for gain GT  </t>
  </si>
  <si>
    <t xml:space="preserve">RIGL: Loss, trade to compensate    </t>
  </si>
  <si>
    <t>PW: Sell at M_Price &gt; 1.72, Check 1</t>
  </si>
  <si>
    <t xml:space="preserve">POET: Good PVA 1-2-3               </t>
  </si>
  <si>
    <t xml:space="preserve">PROF: Buy few to keep the position </t>
  </si>
  <si>
    <t xml:space="preserve">PAAS: 0                            </t>
  </si>
  <si>
    <t xml:space="preserve">NOTE: Expected plumet              </t>
  </si>
  <si>
    <t xml:space="preserve">NFLX: 0                            </t>
  </si>
  <si>
    <t xml:space="preserve">NEM: 0                             </t>
  </si>
  <si>
    <t xml:space="preserve">NEE: 7-1-0@B0, 77.53               </t>
  </si>
  <si>
    <t>MSFT: Buy 3,000 to equal original n</t>
  </si>
  <si>
    <t>MRNA: Hold, wait M_Price &gt; Eff-Pric</t>
  </si>
  <si>
    <t>LUMN: Soaring, 6.39 today (14/8/24:</t>
  </si>
  <si>
    <t xml:space="preserve">LNSR: 0                            </t>
  </si>
  <si>
    <t xml:space="preserve">KR: Accumulate # stock &gt;5000       </t>
  </si>
  <si>
    <t>IAG: Expected rise (bought +99Kx167</t>
  </si>
  <si>
    <t xml:space="preserve">HPQ: 0                             </t>
  </si>
  <si>
    <t xml:space="preserve">HPE: 9/19/2024: Expected rise 115, </t>
  </si>
  <si>
    <t xml:space="preserve">GM: 0                              </t>
  </si>
  <si>
    <t>EPIX: SELL more to close the positi</t>
  </si>
  <si>
    <t xml:space="preserve">EOAN: 0                            </t>
  </si>
  <si>
    <t xml:space="preserve">DXC: 0                             </t>
  </si>
  <si>
    <t xml:space="preserve">DVA: Buy Again, sold at 150.64     </t>
  </si>
  <si>
    <t xml:space="preserve">DSY: Watch Effective Price!        </t>
  </si>
  <si>
    <t xml:space="preserve">DIS: 0                             </t>
  </si>
  <si>
    <t xml:space="preserve">DDD: 0                             </t>
  </si>
  <si>
    <t xml:space="preserve">CVS: Dividend 22/7 4.68%           </t>
  </si>
  <si>
    <t>CSCO: Bought early august 1000 at 4</t>
  </si>
  <si>
    <t xml:space="preserve">C: 0                              </t>
  </si>
  <si>
    <t xml:space="preserve">BMRA: 0                            </t>
  </si>
  <si>
    <t xml:space="preserve">BLDP: 0                            </t>
  </si>
  <si>
    <t xml:space="preserve">AZN: 0                             </t>
  </si>
  <si>
    <t xml:space="preserve">ASML: Re-Purchase                  </t>
  </si>
  <si>
    <t xml:space="preserve">ALDNE: 0                           </t>
  </si>
  <si>
    <t xml:space="preserve">AMZN: 0                            </t>
  </si>
  <si>
    <t>AET: 1Y-T 63: now in plumet, BUY mo</t>
  </si>
  <si>
    <t xml:space="preserve">ADEA: 0                            </t>
  </si>
  <si>
    <t xml:space="preserve">AAPL: Apple Test                   </t>
  </si>
  <si>
    <t>Column6</t>
  </si>
  <si>
    <t>Column5</t>
  </si>
  <si>
    <t>MarkUP</t>
  </si>
  <si>
    <t>RevenueMA</t>
  </si>
  <si>
    <t>Agio</t>
  </si>
  <si>
    <t>Expectation</t>
  </si>
  <si>
    <t>Date</t>
  </si>
  <si>
    <t>MSGSTicker</t>
  </si>
  <si>
    <t>Formula in AAPL</t>
  </si>
  <si>
    <t>Formulas for AAPL</t>
  </si>
  <si>
    <t>Yesterday</t>
  </si>
  <si>
    <t>MVEENI2</t>
  </si>
  <si>
    <t>MVEENI1</t>
  </si>
  <si>
    <t>MVEENI</t>
  </si>
  <si>
    <t>LOCK2</t>
  </si>
  <si>
    <t>LOCK1</t>
  </si>
  <si>
    <t>JBEOAN2</t>
  </si>
  <si>
    <t>JBEOAN1</t>
  </si>
  <si>
    <t>JBEOAN</t>
  </si>
  <si>
    <t>X2</t>
  </si>
  <si>
    <t>X1</t>
  </si>
  <si>
    <t>X</t>
  </si>
  <si>
    <t>THC2</t>
  </si>
  <si>
    <t>THC1</t>
  </si>
  <si>
    <t>THC</t>
  </si>
  <si>
    <t>XYZ2</t>
  </si>
  <si>
    <t>XYZ1</t>
  </si>
  <si>
    <t>XYZ</t>
  </si>
  <si>
    <t>RRC2</t>
  </si>
  <si>
    <t>RRC1</t>
  </si>
  <si>
    <t>RRC</t>
  </si>
  <si>
    <t>RIG2</t>
  </si>
  <si>
    <t>RIG1</t>
  </si>
  <si>
    <t>RIG</t>
  </si>
  <si>
    <t>PFE2</t>
  </si>
  <si>
    <t>PFE1</t>
  </si>
  <si>
    <t>PFE</t>
  </si>
  <si>
    <t>OXY2</t>
  </si>
  <si>
    <t>OXY1</t>
  </si>
  <si>
    <t>OXY</t>
  </si>
  <si>
    <t>ORA2</t>
  </si>
  <si>
    <t>ORA1</t>
  </si>
  <si>
    <t>ORA</t>
  </si>
  <si>
    <t>NVS2</t>
  </si>
  <si>
    <t>NVS1</t>
  </si>
  <si>
    <t>NVS</t>
  </si>
  <si>
    <t>NVAX2</t>
  </si>
  <si>
    <t>NVAX1</t>
  </si>
  <si>
    <t>NVAX</t>
  </si>
  <si>
    <t>MA2</t>
  </si>
  <si>
    <t>MA1</t>
  </si>
  <si>
    <t>MA</t>
  </si>
  <si>
    <t>LUV2</t>
  </si>
  <si>
    <t>LUV1</t>
  </si>
  <si>
    <t>LUV</t>
  </si>
  <si>
    <t>LAZR2</t>
  </si>
  <si>
    <t>LAZR1</t>
  </si>
  <si>
    <t>LAZR</t>
  </si>
  <si>
    <t>GS2</t>
  </si>
  <si>
    <t>GS1</t>
  </si>
  <si>
    <t>GS</t>
  </si>
  <si>
    <t>GNRC2</t>
  </si>
  <si>
    <t>GNRC1</t>
  </si>
  <si>
    <t>GNRC</t>
  </si>
  <si>
    <t>GLE2</t>
  </si>
  <si>
    <t>GLE1</t>
  </si>
  <si>
    <t>GLE</t>
  </si>
  <si>
    <t>F2</t>
  </si>
  <si>
    <t>F1</t>
  </si>
  <si>
    <t>F</t>
  </si>
  <si>
    <t>EZJ2</t>
  </si>
  <si>
    <t>EZJ1</t>
  </si>
  <si>
    <t>EZJ</t>
  </si>
  <si>
    <t>ENI2</t>
  </si>
  <si>
    <t>ENI1</t>
  </si>
  <si>
    <t>ENI</t>
  </si>
  <si>
    <t>BLNK2</t>
  </si>
  <si>
    <t>BLNK1</t>
  </si>
  <si>
    <t>BLNK</t>
  </si>
  <si>
    <t>SAFMRNA2</t>
  </si>
  <si>
    <t>SAFMRNA1</t>
  </si>
  <si>
    <t>SAFMRNA</t>
  </si>
  <si>
    <t>SAFIAG2</t>
  </si>
  <si>
    <t>SAFIAG1</t>
  </si>
  <si>
    <t>SAFIAG</t>
  </si>
  <si>
    <t>SAFGM2</t>
  </si>
  <si>
    <t>SAFGM1</t>
  </si>
  <si>
    <t>SAFGM</t>
  </si>
  <si>
    <t>SAFDIS2</t>
  </si>
  <si>
    <t>SAFDIS1</t>
  </si>
  <si>
    <t>SAFDIS</t>
  </si>
  <si>
    <t>SAFDDD2</t>
  </si>
  <si>
    <t>SAFDDD1</t>
  </si>
  <si>
    <t>SAFDDD</t>
  </si>
  <si>
    <t>SAFASML2</t>
  </si>
  <si>
    <t>SAFASML1</t>
  </si>
  <si>
    <t>SAFASML</t>
  </si>
  <si>
    <t>SAFAMZN2</t>
  </si>
  <si>
    <t>SAFAMZN1</t>
  </si>
  <si>
    <t>SAFAMZN</t>
  </si>
  <si>
    <t>SAFAAPL2</t>
  </si>
  <si>
    <t>SAFAAPL1</t>
  </si>
  <si>
    <t>SAFAAPL</t>
  </si>
  <si>
    <t>MVEUN02</t>
  </si>
  <si>
    <t>MVEUN01</t>
  </si>
  <si>
    <t>MVEUN0</t>
  </si>
  <si>
    <t>MVESAP2</t>
  </si>
  <si>
    <t>MVESAP1</t>
  </si>
  <si>
    <t>MVESAP</t>
  </si>
  <si>
    <t>MVERWE2</t>
  </si>
  <si>
    <t>MVERWE1</t>
  </si>
  <si>
    <t>MVERWE</t>
  </si>
  <si>
    <t>MVEORA2</t>
  </si>
  <si>
    <t>MVEORA1</t>
  </si>
  <si>
    <t>MVEORA</t>
  </si>
  <si>
    <t>MVEGLE2</t>
  </si>
  <si>
    <t>MVEGLE1</t>
  </si>
  <si>
    <t>MVEGLE</t>
  </si>
  <si>
    <t>MVEEPIX2</t>
  </si>
  <si>
    <t>MVEEPIX1</t>
  </si>
  <si>
    <t>MVEEPIX</t>
  </si>
  <si>
    <t>MVEEOAN2</t>
  </si>
  <si>
    <t>MVEEOAN1</t>
  </si>
  <si>
    <t>MVEEOAN</t>
  </si>
  <si>
    <t>MVEDSY2</t>
  </si>
  <si>
    <t>MVEDSY1</t>
  </si>
  <si>
    <t>MVEDSY</t>
  </si>
  <si>
    <t>MVEDDD2</t>
  </si>
  <si>
    <t>MVEDDD1</t>
  </si>
  <si>
    <t>MVEDDD</t>
  </si>
  <si>
    <t>MVEALDNE2</t>
  </si>
  <si>
    <t>MVEALDNE1</t>
  </si>
  <si>
    <t>MVEALDNE</t>
  </si>
  <si>
    <t>XPER2</t>
  </si>
  <si>
    <t>XPER1</t>
  </si>
  <si>
    <t>XPER</t>
  </si>
  <si>
    <t>XOM2</t>
  </si>
  <si>
    <t>XOM1</t>
  </si>
  <si>
    <t>XOM</t>
  </si>
  <si>
    <t>WBA2</t>
  </si>
  <si>
    <t>WBA1</t>
  </si>
  <si>
    <t>WBA</t>
  </si>
  <si>
    <t>VTRS2</t>
  </si>
  <si>
    <t>VTRS1</t>
  </si>
  <si>
    <t>VTRS</t>
  </si>
  <si>
    <t>VONN2</t>
  </si>
  <si>
    <t>VONN1</t>
  </si>
  <si>
    <t>VONN</t>
  </si>
  <si>
    <t>VLVLY2</t>
  </si>
  <si>
    <t>VLVLY1</t>
  </si>
  <si>
    <t>VLVLY</t>
  </si>
  <si>
    <t>AVGO2</t>
  </si>
  <si>
    <t>AVGO1</t>
  </si>
  <si>
    <t>AVGO</t>
  </si>
  <si>
    <t>UNIT2</t>
  </si>
  <si>
    <t>UNIT1</t>
  </si>
  <si>
    <t>UNIT</t>
  </si>
  <si>
    <t>UN02</t>
  </si>
  <si>
    <t>UN01</t>
  </si>
  <si>
    <t>UN0</t>
  </si>
  <si>
    <t>TSM2</t>
  </si>
  <si>
    <t>TSM1</t>
  </si>
  <si>
    <t>TSM</t>
  </si>
  <si>
    <t>TSLA2</t>
  </si>
  <si>
    <t>TSLA1</t>
  </si>
  <si>
    <t>TSLA</t>
  </si>
  <si>
    <t>SSYS2</t>
  </si>
  <si>
    <t>SSYS1</t>
  </si>
  <si>
    <t>SSYS</t>
  </si>
  <si>
    <t>SHECY2</t>
  </si>
  <si>
    <t>SHECY1</t>
  </si>
  <si>
    <t>SHECY</t>
  </si>
  <si>
    <t>SAP2</t>
  </si>
  <si>
    <t>SAP1</t>
  </si>
  <si>
    <t>SAP</t>
  </si>
  <si>
    <t>RWE2</t>
  </si>
  <si>
    <t>RWE1</t>
  </si>
  <si>
    <t>RWE</t>
  </si>
  <si>
    <t>RIGL2</t>
  </si>
  <si>
    <t>RIGL1</t>
  </si>
  <si>
    <t>RIGL</t>
  </si>
  <si>
    <t>PW2</t>
  </si>
  <si>
    <t>PW1</t>
  </si>
  <si>
    <t>PW</t>
  </si>
  <si>
    <t>POET2</t>
  </si>
  <si>
    <t>POET1</t>
  </si>
  <si>
    <t>POET</t>
  </si>
  <si>
    <t>PROF2</t>
  </si>
  <si>
    <t>PROF1</t>
  </si>
  <si>
    <t>PROF</t>
  </si>
  <si>
    <t>PAAS2</t>
  </si>
  <si>
    <t>PAAS1</t>
  </si>
  <si>
    <t>PAAS</t>
  </si>
  <si>
    <t>NOTE2</t>
  </si>
  <si>
    <t>NOTE1</t>
  </si>
  <si>
    <t>NOTE</t>
  </si>
  <si>
    <t>NFLX2</t>
  </si>
  <si>
    <t>NFLX1</t>
  </si>
  <si>
    <t>NFLX</t>
  </si>
  <si>
    <t>NEM2</t>
  </si>
  <si>
    <t>NEM1</t>
  </si>
  <si>
    <t>NEM</t>
  </si>
  <si>
    <t>NEE2</t>
  </si>
  <si>
    <t>NEE1</t>
  </si>
  <si>
    <t>NEE</t>
  </si>
  <si>
    <t>MSFT2</t>
  </si>
  <si>
    <t>MSFT1</t>
  </si>
  <si>
    <t>MSFT</t>
  </si>
  <si>
    <t>MRNA2</t>
  </si>
  <si>
    <t>MRNA1</t>
  </si>
  <si>
    <t>MRNA</t>
  </si>
  <si>
    <t>LUMN2</t>
  </si>
  <si>
    <t>LUMN1</t>
  </si>
  <si>
    <t>LUMN</t>
  </si>
  <si>
    <t>LNSR2</t>
  </si>
  <si>
    <t>LNSR1</t>
  </si>
  <si>
    <t>LNSR</t>
  </si>
  <si>
    <t>KR2</t>
  </si>
  <si>
    <t>KR1</t>
  </si>
  <si>
    <t>KR</t>
  </si>
  <si>
    <t>IAG2</t>
  </si>
  <si>
    <t>IAG1</t>
  </si>
  <si>
    <t>IAG</t>
  </si>
  <si>
    <t>HPQ2</t>
  </si>
  <si>
    <t>HPQ1</t>
  </si>
  <si>
    <t>HPQ</t>
  </si>
  <si>
    <t>HPE2</t>
  </si>
  <si>
    <t>HPE1</t>
  </si>
  <si>
    <t>HPE</t>
  </si>
  <si>
    <t>GM2</t>
  </si>
  <si>
    <t>GM1</t>
  </si>
  <si>
    <t>GM</t>
  </si>
  <si>
    <t>EPIX2</t>
  </si>
  <si>
    <t>EPIX1</t>
  </si>
  <si>
    <t>EPIX</t>
  </si>
  <si>
    <t>EOAN2</t>
  </si>
  <si>
    <t>EOAN1</t>
  </si>
  <si>
    <t>EOAN</t>
  </si>
  <si>
    <t>DXC2</t>
  </si>
  <si>
    <t>DXC1</t>
  </si>
  <si>
    <t>DXC</t>
  </si>
  <si>
    <t>DVA2</t>
  </si>
  <si>
    <t>DVA1</t>
  </si>
  <si>
    <t>DVA</t>
  </si>
  <si>
    <t>DSY2</t>
  </si>
  <si>
    <t>DSY1</t>
  </si>
  <si>
    <t>DSY</t>
  </si>
  <si>
    <t>DIS2</t>
  </si>
  <si>
    <t>DIS1</t>
  </si>
  <si>
    <t>DIS</t>
  </si>
  <si>
    <t>DDD2</t>
  </si>
  <si>
    <t>DDD1</t>
  </si>
  <si>
    <t>DDD</t>
  </si>
  <si>
    <t>CVS2</t>
  </si>
  <si>
    <t>CVS1</t>
  </si>
  <si>
    <t>CVS</t>
  </si>
  <si>
    <t>CSCO2</t>
  </si>
  <si>
    <t>CSCO1</t>
  </si>
  <si>
    <t>CSCO</t>
  </si>
  <si>
    <t>C2</t>
  </si>
  <si>
    <t>C1</t>
  </si>
  <si>
    <t>C</t>
  </si>
  <si>
    <t>BMRA2</t>
  </si>
  <si>
    <t>BMRA1</t>
  </si>
  <si>
    <t>BMRA</t>
  </si>
  <si>
    <t>BLDP2</t>
  </si>
  <si>
    <t>BLDP1</t>
  </si>
  <si>
    <t>BLDP</t>
  </si>
  <si>
    <t>AZN2</t>
  </si>
  <si>
    <t>AZN1</t>
  </si>
  <si>
    <t>AZN</t>
  </si>
  <si>
    <t>ASML3</t>
  </si>
  <si>
    <t>ASML22</t>
  </si>
  <si>
    <t>ASML23</t>
  </si>
  <si>
    <t>ASML2</t>
  </si>
  <si>
    <t>ASML1</t>
  </si>
  <si>
    <t>ASML</t>
  </si>
  <si>
    <t>ALDNE2</t>
  </si>
  <si>
    <t>ALDNE1</t>
  </si>
  <si>
    <t>ALDNE</t>
  </si>
  <si>
    <t>AMZN2</t>
  </si>
  <si>
    <t>AMZN1</t>
  </si>
  <si>
    <t>AMZN</t>
  </si>
  <si>
    <t>AET2</t>
  </si>
  <si>
    <t>AET1</t>
  </si>
  <si>
    <t>AET</t>
  </si>
  <si>
    <t>ADEA2</t>
  </si>
  <si>
    <t>ADEA1</t>
  </si>
  <si>
    <t>ADEA</t>
  </si>
  <si>
    <t>AAPL2</t>
  </si>
  <si>
    <t>AAPL1</t>
  </si>
  <si>
    <t>AAPL</t>
  </si>
  <si>
    <t>RegIndex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</si>
</sst>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41" formatCode="_(* #,##0_);_(* \(#,##0\);_(* &quot;-&quot;_);_(@_)"/>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 numFmtId="181" formatCode="[$-409]d\-mmm;@"/>
    <numFmt numFmtId="182" formatCode="#.00;[Red]\-#.00;;@"/>
    <numFmt numFmtId="183" formatCode="0_);[Red]\(0\)"/>
  </numFmts>
  <fonts count="38"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
      <sz val="16"/>
      <color rgb="FF000000"/>
      <name val="Calibri"/>
      <family val="2"/>
    </font>
    <font>
      <sz val="16"/>
      <color rgb="FF9C0006"/>
      <name val="Calibri"/>
      <family val="2"/>
    </font>
    <font>
      <b/>
      <sz val="16"/>
      <color rgb="FFFFFFFF"/>
      <name val="Calibri"/>
      <family val="2"/>
    </font>
    <font>
      <sz val="16"/>
      <color theme="0" tint="-0.14999847407452621"/>
      <name val="Aptos Narrow"/>
      <family val="2"/>
      <scheme val="minor"/>
    </font>
    <font>
      <sz val="16"/>
      <color theme="5"/>
      <name val="Aptos Narrow"/>
      <family val="2"/>
      <scheme val="minor"/>
    </font>
    <font>
      <b/>
      <sz val="16"/>
      <color theme="5"/>
      <name val="Aptos Narrow"/>
      <family val="2"/>
      <scheme val="minor"/>
    </font>
    <font>
      <b/>
      <sz val="16"/>
      <color theme="5"/>
      <name val="Aptos Narrow"/>
      <scheme val="minor"/>
    </font>
    <font>
      <sz val="16"/>
      <color theme="3" tint="0.249977111117893"/>
      <name val="Aptos Narrow"/>
      <family val="2"/>
      <scheme val="minor"/>
    </font>
    <font>
      <b/>
      <sz val="16"/>
      <color theme="3" tint="0.249977111117893"/>
      <name val="Aptos Narrow"/>
      <family val="2"/>
      <scheme val="minor"/>
    </font>
  </fonts>
  <fills count="26">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4472C4"/>
        <bgColor rgb="FF4472C4"/>
      </patternFill>
    </fill>
    <fill>
      <patternFill patternType="solid">
        <fgColor rgb="FFFFC7CE"/>
        <bgColor rgb="FF000000"/>
      </patternFill>
    </fill>
    <fill>
      <patternFill patternType="solid">
        <fgColor rgb="FFFFC000"/>
        <bgColor rgb="FF000000"/>
      </patternFill>
    </fill>
    <fill>
      <patternFill patternType="solid">
        <fgColor rgb="FFFFFF00"/>
        <bgColor rgb="FF000000"/>
      </patternFill>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0" tint="-0.14999847407452621"/>
        <bgColor theme="4" tint="0.79998168889431442"/>
      </patternFill>
    </fill>
    <fill>
      <patternFill patternType="solid">
        <fgColor theme="7" tint="0.39997558519241921"/>
        <bgColor theme="4" tint="0.79998168889431442"/>
      </patternFill>
    </fill>
    <fill>
      <patternFill patternType="solid">
        <fgColor theme="4"/>
        <bgColor theme="4"/>
      </patternFill>
    </fill>
  </fills>
  <borders count="20">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209">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xf numFmtId="0" fontId="29" fillId="0" borderId="0" xfId="0" applyFont="1"/>
    <xf numFmtId="38" fontId="0" fillId="0" borderId="0" xfId="0" applyNumberFormat="1"/>
    <xf numFmtId="180" fontId="0" fillId="0" borderId="0" xfId="2" applyNumberFormat="1" applyFont="1"/>
    <xf numFmtId="177" fontId="30" fillId="18" borderId="2" xfId="1" applyNumberFormat="1" applyFont="1" applyFill="1" applyBorder="1" applyAlignment="1">
      <alignment horizontal="center"/>
    </xf>
    <xf numFmtId="165" fontId="29" fillId="6" borderId="2" xfId="0" applyNumberFormat="1" applyFont="1" applyFill="1" applyBorder="1"/>
    <xf numFmtId="0" fontId="29" fillId="6" borderId="9" xfId="0" applyFont="1" applyFill="1" applyBorder="1"/>
    <xf numFmtId="177" fontId="29" fillId="19" borderId="2" xfId="1" applyNumberFormat="1" applyFont="1" applyFill="1" applyBorder="1" applyAlignment="1">
      <alignment horizontal="center"/>
    </xf>
    <xf numFmtId="177" fontId="29" fillId="20" borderId="10" xfId="1" applyNumberFormat="1" applyFont="1" applyFill="1" applyBorder="1" applyAlignment="1">
      <alignment horizontal="center"/>
    </xf>
    <xf numFmtId="9" fontId="0" fillId="21" borderId="0" xfId="2" applyFont="1" applyFill="1"/>
    <xf numFmtId="38" fontId="0" fillId="21" borderId="0" xfId="0" applyNumberFormat="1" applyFill="1"/>
    <xf numFmtId="9" fontId="0" fillId="21" borderId="0" xfId="0" applyNumberFormat="1" applyFill="1"/>
    <xf numFmtId="180" fontId="0" fillId="21" borderId="0" xfId="2" applyNumberFormat="1" applyFont="1" applyFill="1"/>
    <xf numFmtId="177" fontId="29" fillId="20" borderId="12" xfId="1" applyNumberFormat="1" applyFont="1" applyFill="1" applyBorder="1" applyAlignment="1">
      <alignment horizontal="center"/>
    </xf>
    <xf numFmtId="0" fontId="31" fillId="17" borderId="9" xfId="0" applyFont="1" applyFill="1" applyBorder="1" applyAlignment="1">
      <alignment horizontal="center"/>
    </xf>
    <xf numFmtId="0" fontId="31" fillId="17" borderId="2" xfId="0" applyFont="1" applyFill="1" applyBorder="1"/>
    <xf numFmtId="181" fontId="29" fillId="20" borderId="12" xfId="0" applyNumberFormat="1" applyFont="1" applyFill="1" applyBorder="1" applyAlignment="1">
      <alignment horizontal="center"/>
    </xf>
    <xf numFmtId="181" fontId="29" fillId="19" borderId="10" xfId="0" applyNumberFormat="1" applyFont="1" applyFill="1" applyBorder="1" applyAlignment="1">
      <alignment horizontal="center"/>
    </xf>
    <xf numFmtId="165" fontId="0" fillId="0" borderId="8" xfId="1" applyNumberFormat="1" applyFont="1" applyBorder="1"/>
    <xf numFmtId="38" fontId="0" fillId="22" borderId="0" xfId="0" applyNumberFormat="1" applyFill="1"/>
    <xf numFmtId="0" fontId="0" fillId="22" borderId="0" xfId="0" applyFill="1"/>
    <xf numFmtId="38" fontId="0" fillId="22" borderId="8" xfId="0" applyNumberFormat="1" applyFill="1" applyBorder="1"/>
    <xf numFmtId="3" fontId="32" fillId="0" borderId="0" xfId="0" applyNumberFormat="1" applyFont="1"/>
    <xf numFmtId="43" fontId="0" fillId="22" borderId="8" xfId="0" applyNumberFormat="1" applyFill="1" applyBorder="1"/>
    <xf numFmtId="41" fontId="0" fillId="22" borderId="8" xfId="0" applyNumberFormat="1" applyFill="1" applyBorder="1"/>
    <xf numFmtId="3" fontId="0" fillId="22" borderId="8" xfId="0" applyNumberFormat="1" applyFill="1" applyBorder="1"/>
    <xf numFmtId="165" fontId="1" fillId="0" borderId="8" xfId="0" applyNumberFormat="1" applyFont="1" applyBorder="1"/>
    <xf numFmtId="0" fontId="0" fillId="22" borderId="8" xfId="0" applyFill="1" applyBorder="1"/>
    <xf numFmtId="40" fontId="32" fillId="0" borderId="8" xfId="0" applyNumberFormat="1" applyFont="1" applyBorder="1"/>
    <xf numFmtId="182" fontId="0" fillId="0" borderId="8" xfId="0" applyNumberFormat="1" applyBorder="1"/>
    <xf numFmtId="41" fontId="0" fillId="0" borderId="8" xfId="1" applyNumberFormat="1" applyFont="1" applyBorder="1"/>
    <xf numFmtId="38" fontId="0" fillId="22" borderId="0" xfId="1" applyNumberFormat="1" applyFont="1" applyFill="1"/>
    <xf numFmtId="43" fontId="0" fillId="22" borderId="8" xfId="1" applyFont="1" applyFill="1" applyBorder="1"/>
    <xf numFmtId="3" fontId="0" fillId="0" borderId="8" xfId="1" applyNumberFormat="1" applyFont="1" applyBorder="1"/>
    <xf numFmtId="165" fontId="0" fillId="0" borderId="0" xfId="1" applyNumberFormat="1" applyFont="1" applyBorder="1"/>
    <xf numFmtId="38" fontId="0" fillId="22" borderId="8" xfId="1" applyNumberFormat="1" applyFont="1" applyFill="1" applyBorder="1"/>
    <xf numFmtId="0" fontId="4" fillId="9" borderId="8" xfId="0" applyFont="1" applyFill="1" applyBorder="1" applyAlignment="1">
      <alignment horizontal="center"/>
    </xf>
    <xf numFmtId="0" fontId="4" fillId="0" borderId="8" xfId="0" applyFont="1" applyBorder="1" applyAlignment="1">
      <alignment horizontal="center"/>
    </xf>
    <xf numFmtId="3" fontId="0" fillId="22" borderId="8" xfId="1" applyNumberFormat="1" applyFont="1" applyFill="1" applyBorder="1"/>
    <xf numFmtId="43" fontId="0" fillId="0" borderId="8" xfId="1" applyFont="1" applyBorder="1"/>
    <xf numFmtId="38" fontId="0" fillId="23" borderId="8" xfId="1" applyNumberFormat="1" applyFont="1" applyFill="1" applyBorder="1"/>
    <xf numFmtId="40" fontId="0" fillId="22" borderId="8" xfId="1" applyNumberFormat="1" applyFont="1" applyFill="1" applyBorder="1"/>
    <xf numFmtId="40" fontId="0" fillId="0" borderId="8" xfId="1" applyNumberFormat="1" applyFont="1" applyBorder="1"/>
    <xf numFmtId="40" fontId="0" fillId="0" borderId="0" xfId="0" applyNumberFormat="1"/>
    <xf numFmtId="183" fontId="4" fillId="0" borderId="8" xfId="0" applyNumberFormat="1" applyFont="1" applyBorder="1" applyAlignment="1">
      <alignment horizontal="center"/>
    </xf>
    <xf numFmtId="0" fontId="33" fillId="0" borderId="0" xfId="0" applyFont="1"/>
    <xf numFmtId="165" fontId="34" fillId="24" borderId="18" xfId="0" applyNumberFormat="1" applyFont="1" applyFill="1" applyBorder="1"/>
    <xf numFmtId="165" fontId="34" fillId="9" borderId="18" xfId="0" applyNumberFormat="1" applyFont="1" applyFill="1" applyBorder="1"/>
    <xf numFmtId="165" fontId="34" fillId="24" borderId="0" xfId="0" applyNumberFormat="1" applyFont="1" applyFill="1"/>
    <xf numFmtId="166" fontId="34" fillId="9" borderId="18" xfId="1" applyNumberFormat="1" applyFont="1" applyFill="1" applyBorder="1"/>
    <xf numFmtId="0" fontId="35" fillId="25" borderId="0" xfId="0" applyFont="1" applyFill="1" applyAlignment="1">
      <alignment horizontal="center"/>
    </xf>
    <xf numFmtId="0" fontId="36" fillId="0" borderId="0" xfId="0" applyFont="1"/>
    <xf numFmtId="0" fontId="37" fillId="25" borderId="8" xfId="0" applyFont="1" applyFill="1" applyBorder="1"/>
    <xf numFmtId="0" fontId="37" fillId="25" borderId="19" xfId="0" applyFont="1" applyFill="1" applyBorder="1"/>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634">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5" formatCode="_(* #,##0.00_);_(* \(#,##0.0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solid">
          <fgColor indexed="64"/>
          <bgColor theme="0" tint="-0.14999847407452621"/>
        </patternFill>
      </fill>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82"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82" formatCode="#.00;[Red]\-#.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82"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8"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rgb="FFFF0000"/>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numFmt numFmtId="3" formatCode="#,##0"/>
      <fill>
        <patternFill patternType="solid">
          <fgColor indexed="64"/>
          <bgColor theme="0" tint="-0.14999847407452621"/>
        </patternFill>
      </fill>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indexed="64"/>
          <bgColor theme="0" tint="-0.14999847407452621"/>
        </patternFill>
      </fill>
    </dxf>
    <dxf>
      <font>
        <b/>
        <i val="0"/>
        <strike val="0"/>
        <condense val="0"/>
        <extend val="0"/>
        <outline val="0"/>
        <shadow val="0"/>
        <u val="none"/>
        <vertAlign val="baseline"/>
        <sz val="16"/>
        <color theme="5"/>
        <name val="Aptos Narrow"/>
        <family val="2"/>
        <scheme val="minor"/>
      </font>
      <numFmt numFmtId="165" formatCode="0.00_);[Red]\(0.00\)"/>
      <fill>
        <patternFill patternType="solid">
          <fgColor theme="4" tint="0.79998168889431442"/>
          <bgColor theme="7" tint="0.39997558519241921"/>
        </patternFill>
      </fill>
    </dxf>
    <dxf>
      <numFmt numFmtId="6" formatCode="#,##0_);[Red]\(#,##0\)"/>
    </dxf>
    <dxf>
      <numFmt numFmtId="13" formatCode="0%"/>
    </dxf>
    <dxf>
      <numFmt numFmtId="180"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77"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5"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006100"/>
      </font>
      <fill>
        <patternFill>
          <bgColor rgb="FFC6EFCE"/>
        </patternFill>
      </fill>
    </dxf>
    <dxf>
      <font>
        <color rgb="FF9C0006"/>
      </font>
      <fill>
        <patternFill>
          <bgColor rgb="FFFFC7CE"/>
        </patternFill>
      </fill>
    </dxf>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633"/>
      <tableStyleElement type="headerRow" dxfId="632"/>
      <tableStyleElement type="totalRow" dxfId="631"/>
      <tableStyleElement type="firstColumn" dxfId="630"/>
      <tableStyleElement type="lastColumn" dxfId="629"/>
      <tableStyleElement type="firstRowStripe" dxfId="628"/>
      <tableStyleElement type="firstColumnStripe" dxfId="6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ichStyles" Target="richData/richStyle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17/06/relationships/rdRichValue" Target="richData/rdrichvalue.xml"/><Relationship Id="rId5" Type="http://schemas.openxmlformats.org/officeDocument/2006/relationships/externalLink" Target="externalLinks/externalLink1.xml"/><Relationship Id="rId15" Type="http://schemas.microsoft.com/office/2017/06/relationships/rdSupportingPropertyBag" Target="richData/rdsupportingpropertybag.xml"/><Relationship Id="rId10" Type="http://schemas.openxmlformats.org/officeDocument/2006/relationships/sheetMetadata" Target="metadata.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drawing1.xml><?xml version="1.0" encoding="utf-8"?>
<xdr:wsDr xmlns:xdr="http://schemas.openxmlformats.org/drawingml/2006/spreadsheetDrawing" xmlns:a="http://schemas.openxmlformats.org/drawingml/2006/main">
  <xdr:oneCellAnchor>
    <xdr:from>
      <xdr:col>3</xdr:col>
      <xdr:colOff>0</xdr:colOff>
      <xdr:row>112</xdr:row>
      <xdr:rowOff>63500</xdr:rowOff>
    </xdr:from>
    <xdr:ext cx="0" cy="360"/>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5A3D4910-B325-5B42-8EA3-A12C8A3EE0A8}"/>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xlsm" TargetMode="External"/><Relationship Id="rId1" Type="http://schemas.openxmlformats.org/officeDocument/2006/relationships/externalLinkPath" Target="Speedy.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s>
    <sheetDataSet>
      <sheetData sheetId="0">
        <row r="3">
          <cell r="E3">
            <v>0.9</v>
          </cell>
          <cell r="F3">
            <v>0.8</v>
          </cell>
        </row>
        <row r="4">
          <cell r="E4">
            <v>1.1000000000000001</v>
          </cell>
          <cell r="F4">
            <v>1.2</v>
          </cell>
        </row>
      </sheetData>
      <sheetData sheetId="1"/>
      <sheetData sheetId="2"/>
      <sheetData sheetId="3"/>
      <sheetData sheetId="4"/>
      <sheetData sheetId="5">
        <row r="15">
          <cell r="Y15" t="str">
            <v>UU</v>
          </cell>
        </row>
        <row r="55">
          <cell r="L55">
            <v>0.35294117647058826</v>
          </cell>
          <cell r="M55">
            <v>0.6470588235294118</v>
          </cell>
          <cell r="N55">
            <v>0</v>
          </cell>
          <cell r="O55">
            <v>0</v>
          </cell>
          <cell r="P55">
            <v>0</v>
          </cell>
          <cell r="Q55">
            <v>0</v>
          </cell>
          <cell r="R55">
            <v>0</v>
          </cell>
          <cell r="S55">
            <v>0</v>
          </cell>
        </row>
        <row r="56">
          <cell r="L56">
            <v>0</v>
          </cell>
          <cell r="M56">
            <v>0</v>
          </cell>
          <cell r="N56">
            <v>0.52631578947368418</v>
          </cell>
          <cell r="O56">
            <v>0.47368421052631576</v>
          </cell>
          <cell r="P56">
            <v>0</v>
          </cell>
          <cell r="Q56">
            <v>0</v>
          </cell>
          <cell r="R56">
            <v>0</v>
          </cell>
          <cell r="S56">
            <v>0</v>
          </cell>
        </row>
        <row r="57">
          <cell r="L57">
            <v>0</v>
          </cell>
          <cell r="M57">
            <v>0</v>
          </cell>
          <cell r="N57">
            <v>0</v>
          </cell>
          <cell r="O57">
            <v>0</v>
          </cell>
          <cell r="P57">
            <v>0.45454545454545453</v>
          </cell>
          <cell r="Q57">
            <v>0.54545454545454541</v>
          </cell>
          <cell r="R57">
            <v>0</v>
          </cell>
          <cell r="S57">
            <v>0</v>
          </cell>
        </row>
        <row r="58">
          <cell r="L58">
            <v>0</v>
          </cell>
          <cell r="M58">
            <v>0</v>
          </cell>
          <cell r="N58">
            <v>0</v>
          </cell>
          <cell r="O58">
            <v>0</v>
          </cell>
          <cell r="P58">
            <v>0</v>
          </cell>
          <cell r="Q58">
            <v>0</v>
          </cell>
          <cell r="R58">
            <v>0.35714285714285715</v>
          </cell>
          <cell r="S58">
            <v>0.6428571428571429</v>
          </cell>
        </row>
        <row r="59">
          <cell r="L59">
            <v>0.57894736842105265</v>
          </cell>
          <cell r="M59">
            <v>0.42105263157894735</v>
          </cell>
          <cell r="N59">
            <v>0</v>
          </cell>
          <cell r="O59">
            <v>0</v>
          </cell>
          <cell r="P59">
            <v>0</v>
          </cell>
          <cell r="Q59">
            <v>0</v>
          </cell>
          <cell r="R59">
            <v>0</v>
          </cell>
          <cell r="S59">
            <v>0</v>
          </cell>
        </row>
        <row r="60">
          <cell r="L60">
            <v>0</v>
          </cell>
          <cell r="M60">
            <v>0</v>
          </cell>
          <cell r="N60">
            <v>0.66666666666666663</v>
          </cell>
          <cell r="O60">
            <v>0.33333333333333331</v>
          </cell>
          <cell r="P60">
            <v>0</v>
          </cell>
          <cell r="Q60">
            <v>0</v>
          </cell>
          <cell r="R60">
            <v>0</v>
          </cell>
          <cell r="S60">
            <v>0</v>
          </cell>
        </row>
        <row r="61">
          <cell r="L61">
            <v>0</v>
          </cell>
          <cell r="M61">
            <v>0</v>
          </cell>
          <cell r="N61">
            <v>0</v>
          </cell>
          <cell r="O61">
            <v>0</v>
          </cell>
          <cell r="P61">
            <v>0.5714285714285714</v>
          </cell>
          <cell r="Q61">
            <v>0.42857142857142855</v>
          </cell>
          <cell r="R61">
            <v>0</v>
          </cell>
          <cell r="S61">
            <v>0</v>
          </cell>
        </row>
        <row r="62">
          <cell r="L62">
            <v>0</v>
          </cell>
          <cell r="M62">
            <v>0</v>
          </cell>
          <cell r="N62">
            <v>0</v>
          </cell>
          <cell r="O62">
            <v>0</v>
          </cell>
          <cell r="P62">
            <v>0</v>
          </cell>
          <cell r="Q62">
            <v>0</v>
          </cell>
          <cell r="R62">
            <v>0.52941176470588236</v>
          </cell>
          <cell r="S62">
            <v>0.47058823529411764</v>
          </cell>
        </row>
        <row r="80">
          <cell r="L80">
            <v>0</v>
          </cell>
          <cell r="M80">
            <v>1</v>
          </cell>
          <cell r="N80">
            <v>0</v>
          </cell>
          <cell r="O80">
            <v>0</v>
          </cell>
          <cell r="P80">
            <v>0</v>
          </cell>
          <cell r="Q80">
            <v>0</v>
          </cell>
          <cell r="R80">
            <v>0</v>
          </cell>
          <cell r="S80">
            <v>0</v>
          </cell>
        </row>
        <row r="81">
          <cell r="L81">
            <v>0</v>
          </cell>
          <cell r="M81">
            <v>0</v>
          </cell>
          <cell r="N81">
            <v>0.75</v>
          </cell>
          <cell r="O81">
            <v>0.25</v>
          </cell>
          <cell r="P81">
            <v>0</v>
          </cell>
          <cell r="Q81">
            <v>0</v>
          </cell>
          <cell r="R81">
            <v>0</v>
          </cell>
          <cell r="S81">
            <v>0</v>
          </cell>
        </row>
        <row r="82">
          <cell r="L82">
            <v>0</v>
          </cell>
          <cell r="M82">
            <v>0</v>
          </cell>
          <cell r="N82">
            <v>0</v>
          </cell>
          <cell r="O82">
            <v>0</v>
          </cell>
          <cell r="P82">
            <v>0.5</v>
          </cell>
          <cell r="Q82">
            <v>0.5</v>
          </cell>
          <cell r="R82">
            <v>0</v>
          </cell>
          <cell r="S82">
            <v>0</v>
          </cell>
        </row>
        <row r="83">
          <cell r="L83">
            <v>0</v>
          </cell>
          <cell r="M83">
            <v>0</v>
          </cell>
          <cell r="N83">
            <v>0</v>
          </cell>
          <cell r="O83">
            <v>0</v>
          </cell>
          <cell r="P83">
            <v>0</v>
          </cell>
          <cell r="Q83">
            <v>0</v>
          </cell>
          <cell r="R83">
            <v>0</v>
          </cell>
          <cell r="S83">
            <v>1</v>
          </cell>
        </row>
        <row r="84">
          <cell r="L84">
            <v>0.75</v>
          </cell>
          <cell r="M84">
            <v>0.25</v>
          </cell>
          <cell r="N84">
            <v>0</v>
          </cell>
          <cell r="O84">
            <v>0</v>
          </cell>
          <cell r="P84">
            <v>0</v>
          </cell>
          <cell r="Q84">
            <v>0</v>
          </cell>
          <cell r="R84">
            <v>0</v>
          </cell>
          <cell r="S84">
            <v>0</v>
          </cell>
        </row>
        <row r="85">
          <cell r="L85">
            <v>0</v>
          </cell>
          <cell r="M85">
            <v>0</v>
          </cell>
          <cell r="N85">
            <v>0.5</v>
          </cell>
          <cell r="O85">
            <v>0.5</v>
          </cell>
          <cell r="P85">
            <v>0</v>
          </cell>
          <cell r="Q85">
            <v>0</v>
          </cell>
          <cell r="R85">
            <v>0</v>
          </cell>
          <cell r="S85">
            <v>0</v>
          </cell>
        </row>
        <row r="86">
          <cell r="L86">
            <v>0</v>
          </cell>
          <cell r="M86">
            <v>0</v>
          </cell>
          <cell r="N86">
            <v>0</v>
          </cell>
          <cell r="O86">
            <v>0</v>
          </cell>
          <cell r="P86">
            <v>1</v>
          </cell>
          <cell r="Q86">
            <v>0</v>
          </cell>
          <cell r="R86">
            <v>0</v>
          </cell>
          <cell r="S86">
            <v>0</v>
          </cell>
        </row>
        <row r="87">
          <cell r="L87">
            <v>0</v>
          </cell>
          <cell r="M87">
            <v>0</v>
          </cell>
          <cell r="N87">
            <v>0</v>
          </cell>
          <cell r="O87">
            <v>0</v>
          </cell>
          <cell r="P87">
            <v>0</v>
          </cell>
          <cell r="Q87">
            <v>0</v>
          </cell>
          <cell r="R87">
            <v>1</v>
          </cell>
          <cell r="S87">
            <v>0</v>
          </cell>
        </row>
      </sheetData>
      <sheetData sheetId="6"/>
      <sheetData sheetId="7">
        <row r="5">
          <cell r="J5">
            <v>75.97</v>
          </cell>
        </row>
        <row r="6">
          <cell r="J6" t="str">
            <v>USD</v>
          </cell>
        </row>
        <row r="7">
          <cell r="J7" t="str">
            <v>AZN</v>
          </cell>
        </row>
        <row r="9">
          <cell r="C9">
            <v>0.42857142857142855</v>
          </cell>
        </row>
        <row r="10">
          <cell r="J10">
            <v>1</v>
          </cell>
        </row>
        <row r="15">
          <cell r="C15">
            <v>137.21167100000019</v>
          </cell>
        </row>
        <row r="16">
          <cell r="I16">
            <v>137211.67100000021</v>
          </cell>
        </row>
        <row r="18">
          <cell r="E18">
            <v>75970</v>
          </cell>
        </row>
        <row r="19">
          <cell r="D19">
            <v>-69.84</v>
          </cell>
          <cell r="E19">
            <v>1000</v>
          </cell>
          <cell r="G19">
            <v>827085.1050000001</v>
          </cell>
          <cell r="H19">
            <v>-765843.43399999989</v>
          </cell>
          <cell r="I19">
            <v>75970</v>
          </cell>
        </row>
        <row r="20">
          <cell r="B20">
            <v>5.0000000000000001E-3</v>
          </cell>
        </row>
        <row r="21">
          <cell r="C21">
            <v>5000</v>
          </cell>
          <cell r="D21">
            <v>-54.11</v>
          </cell>
          <cell r="P21">
            <v>69.84</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N1" t="str">
            <v>Forecast</v>
          </cell>
        </row>
        <row r="3">
          <cell r="H3" t="str">
            <v>AAPL</v>
          </cell>
          <cell r="M3">
            <v>-6.4429999999999999E-3</v>
          </cell>
          <cell r="N3">
            <v>0.52380952380952384</v>
          </cell>
          <cell r="BB3">
            <v>1.0945679666881161</v>
          </cell>
          <cell r="CY3">
            <v>24679.71</v>
          </cell>
        </row>
        <row r="4">
          <cell r="H4" t="str">
            <v>ADEA</v>
          </cell>
        </row>
        <row r="5">
          <cell r="H5" t="str">
            <v>AET</v>
          </cell>
        </row>
        <row r="6">
          <cell r="H6" t="str">
            <v>AMZN</v>
          </cell>
        </row>
        <row r="7">
          <cell r="H7" t="str">
            <v>ALDNE</v>
          </cell>
        </row>
        <row r="8">
          <cell r="H8" t="str">
            <v>ASML</v>
          </cell>
        </row>
        <row r="9">
          <cell r="H9" t="str">
            <v>AZN</v>
          </cell>
        </row>
        <row r="10">
          <cell r="H10" t="str">
            <v>BLDP</v>
          </cell>
        </row>
        <row r="11">
          <cell r="H11" t="str">
            <v>BMRA</v>
          </cell>
        </row>
        <row r="12">
          <cell r="H12" t="str">
            <v>C</v>
          </cell>
        </row>
        <row r="13">
          <cell r="H13" t="str">
            <v>CSCO</v>
          </cell>
        </row>
        <row r="14">
          <cell r="H14" t="str">
            <v>CVS</v>
          </cell>
        </row>
        <row r="15">
          <cell r="H15" t="str">
            <v>DDD</v>
          </cell>
        </row>
        <row r="16">
          <cell r="H16" t="str">
            <v>DIS</v>
          </cell>
        </row>
        <row r="17">
          <cell r="H17" t="str">
            <v>DSY</v>
          </cell>
        </row>
        <row r="18">
          <cell r="H18" t="str">
            <v>DVA</v>
          </cell>
        </row>
        <row r="19">
          <cell r="H19" t="str">
            <v>DXC</v>
          </cell>
        </row>
        <row r="20">
          <cell r="H20" t="str">
            <v>EOAN</v>
          </cell>
        </row>
        <row r="21">
          <cell r="H21" t="str">
            <v>EPIX</v>
          </cell>
        </row>
        <row r="22">
          <cell r="H22" t="str">
            <v>GM</v>
          </cell>
        </row>
        <row r="23">
          <cell r="H23" t="str">
            <v>HPE</v>
          </cell>
        </row>
        <row r="24">
          <cell r="H24" t="str">
            <v>HPQ</v>
          </cell>
        </row>
        <row r="25">
          <cell r="H25" t="str">
            <v>IAG</v>
          </cell>
        </row>
        <row r="26">
          <cell r="H26" t="str">
            <v>KR</v>
          </cell>
        </row>
        <row r="27">
          <cell r="H27" t="str">
            <v>LNSR</v>
          </cell>
        </row>
        <row r="28">
          <cell r="H28" t="str">
            <v>LUMN</v>
          </cell>
        </row>
        <row r="29">
          <cell r="H29" t="str">
            <v>MRNA</v>
          </cell>
        </row>
        <row r="30">
          <cell r="H30" t="str">
            <v>MSFT</v>
          </cell>
        </row>
        <row r="31">
          <cell r="H31" t="str">
            <v>NEE</v>
          </cell>
        </row>
        <row r="32">
          <cell r="H32" t="str">
            <v>NEM</v>
          </cell>
        </row>
        <row r="33">
          <cell r="H33" t="str">
            <v>NFLX</v>
          </cell>
        </row>
        <row r="34">
          <cell r="H34" t="str">
            <v>NOTE</v>
          </cell>
        </row>
        <row r="35">
          <cell r="H35" t="str">
            <v>PAAS</v>
          </cell>
        </row>
        <row r="36">
          <cell r="H36" t="str">
            <v>PROF</v>
          </cell>
        </row>
        <row r="37">
          <cell r="H37" t="str">
            <v>POET</v>
          </cell>
        </row>
        <row r="38">
          <cell r="H38" t="str">
            <v>PW</v>
          </cell>
        </row>
        <row r="39">
          <cell r="H39" t="str">
            <v>RIGL</v>
          </cell>
        </row>
        <row r="40">
          <cell r="H40" t="str">
            <v>RWE</v>
          </cell>
        </row>
        <row r="41">
          <cell r="H41" t="str">
            <v>SAP</v>
          </cell>
        </row>
        <row r="42">
          <cell r="H42" t="str">
            <v>SHECY</v>
          </cell>
        </row>
        <row r="43">
          <cell r="H43" t="str">
            <v>SSYS</v>
          </cell>
        </row>
        <row r="44">
          <cell r="H44" t="str">
            <v>TSLA</v>
          </cell>
        </row>
        <row r="45">
          <cell r="H45" t="str">
            <v>TSM</v>
          </cell>
        </row>
        <row r="46">
          <cell r="H46" t="str">
            <v>UN0</v>
          </cell>
        </row>
        <row r="47">
          <cell r="H47" t="str">
            <v>UNIT</v>
          </cell>
        </row>
        <row r="48">
          <cell r="H48" t="str">
            <v>AVGO</v>
          </cell>
        </row>
        <row r="49">
          <cell r="H49" t="str">
            <v>VLVLY</v>
          </cell>
        </row>
        <row r="50">
          <cell r="H50" t="str">
            <v>VONN</v>
          </cell>
        </row>
        <row r="51">
          <cell r="H51" t="str">
            <v>VTRS</v>
          </cell>
        </row>
        <row r="52">
          <cell r="H52" t="str">
            <v>WBA</v>
          </cell>
        </row>
        <row r="53">
          <cell r="H53" t="str">
            <v>XOM</v>
          </cell>
        </row>
        <row r="54">
          <cell r="H54" t="str">
            <v>XPER</v>
          </cell>
        </row>
        <row r="55">
          <cell r="H55" t="str">
            <v>MVEALDNE</v>
          </cell>
        </row>
        <row r="56">
          <cell r="H56" t="str">
            <v>MVEDDD</v>
          </cell>
        </row>
        <row r="57">
          <cell r="H57" t="str">
            <v>MVEDSY</v>
          </cell>
        </row>
        <row r="58">
          <cell r="H58" t="str">
            <v>MVEEOAN</v>
          </cell>
        </row>
        <row r="59">
          <cell r="H59" t="str">
            <v>MVEENI</v>
          </cell>
        </row>
        <row r="60">
          <cell r="H60" t="str">
            <v>MVEEPIX</v>
          </cell>
        </row>
        <row r="61">
          <cell r="H61" t="str">
            <v>MVEGLE</v>
          </cell>
        </row>
        <row r="62">
          <cell r="H62" t="str">
            <v>MVEORA</v>
          </cell>
        </row>
        <row r="63">
          <cell r="H63" t="str">
            <v>MVERWE</v>
          </cell>
        </row>
        <row r="64">
          <cell r="H64" t="str">
            <v>MVESAP</v>
          </cell>
        </row>
        <row r="65">
          <cell r="H65" t="str">
            <v>MVEUN0</v>
          </cell>
        </row>
        <row r="66">
          <cell r="H66" t="str">
            <v>SAFAAPL</v>
          </cell>
        </row>
        <row r="67">
          <cell r="H67" t="str">
            <v>SAFAMZN</v>
          </cell>
        </row>
        <row r="68">
          <cell r="H68" t="str">
            <v>SAFASML</v>
          </cell>
        </row>
        <row r="69">
          <cell r="H69" t="str">
            <v>SAFDDD</v>
          </cell>
        </row>
        <row r="70">
          <cell r="H70" t="str">
            <v>SAFDIS</v>
          </cell>
        </row>
        <row r="71">
          <cell r="H71" t="str">
            <v>SAFGM</v>
          </cell>
        </row>
        <row r="72">
          <cell r="H72" t="str">
            <v>SAFIAG</v>
          </cell>
        </row>
        <row r="73">
          <cell r="H73" t="str">
            <v>SAFMRNA</v>
          </cell>
        </row>
        <row r="74">
          <cell r="H74" t="str">
            <v>BLNK</v>
          </cell>
        </row>
        <row r="75">
          <cell r="H75" t="str">
            <v>ENI</v>
          </cell>
        </row>
        <row r="76">
          <cell r="H76" t="str">
            <v>EZJ</v>
          </cell>
        </row>
        <row r="77">
          <cell r="H77" t="str">
            <v>F</v>
          </cell>
        </row>
        <row r="78">
          <cell r="H78" t="str">
            <v>GLE</v>
          </cell>
        </row>
        <row r="79">
          <cell r="H79" t="str">
            <v>GNRC</v>
          </cell>
        </row>
        <row r="80">
          <cell r="H80" t="str">
            <v>GS</v>
          </cell>
        </row>
        <row r="81">
          <cell r="H81" t="str">
            <v>LAZR</v>
          </cell>
        </row>
        <row r="82">
          <cell r="H82" t="str">
            <v>LUV</v>
          </cell>
        </row>
        <row r="83">
          <cell r="H83" t="str">
            <v>MA</v>
          </cell>
        </row>
        <row r="84">
          <cell r="H84" t="str">
            <v>NVAX</v>
          </cell>
        </row>
        <row r="85">
          <cell r="H85" t="str">
            <v>NVS</v>
          </cell>
        </row>
        <row r="86">
          <cell r="H86" t="str">
            <v>ORA</v>
          </cell>
        </row>
        <row r="87">
          <cell r="H87" t="str">
            <v>OXY</v>
          </cell>
        </row>
        <row r="88">
          <cell r="H88" t="str">
            <v>PFE</v>
          </cell>
        </row>
        <row r="89">
          <cell r="H89" t="str">
            <v>RIG</v>
          </cell>
        </row>
        <row r="90">
          <cell r="H90" t="str">
            <v>RRC</v>
          </cell>
        </row>
        <row r="91">
          <cell r="H91" t="str">
            <v>XYZ</v>
          </cell>
        </row>
        <row r="92">
          <cell r="H92" t="str">
            <v>THC</v>
          </cell>
        </row>
        <row r="93">
          <cell r="H93" t="str">
            <v>X</v>
          </cell>
        </row>
        <row r="94">
          <cell r="H94" t="str">
            <v>JBEOAN</v>
          </cell>
        </row>
        <row r="95">
          <cell r="H95" t="str">
            <v>LOCK</v>
          </cell>
        </row>
        <row r="103">
          <cell r="AZ103">
            <v>2982504.9017000003</v>
          </cell>
        </row>
      </sheetData>
      <sheetData sheetId="10"/>
      <sheetData sheetId="11">
        <row r="1">
          <cell r="A1" t="str">
            <v>AZN</v>
          </cell>
        </row>
      </sheetData>
      <sheetData sheetId="12">
        <row r="1">
          <cell r="B1" t="str">
            <v>AAPL</v>
          </cell>
          <cell r="C1" t="str">
            <v>AAPL1</v>
          </cell>
          <cell r="D1" t="str">
            <v>AAPL2</v>
          </cell>
          <cell r="E1" t="str">
            <v>ADEA</v>
          </cell>
          <cell r="F1" t="str">
            <v>ADEA1</v>
          </cell>
          <cell r="G1" t="str">
            <v>ADEA2</v>
          </cell>
          <cell r="H1" t="str">
            <v>AET</v>
          </cell>
          <cell r="I1" t="str">
            <v>AET1</v>
          </cell>
          <cell r="J1" t="str">
            <v>AET2</v>
          </cell>
          <cell r="K1" t="str">
            <v>AMZN</v>
          </cell>
          <cell r="L1" t="str">
            <v>AMZN1</v>
          </cell>
          <cell r="M1" t="str">
            <v>AMZN2</v>
          </cell>
          <cell r="N1" t="str">
            <v>ALDNE</v>
          </cell>
          <cell r="O1" t="str">
            <v>ALDNE1</v>
          </cell>
          <cell r="P1" t="str">
            <v>ALDNE2</v>
          </cell>
          <cell r="Q1" t="str">
            <v>ASML</v>
          </cell>
          <cell r="R1" t="str">
            <v>ASML1</v>
          </cell>
          <cell r="S1" t="str">
            <v>ASML2</v>
          </cell>
          <cell r="W1" t="str">
            <v>AZN</v>
          </cell>
          <cell r="X1" t="str">
            <v>AZN1</v>
          </cell>
          <cell r="Y1" t="str">
            <v>AZN2</v>
          </cell>
          <cell r="Z1" t="str">
            <v>BLDP</v>
          </cell>
          <cell r="AA1" t="str">
            <v>BLDP1</v>
          </cell>
          <cell r="AB1" t="str">
            <v>BLDP2</v>
          </cell>
          <cell r="AC1" t="str">
            <v>BMRA</v>
          </cell>
          <cell r="AD1" t="str">
            <v>BMRA1</v>
          </cell>
          <cell r="AE1" t="str">
            <v>BMRA2</v>
          </cell>
          <cell r="AF1" t="str">
            <v>C</v>
          </cell>
          <cell r="AG1" t="str">
            <v>C1</v>
          </cell>
          <cell r="AH1" t="str">
            <v>C2</v>
          </cell>
          <cell r="AI1" t="str">
            <v>CSCO</v>
          </cell>
          <cell r="AJ1" t="str">
            <v>CSCO1</v>
          </cell>
          <cell r="AK1" t="str">
            <v>CSCO2</v>
          </cell>
          <cell r="AL1" t="str">
            <v>CVS</v>
          </cell>
          <cell r="AM1" t="str">
            <v>CVS1</v>
          </cell>
          <cell r="AN1" t="str">
            <v>CVS2</v>
          </cell>
          <cell r="AO1" t="str">
            <v>DDD</v>
          </cell>
          <cell r="AP1" t="str">
            <v>DDD1</v>
          </cell>
          <cell r="AQ1" t="str">
            <v>DDD2</v>
          </cell>
          <cell r="AR1" t="str">
            <v>DIS</v>
          </cell>
          <cell r="AS1" t="str">
            <v>DIS1</v>
          </cell>
          <cell r="AT1" t="str">
            <v>DIS2</v>
          </cell>
          <cell r="AU1" t="str">
            <v>DSY</v>
          </cell>
          <cell r="AV1" t="str">
            <v>DSY1</v>
          </cell>
          <cell r="AW1" t="str">
            <v>DSY2</v>
          </cell>
          <cell r="AX1" t="str">
            <v>DVA</v>
          </cell>
          <cell r="AY1" t="str">
            <v>DVA1</v>
          </cell>
          <cell r="AZ1" t="str">
            <v>DVA2</v>
          </cell>
          <cell r="BA1" t="str">
            <v>DXC</v>
          </cell>
          <cell r="BB1" t="str">
            <v>DXC1</v>
          </cell>
          <cell r="BC1" t="str">
            <v>DXC2</v>
          </cell>
          <cell r="BD1" t="str">
            <v>EOAN</v>
          </cell>
          <cell r="BE1" t="str">
            <v>EOAN1</v>
          </cell>
          <cell r="BF1" t="str">
            <v>EOAN2</v>
          </cell>
          <cell r="BG1" t="str">
            <v>EPIX</v>
          </cell>
          <cell r="BH1" t="str">
            <v>EPIX1</v>
          </cell>
          <cell r="BI1" t="str">
            <v>EPIX2</v>
          </cell>
          <cell r="BJ1" t="str">
            <v>GM</v>
          </cell>
          <cell r="BK1" t="str">
            <v>GM1</v>
          </cell>
          <cell r="BL1" t="str">
            <v>GM2</v>
          </cell>
          <cell r="BM1" t="str">
            <v>HPE</v>
          </cell>
          <cell r="BN1" t="str">
            <v>HPE1</v>
          </cell>
          <cell r="BO1" t="str">
            <v>HPE2</v>
          </cell>
          <cell r="BP1" t="str">
            <v>HPQ</v>
          </cell>
          <cell r="BQ1" t="str">
            <v>HPQ1</v>
          </cell>
          <cell r="BR1" t="str">
            <v>HPQ2</v>
          </cell>
          <cell r="BS1" t="str">
            <v>IAG</v>
          </cell>
          <cell r="BT1" t="str">
            <v>IAG1</v>
          </cell>
          <cell r="BU1" t="str">
            <v>IAG2</v>
          </cell>
          <cell r="BV1" t="str">
            <v>KR</v>
          </cell>
          <cell r="BW1" t="str">
            <v>KR1</v>
          </cell>
          <cell r="BX1" t="str">
            <v>KR2</v>
          </cell>
          <cell r="BY1" t="str">
            <v>LNSR</v>
          </cell>
          <cell r="BZ1" t="str">
            <v>LNSR1</v>
          </cell>
          <cell r="CA1" t="str">
            <v>LNSR2</v>
          </cell>
          <cell r="CB1" t="str">
            <v>LUMN</v>
          </cell>
          <cell r="CC1" t="str">
            <v>LUMN1</v>
          </cell>
          <cell r="CD1" t="str">
            <v>LUMN2</v>
          </cell>
          <cell r="CE1" t="str">
            <v>MRNA</v>
          </cell>
          <cell r="CF1" t="str">
            <v>MRNA1</v>
          </cell>
          <cell r="CG1" t="str">
            <v>MRNA2</v>
          </cell>
          <cell r="CH1" t="str">
            <v>MSFT</v>
          </cell>
          <cell r="CI1" t="str">
            <v>MSFT1</v>
          </cell>
          <cell r="CJ1" t="str">
            <v>MSFT2</v>
          </cell>
          <cell r="CK1" t="str">
            <v>NEE</v>
          </cell>
          <cell r="CL1" t="str">
            <v>NEE1</v>
          </cell>
          <cell r="CM1" t="str">
            <v>NEE2</v>
          </cell>
          <cell r="CN1" t="str">
            <v>NEM</v>
          </cell>
          <cell r="CO1" t="str">
            <v>NEM1</v>
          </cell>
          <cell r="CP1" t="str">
            <v>NEM2</v>
          </cell>
          <cell r="CQ1" t="str">
            <v>NFLX</v>
          </cell>
          <cell r="CR1" t="str">
            <v>NFLX1</v>
          </cell>
          <cell r="CS1" t="str">
            <v>NFLX2</v>
          </cell>
          <cell r="CT1" t="str">
            <v>NOTE</v>
          </cell>
          <cell r="CU1" t="str">
            <v>NOTE1</v>
          </cell>
          <cell r="CV1" t="str">
            <v>NOTE2</v>
          </cell>
          <cell r="CW1" t="str">
            <v>PAAS</v>
          </cell>
          <cell r="CX1" t="str">
            <v>PAAS1</v>
          </cell>
          <cell r="CY1" t="str">
            <v>PAAS2</v>
          </cell>
          <cell r="CZ1" t="str">
            <v>PROF</v>
          </cell>
          <cell r="DA1" t="str">
            <v>PROF1</v>
          </cell>
          <cell r="DB1" t="str">
            <v>PROF2</v>
          </cell>
          <cell r="DC1" t="str">
            <v>POET</v>
          </cell>
          <cell r="DD1" t="str">
            <v>POET1</v>
          </cell>
          <cell r="DE1" t="str">
            <v>POET2</v>
          </cell>
          <cell r="DF1" t="str">
            <v>PW</v>
          </cell>
          <cell r="DG1" t="str">
            <v>PW1</v>
          </cell>
          <cell r="DH1" t="str">
            <v>PW2</v>
          </cell>
          <cell r="DI1" t="str">
            <v>RIGL</v>
          </cell>
          <cell r="DJ1" t="str">
            <v>RIGL1</v>
          </cell>
          <cell r="DK1" t="str">
            <v>RIGL2</v>
          </cell>
          <cell r="DL1" t="str">
            <v>RWE</v>
          </cell>
          <cell r="DM1" t="str">
            <v>RWE1</v>
          </cell>
          <cell r="DN1" t="str">
            <v>RWE2</v>
          </cell>
          <cell r="DO1" t="str">
            <v>SAP</v>
          </cell>
          <cell r="DP1" t="str">
            <v>SAP1</v>
          </cell>
          <cell r="DQ1" t="str">
            <v>SAP2</v>
          </cell>
          <cell r="DR1" t="str">
            <v>SHECY</v>
          </cell>
          <cell r="DS1" t="str">
            <v>SHECY1</v>
          </cell>
          <cell r="DT1" t="str">
            <v>SHECY2</v>
          </cell>
          <cell r="DU1" t="str">
            <v>SSYS</v>
          </cell>
          <cell r="DV1" t="str">
            <v>SSYS1</v>
          </cell>
          <cell r="DW1" t="str">
            <v>SSYS2</v>
          </cell>
          <cell r="DX1" t="str">
            <v>TSLA</v>
          </cell>
          <cell r="DY1" t="str">
            <v>TSLA1</v>
          </cell>
          <cell r="DZ1" t="str">
            <v>TSLA2</v>
          </cell>
          <cell r="EA1" t="str">
            <v>TSM</v>
          </cell>
          <cell r="EB1" t="str">
            <v>TSM1</v>
          </cell>
          <cell r="EC1" t="str">
            <v>TSM2</v>
          </cell>
          <cell r="ED1" t="str">
            <v>UN0</v>
          </cell>
          <cell r="EE1" t="str">
            <v>UN01</v>
          </cell>
          <cell r="EF1" t="str">
            <v>UN02</v>
          </cell>
          <cell r="EG1" t="str">
            <v>UNIT</v>
          </cell>
          <cell r="EH1" t="str">
            <v>UNIT1</v>
          </cell>
          <cell r="EI1" t="str">
            <v>UNIT2</v>
          </cell>
          <cell r="EJ1" t="str">
            <v>AVGO</v>
          </cell>
          <cell r="EK1" t="str">
            <v>AVGO1</v>
          </cell>
          <cell r="EL1" t="str">
            <v>AVGO2</v>
          </cell>
          <cell r="EM1" t="str">
            <v>VLVLY</v>
          </cell>
          <cell r="EN1" t="str">
            <v>VLVLY1</v>
          </cell>
          <cell r="EO1" t="str">
            <v>VLVLY2</v>
          </cell>
          <cell r="EP1" t="str">
            <v>VONN</v>
          </cell>
          <cell r="EQ1" t="str">
            <v>VONN1</v>
          </cell>
          <cell r="ER1" t="str">
            <v>VONN2</v>
          </cell>
          <cell r="ES1" t="str">
            <v>VTRS</v>
          </cell>
          <cell r="ET1" t="str">
            <v>VTRS1</v>
          </cell>
          <cell r="EU1" t="str">
            <v>VTRS2</v>
          </cell>
          <cell r="EV1" t="str">
            <v>WBA</v>
          </cell>
          <cell r="EW1" t="str">
            <v>WBA1</v>
          </cell>
          <cell r="EX1" t="str">
            <v>WBA2</v>
          </cell>
          <cell r="EY1" t="str">
            <v>XOM</v>
          </cell>
          <cell r="EZ1" t="str">
            <v>XOM1</v>
          </cell>
          <cell r="FA1" t="str">
            <v>XOM2</v>
          </cell>
          <cell r="FB1" t="str">
            <v>XPER</v>
          </cell>
          <cell r="FC1" t="str">
            <v>XPER1</v>
          </cell>
          <cell r="FD1" t="str">
            <v>XPER2</v>
          </cell>
          <cell r="FE1" t="str">
            <v>MVEALDNE</v>
          </cell>
          <cell r="FF1" t="str">
            <v>MVEALDNE1</v>
          </cell>
          <cell r="FG1" t="str">
            <v>MVEALDNE2</v>
          </cell>
          <cell r="FH1" t="str">
            <v>MVEDDD</v>
          </cell>
          <cell r="FI1" t="str">
            <v>MVEDDD1</v>
          </cell>
          <cell r="FJ1" t="str">
            <v>MVEDDD2</v>
          </cell>
          <cell r="FK1" t="str">
            <v>MVEDSY</v>
          </cell>
          <cell r="FL1" t="str">
            <v>MVEDSY1</v>
          </cell>
          <cell r="FM1" t="str">
            <v>MVEDSY2</v>
          </cell>
          <cell r="FN1" t="str">
            <v>MVEEOAN</v>
          </cell>
          <cell r="FO1" t="str">
            <v>MVEEOAN1</v>
          </cell>
          <cell r="FP1" t="str">
            <v>MVEEOAN2</v>
          </cell>
          <cell r="FQ1" t="str">
            <v>MVEENI</v>
          </cell>
          <cell r="FR1" t="str">
            <v>MVEENI1</v>
          </cell>
          <cell r="FS1" t="str">
            <v>MVEENI2</v>
          </cell>
          <cell r="FT1" t="str">
            <v>MVEEPIX</v>
          </cell>
          <cell r="FU1" t="str">
            <v>MVEEPIX1</v>
          </cell>
          <cell r="FV1" t="str">
            <v>MVEEPIX2</v>
          </cell>
          <cell r="FW1" t="str">
            <v>MVEGLE</v>
          </cell>
          <cell r="FX1" t="str">
            <v>MVEGLE1</v>
          </cell>
          <cell r="FY1" t="str">
            <v>MVEGLE2</v>
          </cell>
          <cell r="FZ1" t="str">
            <v>MVEORA</v>
          </cell>
          <cell r="GA1" t="str">
            <v>MVEORA1</v>
          </cell>
          <cell r="GB1" t="str">
            <v>MVEORA2</v>
          </cell>
          <cell r="GC1" t="str">
            <v>MVERWE</v>
          </cell>
          <cell r="GD1" t="str">
            <v>MVERWE1</v>
          </cell>
          <cell r="GE1" t="str">
            <v>MVERWE2</v>
          </cell>
          <cell r="GF1" t="str">
            <v>MVESAP</v>
          </cell>
          <cell r="GG1" t="str">
            <v>MVESAP1</v>
          </cell>
          <cell r="GH1" t="str">
            <v>MVESAP2</v>
          </cell>
          <cell r="GI1" t="str">
            <v>MVEUN0</v>
          </cell>
          <cell r="GJ1" t="str">
            <v>MVEUN01</v>
          </cell>
          <cell r="GK1" t="str">
            <v>MVEUN02</v>
          </cell>
          <cell r="GL1" t="str">
            <v>SAFAAPL</v>
          </cell>
          <cell r="GM1" t="str">
            <v>SAFAAPL1</v>
          </cell>
          <cell r="GN1" t="str">
            <v>SAFAAPL2</v>
          </cell>
          <cell r="GO1" t="str">
            <v>SAFAMZN</v>
          </cell>
          <cell r="GP1" t="str">
            <v>SAFAMZN1</v>
          </cell>
          <cell r="GQ1" t="str">
            <v>SAFAMZN2</v>
          </cell>
          <cell r="GR1" t="str">
            <v>SAFASML</v>
          </cell>
          <cell r="GS1" t="str">
            <v>SAFASML1</v>
          </cell>
          <cell r="GT1" t="str">
            <v>SAFASML2</v>
          </cell>
          <cell r="GU1" t="str">
            <v>SAFDDD</v>
          </cell>
          <cell r="GV1" t="str">
            <v>SAFDDD1</v>
          </cell>
          <cell r="GW1" t="str">
            <v>SAFDDD2</v>
          </cell>
          <cell r="GX1" t="str">
            <v>SAFDIS</v>
          </cell>
          <cell r="GY1" t="str">
            <v>SAFDIS1</v>
          </cell>
          <cell r="GZ1" t="str">
            <v>SAFDIS2</v>
          </cell>
          <cell r="HA1" t="str">
            <v>SAFGM</v>
          </cell>
          <cell r="HB1" t="str">
            <v>SAFGM1</v>
          </cell>
          <cell r="HC1" t="str">
            <v>SAFGM2</v>
          </cell>
          <cell r="HD1" t="str">
            <v>SAFIAG</v>
          </cell>
          <cell r="HE1" t="str">
            <v>SAFIAG1</v>
          </cell>
          <cell r="HF1" t="str">
            <v>SAFIAG2</v>
          </cell>
          <cell r="HG1" t="str">
            <v>SAFMRNA</v>
          </cell>
          <cell r="HH1" t="str">
            <v>SAFMRNA1</v>
          </cell>
          <cell r="HI1" t="str">
            <v>SAFMRNA2</v>
          </cell>
          <cell r="HJ1" t="str">
            <v>BLNK</v>
          </cell>
          <cell r="HK1" t="str">
            <v>BLNK1</v>
          </cell>
          <cell r="HL1" t="str">
            <v>BLNK2</v>
          </cell>
          <cell r="HM1" t="str">
            <v>ENI</v>
          </cell>
          <cell r="HN1" t="str">
            <v>ENI1</v>
          </cell>
          <cell r="HO1" t="str">
            <v>ENI2</v>
          </cell>
          <cell r="HP1" t="str">
            <v>EZJ</v>
          </cell>
          <cell r="HQ1" t="str">
            <v>EZJ1</v>
          </cell>
          <cell r="HR1" t="str">
            <v>EZJ2</v>
          </cell>
          <cell r="HS1" t="str">
            <v>F</v>
          </cell>
          <cell r="HT1" t="str">
            <v>F1</v>
          </cell>
          <cell r="HU1" t="str">
            <v>F2</v>
          </cell>
          <cell r="HV1" t="str">
            <v>GLE</v>
          </cell>
          <cell r="HW1" t="str">
            <v>GLE1</v>
          </cell>
          <cell r="HX1" t="str">
            <v>GLE2</v>
          </cell>
          <cell r="HY1" t="str">
            <v>GNRC</v>
          </cell>
          <cell r="HZ1" t="str">
            <v>GNRC1</v>
          </cell>
          <cell r="IA1" t="str">
            <v>GNRC2</v>
          </cell>
          <cell r="IB1" t="str">
            <v>GS</v>
          </cell>
          <cell r="IC1" t="str">
            <v>GS1</v>
          </cell>
          <cell r="ID1" t="str">
            <v>GS2</v>
          </cell>
          <cell r="IE1" t="str">
            <v>LAZR</v>
          </cell>
          <cell r="IF1" t="str">
            <v>LAZR1</v>
          </cell>
          <cell r="IG1" t="str">
            <v>LAZR2</v>
          </cell>
          <cell r="IH1" t="str">
            <v>LUV</v>
          </cell>
          <cell r="II1" t="str">
            <v>LUV1</v>
          </cell>
          <cell r="IJ1" t="str">
            <v>LUV2</v>
          </cell>
          <cell r="IK1" t="str">
            <v>MA</v>
          </cell>
          <cell r="IL1" t="str">
            <v>MA1</v>
          </cell>
          <cell r="IM1" t="str">
            <v>MA2</v>
          </cell>
          <cell r="IN1" t="str">
            <v>NVAX</v>
          </cell>
          <cell r="IO1" t="str">
            <v>NVAX1</v>
          </cell>
          <cell r="IP1" t="str">
            <v>NVAX2</v>
          </cell>
          <cell r="IQ1" t="str">
            <v>NVS</v>
          </cell>
          <cell r="IR1" t="str">
            <v>NVS1</v>
          </cell>
          <cell r="IS1" t="str">
            <v>NVS2</v>
          </cell>
          <cell r="IT1" t="str">
            <v>ORA</v>
          </cell>
          <cell r="IU1" t="str">
            <v>ORA1</v>
          </cell>
          <cell r="IV1" t="str">
            <v>ORA2</v>
          </cell>
          <cell r="IW1" t="str">
            <v>OXY</v>
          </cell>
          <cell r="IX1" t="str">
            <v>OXY1</v>
          </cell>
          <cell r="IY1" t="str">
            <v>OXY2</v>
          </cell>
          <cell r="IZ1" t="str">
            <v>PFE</v>
          </cell>
          <cell r="JA1" t="str">
            <v>PFE1</v>
          </cell>
          <cell r="JB1" t="str">
            <v>PFE2</v>
          </cell>
          <cell r="JC1" t="str">
            <v>RIG</v>
          </cell>
          <cell r="JD1" t="str">
            <v>RIG1</v>
          </cell>
          <cell r="JE1" t="str">
            <v>RIG2</v>
          </cell>
          <cell r="JF1" t="str">
            <v>RRC</v>
          </cell>
          <cell r="JG1" t="str">
            <v>RRC1</v>
          </cell>
          <cell r="JH1" t="str">
            <v>RRC2</v>
          </cell>
          <cell r="JI1" t="str">
            <v>XYZ</v>
          </cell>
          <cell r="JJ1" t="str">
            <v>XYZ1</v>
          </cell>
          <cell r="JK1" t="str">
            <v>XYZ2</v>
          </cell>
          <cell r="JL1" t="str">
            <v>THC</v>
          </cell>
          <cell r="JM1" t="str">
            <v>THC1</v>
          </cell>
          <cell r="JN1" t="str">
            <v>THC2</v>
          </cell>
          <cell r="JO1" t="str">
            <v>X</v>
          </cell>
          <cell r="JP1" t="str">
            <v>X1</v>
          </cell>
          <cell r="JQ1" t="str">
            <v>X2</v>
          </cell>
          <cell r="JR1" t="str">
            <v>JBEOAN</v>
          </cell>
          <cell r="JS1" t="str">
            <v>JBEOAN1</v>
          </cell>
          <cell r="JT1" t="str">
            <v>JBEOAN2</v>
          </cell>
          <cell r="JU1" t="str">
            <v>LOCK</v>
          </cell>
          <cell r="JV1" t="str">
            <v>LOCK1</v>
          </cell>
          <cell r="JW1" t="str">
            <v>LOCK2</v>
          </cell>
          <cell r="JX1" t="str">
            <v>UnknownX</v>
          </cell>
          <cell r="JY1" t="str">
            <v>UnknownX1</v>
          </cell>
          <cell r="JZ1" t="str">
            <v>UnknownX2</v>
          </cell>
          <cell r="KA1" t="str">
            <v>UnknownX</v>
          </cell>
          <cell r="KB1" t="str">
            <v>UnknownX1</v>
          </cell>
          <cell r="KC1" t="str">
            <v>UnknownX2</v>
          </cell>
          <cell r="KD1" t="str">
            <v>UnknownX</v>
          </cell>
          <cell r="KE1" t="str">
            <v>UnknownX1</v>
          </cell>
          <cell r="KF1" t="str">
            <v>UnknownX2</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row r="15">
          <cell r="A15">
            <v>12</v>
          </cell>
        </row>
        <row r="16">
          <cell r="A16">
            <v>13</v>
          </cell>
        </row>
        <row r="17">
          <cell r="A17">
            <v>14</v>
          </cell>
        </row>
        <row r="18">
          <cell r="A18">
            <v>15</v>
          </cell>
        </row>
        <row r="19">
          <cell r="A19">
            <v>16</v>
          </cell>
        </row>
        <row r="20">
          <cell r="A20">
            <v>17</v>
          </cell>
        </row>
        <row r="21">
          <cell r="A21">
            <v>18</v>
          </cell>
        </row>
        <row r="22">
          <cell r="A22">
            <v>19</v>
          </cell>
        </row>
        <row r="23">
          <cell r="A23">
            <v>20</v>
          </cell>
        </row>
        <row r="24">
          <cell r="A24">
            <v>21</v>
          </cell>
        </row>
        <row r="25">
          <cell r="A25">
            <v>22</v>
          </cell>
        </row>
        <row r="26">
          <cell r="A26">
            <v>23</v>
          </cell>
        </row>
        <row r="27">
          <cell r="A27">
            <v>24</v>
          </cell>
        </row>
        <row r="28">
          <cell r="A28">
            <v>25</v>
          </cell>
        </row>
        <row r="29">
          <cell r="A29">
            <v>26</v>
          </cell>
        </row>
        <row r="30">
          <cell r="A30">
            <v>27</v>
          </cell>
        </row>
        <row r="31">
          <cell r="A31">
            <v>28</v>
          </cell>
        </row>
        <row r="32">
          <cell r="A32">
            <v>29</v>
          </cell>
        </row>
        <row r="33">
          <cell r="A33">
            <v>30</v>
          </cell>
        </row>
        <row r="35">
          <cell r="A35">
            <v>32</v>
          </cell>
        </row>
        <row r="36">
          <cell r="A36">
            <v>33</v>
          </cell>
        </row>
      </sheetData>
      <sheetData sheetId="13"/>
      <sheetData sheetId="14">
        <row r="4">
          <cell r="B4" t="str">
            <v>Sell</v>
          </cell>
          <cell r="D4" t="str">
            <v>MVE</v>
          </cell>
          <cell r="E4" t="str">
            <v>at market</v>
          </cell>
          <cell r="F4" t="str">
            <v>at price</v>
          </cell>
        </row>
        <row r="5">
          <cell r="D5" t="str">
            <v>.002</v>
          </cell>
        </row>
        <row r="6">
          <cell r="D6" t="str">
            <v>SAF</v>
          </cell>
        </row>
        <row r="7">
          <cell r="D7" t="str">
            <v>JB</v>
          </cell>
        </row>
      </sheetData>
      <sheetData sheetId="15"/>
      <sheetData sheetId="16"/>
      <sheetData sheetId="17"/>
      <sheetData sheetId="18">
        <row r="1">
          <cell r="R1" t="str">
            <v>AZN</v>
          </cell>
        </row>
      </sheetData>
      <sheetData sheetId="19">
        <row r="1">
          <cell r="R1" t="str">
            <v>AZN</v>
          </cell>
        </row>
      </sheetData>
      <sheetData sheetId="20"/>
      <sheetData sheetId="21">
        <row r="3">
          <cell r="B3">
            <v>4.1666666666666664E-2</v>
          </cell>
          <cell r="D3">
            <v>0</v>
          </cell>
        </row>
        <row r="6">
          <cell r="B6">
            <v>0.92916400462854654</v>
          </cell>
        </row>
        <row r="7">
          <cell r="B7">
            <v>0.88749733796187991</v>
          </cell>
          <cell r="D7">
            <v>45923.770833333336</v>
          </cell>
        </row>
        <row r="8">
          <cell r="D8">
            <v>0.11666412036477899</v>
          </cell>
        </row>
        <row r="22">
          <cell r="E22">
            <v>0.41666666666666669</v>
          </cell>
          <cell r="F22">
            <v>0.64583333333333326</v>
          </cell>
          <cell r="G22">
            <v>45923.916666666664</v>
          </cell>
        </row>
        <row r="23">
          <cell r="F23">
            <v>0.92916400462854654</v>
          </cell>
        </row>
        <row r="24">
          <cell r="F24">
            <v>0.91666666666666663</v>
          </cell>
        </row>
        <row r="25">
          <cell r="F25">
            <v>0.27083333333333337</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45986</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9-19T17:37:36.737"/>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1.0958000000000001</v>
    <v>-1.65</v>
    <v>-6.4429999999999999E-3</v>
    <v>-0.09</v>
    <v>-3.5369999999999998E-4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257.33999999999997</v>
    <v>Computers, Phones &amp; Household Electronics</v>
    <v>Stock</v>
    <v>45923.84554741875</v>
    <v>0</v>
    <v>253.58</v>
    <v>3775840427700</v>
    <v>APPLE INC.</v>
    <v>APPLE INC.</v>
    <v>255.875</v>
    <v>35.319800000000001</v>
    <v>256.08</v>
    <v>254.43</v>
    <v>254.34</v>
    <v>14840390000</v>
    <v>AAPL</v>
    <v>APPLE INC. (XNAS:AAPL)</v>
    <v>59999830</v>
    <v>54815993</v>
    <v>1977</v>
  </rv>
  <rv s="2">
    <v>1</v>
  </rv>
  <rv s="0">
    <v>https://www.bing.com/financeapi/forcetrigger?t=a269vh&amp;q=XNAS%3aXPER&amp;form=skydnc</v>
    <v>Learn more on Bing</v>
  </rv>
  <rv s="1">
    <v>0</v>
    <v>ADEIA INC. (XNAS:ADEA)</v>
    <v>2</v>
    <v>3</v>
    <v>Finance</v>
    <v>4</v>
    <v>en-US</v>
    <v>a269vh</v>
    <v>268435456</v>
    <v>1</v>
    <v>Powered by Refinitiv</v>
    <v>17.46</v>
    <v>10.59</v>
    <v>2.5333000000000001</v>
    <v>-0.08</v>
    <v>-4.7199999999999994E-3</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17.315000000000001</v>
    <v>Software &amp; IT Services</v>
    <v>Stock</v>
    <v>45923.843379200778</v>
    <v>3</v>
    <v>16.82</v>
    <v>1845048282</v>
    <v>ADEIA INC.</v>
    <v>ADEIA INC.</v>
    <v>16.989999999999998</v>
    <v>22.8597</v>
    <v>16.95</v>
    <v>16.87</v>
    <v>16.87</v>
    <v>109368600</v>
    <v>ADEA</v>
    <v>ADEIA INC. (XNAS:ADEA)</v>
    <v>476431</v>
    <v>517626</v>
    <v>2019</v>
  </rv>
  <rv s="2">
    <v>4</v>
  </rv>
  <rv s="0">
    <v>https://www.bing.com/financeapi/forcetrigger?t=aodfgh&amp;q=XLON%3aAET&amp;form=skydnc</v>
    <v>Learn more on Bing</v>
  </rv>
  <rv s="3">
    <v>5</v>
    <v>AFENTRA PLC (XLON:AET)</v>
    <v>2</v>
    <v>6</v>
    <v>Finance</v>
    <v>7</v>
    <v>en-US</v>
    <v>aodfgh</v>
    <v>268435456</v>
    <v>1</v>
    <v>Powered by Refinitiv</v>
    <v>56.2</v>
    <v>33.064999999999998</v>
    <v>1.1588000000000001</v>
    <v>2.1</v>
    <v>4.4211E-2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50.6</v>
    <v>Oil &amp; Gas</v>
    <v>Stock</v>
    <v>45923.649439721878</v>
    <v>6</v>
    <v>48.4</v>
    <v>107058100</v>
    <v>AFENTRA PLC</v>
    <v>AFENTRA PLC</v>
    <v>49</v>
    <v>4.3056000000000001</v>
    <v>47.5</v>
    <v>49.6</v>
    <v>226156000</v>
    <v>AET</v>
    <v>AFENTRA PLC (XLON:AET)</v>
    <v>589199</v>
    <v>667120</v>
    <v>1983</v>
  </rv>
  <rv s="2">
    <v>7</v>
  </rv>
  <rv s="0">
    <v>https://www.bing.com/financeapi/forcetrigger?t=a1nhlh&amp;q=XNAS%3aAMZN&amp;form=skydnc</v>
    <v>Learn more on Bing</v>
  </rv>
  <rv s="1">
    <v>0</v>
    <v>AMAZON.COM, INC. (XNAS:AMZN)</v>
    <v>2</v>
    <v>3</v>
    <v>Finance</v>
    <v>4</v>
    <v>en-US</v>
    <v>a1nhlh</v>
    <v>268435456</v>
    <v>1</v>
    <v>Powered by Refinitiv</v>
    <v>242.52</v>
    <v>161.38</v>
    <v>1.2875000000000001</v>
    <v>-6.92</v>
    <v>-3.04E-2</v>
    <v>0.41</v>
    <v>1.8579999999999998E-3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227.86</v>
    <v>Diversified Retail</v>
    <v>Stock</v>
    <v>45923.845619305466</v>
    <v>9</v>
    <v>220.07</v>
    <v>2353852286100</v>
    <v>AMAZON.COM, INC.</v>
    <v>AMAZON.COM, INC.</v>
    <v>227.83</v>
    <v>34.735799999999998</v>
    <v>227.63</v>
    <v>220.71</v>
    <v>221.12</v>
    <v>10664910000</v>
    <v>AMZN</v>
    <v>AMAZON.COM, INC. (XNAS:AMZN)</v>
    <v>70487678</v>
    <v>37967009</v>
    <v>1996</v>
  </rv>
  <rv s="2">
    <v>10</v>
  </rv>
  <rv s="0">
    <v>https://www.bing.com/financeapi/forcetrigger?t=b125ww&amp;q=XPAR%3aALDNE&amp;form=skydnc</v>
    <v>Learn more on Bing</v>
  </rv>
  <rv s="3">
    <v>5</v>
    <v>Dont Nod Entertainment SA (XPAR:ALDNE)</v>
    <v>2</v>
    <v>8</v>
    <v>Finance</v>
    <v>9</v>
    <v>en-US</v>
    <v>b125ww</v>
    <v>268435456</v>
    <v>1</v>
    <v>Powered by Refinitiv</v>
    <v>1.76</v>
    <v>0.65</v>
    <v>0.99</v>
    <v>-8.4000000000000005E-2</v>
    <v>-9.6773999999999999E-2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0.86799999999999999</v>
    <v>Software &amp; IT Services</v>
    <v>Stock</v>
    <v>45923.666666666664</v>
    <v>12</v>
    <v>0.78400000000000003</v>
    <v>11354970</v>
    <v>Dont Nod Entertainment SA</v>
    <v>Dont Nod Entertainment SA</v>
    <v>0.86799999999999999</v>
    <v>0</v>
    <v>0.86799999999999999</v>
    <v>0.78400000000000003</v>
    <v>13081760</v>
    <v>ALDNE</v>
    <v>Dont Nod Entertainment SA (XPAR:ALDNE)</v>
    <v>9494</v>
    <v>4180</v>
    <v>2008</v>
  </rv>
  <rv s="2">
    <v>13</v>
  </rv>
  <rv s="0">
    <v>https://www.bing.com/financeapi/forcetrigger?t=alnz5r&amp;q=XAMS%3aASML&amp;form=skydnc</v>
    <v>Learn more on Bing</v>
  </rv>
  <rv s="3">
    <v>5</v>
    <v>ASML Holding NV (XAMS:ASML)</v>
    <v>2</v>
    <v>8</v>
    <v>Finance</v>
    <v>9</v>
    <v>en-US</v>
    <v>alnz5r</v>
    <v>268435456</v>
    <v>1</v>
    <v>Powered by Refinitiv</v>
    <v>829.1</v>
    <v>508.4</v>
    <v>1.9211</v>
    <v>9</v>
    <v>1.11E-2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829.1</v>
    <v>Semiconductors &amp; Semiconductor Equipment</v>
    <v>Stock</v>
    <v>45923.666666666664</v>
    <v>15</v>
    <v>796</v>
    <v>319317900000</v>
    <v>ASML Holding NV</v>
    <v>ASML Holding NV</v>
    <v>803.6</v>
    <v>31.477399999999999</v>
    <v>810.8</v>
    <v>819.8</v>
    <v>393830700</v>
    <v>ASML</v>
    <v>ASML Holding NV (XAMS:ASML)</v>
    <v>715673</v>
    <v>806010</v>
    <v>1994</v>
  </rv>
  <rv s="2">
    <v>16</v>
  </rv>
  <rv s="0">
    <v>https://www.bing.com/financeapi/forcetrigger?t=a1o3qh&amp;q=XNAS%3aAZN&amp;form=skydnc</v>
    <v>Learn more on Bing</v>
  </rv>
  <rv s="1">
    <v>0</v>
    <v>ASTRAZENECA PLC (XNAS:AZN)</v>
    <v>2</v>
    <v>3</v>
    <v>Finance</v>
    <v>4</v>
    <v>en-US</v>
    <v>a1o3qh</v>
    <v>268435456</v>
    <v>1</v>
    <v>Powered by Refinitiv</v>
    <v>82.41</v>
    <v>61.24</v>
    <v>0.3705</v>
    <v>-1.53</v>
    <v>-1.9741999999999999E-2</v>
    <v>0</v>
    <v>0</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76.86</v>
    <v>Pharmaceuticals</v>
    <v>Stock</v>
    <v>45923.843872835154</v>
    <v>18</v>
    <v>75.904499999999999</v>
    <v>240139100000</v>
    <v>ASTRAZENECA PLC</v>
    <v>ASTRAZENECA PLC</v>
    <v>76.61</v>
    <v>29.177800000000001</v>
    <v>77.5</v>
    <v>75.97</v>
    <v>75.97</v>
    <v>3101386000</v>
    <v>AZN</v>
    <v>ASTRAZENECA PLC (XNAS:AZN)</v>
    <v>3908126</v>
    <v>3666506</v>
    <v>1992</v>
  </rv>
  <rv s="2">
    <v>19</v>
  </rv>
  <rv s="0">
    <v>https://www.bing.com/financeapi/forcetrigger?t=a1oldm&amp;q=XNAS%3aBLDP&amp;form=skydnc</v>
    <v>Learn more on Bing</v>
  </rv>
  <rv s="1">
    <v>0</v>
    <v>BALLARD POWER SYSTEMS INC. (XNAS:BLDP)</v>
    <v>2</v>
    <v>10</v>
    <v>Finance</v>
    <v>4</v>
    <v>en-US</v>
    <v>a1oldm</v>
    <v>268435456</v>
    <v>1</v>
    <v>Powered by Refinitiv</v>
    <v>3.17</v>
    <v>1</v>
    <v>1.9372</v>
    <v>0.04</v>
    <v>1.3889E-2</v>
    <v>0.03</v>
    <v>1.0274E-2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3.17</v>
    <v>Renewable Energy</v>
    <v>Stock</v>
    <v>45923.845498425784</v>
    <v>21</v>
    <v>2.9</v>
    <v>1196584000</v>
    <v>BALLARD POWER SYSTEMS INC.</v>
    <v>BALLARD POWER SYSTEMS INC.</v>
    <v>3.13</v>
    <v>0</v>
    <v>2.88</v>
    <v>2.92</v>
    <v>2.95</v>
    <v>300577700</v>
    <v>BLDP</v>
    <v>BALLARD POWER SYSTEMS INC. (XNAS:BLDP)</v>
    <v>16486394</v>
    <v>4839804</v>
    <v>2016</v>
  </rv>
  <rv s="2">
    <v>22</v>
  </rv>
  <rv s="0">
    <v>https://www.bing.com/financeapi/forcetrigger?t=a1oo5r&amp;q=XNAS%3aBMRA&amp;form=skydnc</v>
    <v>Learn more on Bing</v>
  </rv>
  <rv s="1">
    <v>0</v>
    <v>BIOMERICA, INC. (XNAS:BMRA)</v>
    <v>2</v>
    <v>3</v>
    <v>Finance</v>
    <v>4</v>
    <v>en-US</v>
    <v>a1oo5r</v>
    <v>268435456</v>
    <v>1</v>
    <v>Powered by Refinitiv</v>
    <v>10.16</v>
    <v>2.08</v>
    <v>0.33510000000000001</v>
    <v>0.01</v>
    <v>3.5210000000000003E-3</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v>
    <v>Healthcare Equipment &amp; Supplies</v>
    <v>Stock</v>
    <v>45923.84032598359</v>
    <v>24</v>
    <v>2.82</v>
    <v>7995760</v>
    <v>BIOMERICA, INC.</v>
    <v>BIOMERICA, INC.</v>
    <v>2.85</v>
    <v>0</v>
    <v>2.84</v>
    <v>2.85</v>
    <v>2.85</v>
    <v>2815410</v>
    <v>BMRA</v>
    <v>BIOMERICA, INC. (XNAS:BMRA)</v>
    <v>17616</v>
    <v>359634</v>
    <v>1971</v>
  </rv>
  <rv s="2">
    <v>25</v>
  </rv>
  <rv s="0">
    <v>https://www.bing.com/financeapi/forcetrigger?t=a1p3ww&amp;q=XNYS%3aC&amp;form=skydnc</v>
    <v>Learn more on Bing</v>
  </rv>
  <rv s="1">
    <v>0</v>
    <v>CITIGROUP INC. (XNYS:C)</v>
    <v>2</v>
    <v>3</v>
    <v>Finance</v>
    <v>4</v>
    <v>en-US</v>
    <v>a1p3ww</v>
    <v>268435456</v>
    <v>1</v>
    <v>Powered by Refinitiv</v>
    <v>105.59</v>
    <v>55.51</v>
    <v>1.3613</v>
    <v>-0.44</v>
    <v>-4.2520000000000006E-3</v>
    <v>-0.03</v>
    <v>-2.9129999999999998E-4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105.59</v>
    <v>Investment Banking &amp; Investment Services</v>
    <v>Stock</v>
    <v>45923.844034397654</v>
    <v>27</v>
    <v>102.41</v>
    <v>189704538900</v>
    <v>CITIGROUP INC.</v>
    <v>CITIGROUP INC.</v>
    <v>103.53</v>
    <v>15.2989</v>
    <v>103.49</v>
    <v>103.05</v>
    <v>102.97</v>
    <v>1840898000</v>
    <v>C</v>
    <v>CITIGROUP INC. (XNYS:C)</v>
    <v>15283585</v>
    <v>13233780</v>
    <v>1988</v>
  </rv>
  <rv s="2">
    <v>28</v>
  </rv>
  <rv s="0">
    <v>https://www.bing.com/financeapi/forcetrigger?t=a1qe5r&amp;q=XNAS%3aCSCO&amp;form=skydnc</v>
    <v>Learn more on Bing</v>
  </rv>
  <rv s="1">
    <v>0</v>
    <v>CISCO SYSTEMS, INC. (XNAS:CSCO)</v>
    <v>2</v>
    <v>3</v>
    <v>Finance</v>
    <v>4</v>
    <v>en-US</v>
    <v>a1qe5r</v>
    <v>268435456</v>
    <v>1</v>
    <v>Powered by Refinitiv</v>
    <v>72.55</v>
    <v>51.89</v>
    <v>0.96409999999999996</v>
    <v>-0.21</v>
    <v>-3.0999999999999999E-3</v>
    <v>-0.06</v>
    <v>-8.8840000000000002E-4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68.22</v>
    <v>Communications &amp; Networking</v>
    <v>Stock</v>
    <v>45923.845571539059</v>
    <v>30</v>
    <v>67.069999999999993</v>
    <v>266998925380</v>
    <v>CISCO SYSTEMS, INC.</v>
    <v>CISCO SYSTEMS, INC.</v>
    <v>67.58</v>
    <v>28.640599999999999</v>
    <v>67.75</v>
    <v>67.540000000000006</v>
    <v>67.48</v>
    <v>3953197000</v>
    <v>CSCO</v>
    <v>CISCO SYSTEMS, INC. (XNAS:CSCO)</v>
    <v>17680427</v>
    <v>18181180</v>
    <v>2021</v>
  </rv>
  <rv s="2">
    <v>31</v>
  </rv>
  <rv s="0">
    <v>https://www.bing.com/financeapi/forcetrigger?t=a1qlnm&amp;q=XNYS%3aCVS&amp;form=skydnc</v>
    <v>Learn more on Bing</v>
  </rv>
  <rv s="1">
    <v>0</v>
    <v>CVS HEALTH CORPORATION (XNYS:CVS)</v>
    <v>2</v>
    <v>3</v>
    <v>Finance</v>
    <v>4</v>
    <v>en-US</v>
    <v>a1qlnm</v>
    <v>268435456</v>
    <v>1</v>
    <v>Powered by Refinitiv</v>
    <v>76.92</v>
    <v>43.56</v>
    <v>0.60909999999999997</v>
    <v>1.37</v>
    <v>1.8234999999999998E-2</v>
    <v>0</v>
    <v>0</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76.92</v>
    <v>Healthcare Providers &amp; Services</v>
    <v>Stock</v>
    <v>45923.84385225625</v>
    <v>33</v>
    <v>74.909499999999994</v>
    <v>97026939000</v>
    <v>CVS HEALTH CORPORATION</v>
    <v>CVS HEALTH CORPORATION</v>
    <v>75.09</v>
    <v>20.967500000000001</v>
    <v>75.13</v>
    <v>76.5</v>
    <v>76.5</v>
    <v>1268326000</v>
    <v>CVS</v>
    <v>CVS HEALTH CORPORATION (XNYS:CVS)</v>
    <v>5554714</v>
    <v>7232070</v>
    <v>1996</v>
  </rv>
  <rv s="2">
    <v>34</v>
  </rv>
  <rv s="0">
    <v>https://www.bing.com/financeapi/forcetrigger?t=a1qu2w&amp;q=XNYS%3aDDD&amp;form=skydnc</v>
    <v>Learn more on Bing</v>
  </rv>
  <rv s="4">
    <v>11</v>
    <v>3D SYSTEMS CORPORATION (XNYS:DDD)</v>
    <v>2</v>
    <v>12</v>
    <v>Finance</v>
    <v>4</v>
    <v>en-US</v>
    <v>a1qu2w</v>
    <v>268435456</v>
    <v>1</v>
    <v>Powered by Refinitiv</v>
    <v>4.9991000000000003</v>
    <v>1.32</v>
    <v>2.0832999999999999</v>
    <v>0.31</v>
    <v>0.124</v>
    <v>-0.01</v>
    <v>-3.5590000000000001E-3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3.03</v>
    <v>Electronic Equipment &amp; Parts</v>
    <v>Stock</v>
    <v>45923.844473043748</v>
    <v>36</v>
    <v>2.59</v>
    <v>360389806</v>
    <v>3D SYSTEMS CORPORATION</v>
    <v>3D SYSTEMS CORPORATION</v>
    <v>2.6</v>
    <v>2.5</v>
    <v>2.81</v>
    <v>2.8</v>
    <v>128252600</v>
    <v>DDD</v>
    <v>3D SYSTEMS CORPORATION (XNYS:DDD)</v>
    <v>10865788</v>
    <v>3751077</v>
    <v>1993</v>
  </rv>
  <rv s="2">
    <v>37</v>
  </rv>
  <rv s="0">
    <v>http://en.wikipedia.org/wiki/Public_domain</v>
    <v>Public domain</v>
  </rv>
  <rv s="0">
    <v>http://en.wikipedia.org/wiki/The_Walt_Disney_Company</v>
    <v>Wikipedia</v>
  </rv>
  <rv s="5">
    <v>39</v>
    <v>40</v>
  </rv>
  <rv s="6">
    <v>17</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7">
    <v>13</v>
    <v>THE WALT DISNEY COMPANY (XNYS:DIS)</v>
    <v>15</v>
    <v>16</v>
    <v>Finance</v>
    <v>4</v>
    <v>en-US</v>
    <v>a1r2z2</v>
    <v>268435456</v>
    <v>1</v>
    <v>Powered by Refinitiv</v>
    <v>124.69</v>
    <v>80.099999999999994</v>
    <v>1.5379</v>
    <v>-0.28999999999999998</v>
    <v>-2.5760000000000002E-3</v>
    <v>-0.01</v>
    <v>-8.9090000000000003E-5</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113.62</v>
    <v>42</v>
    <v>Media &amp; Publishing</v>
    <v>Stock</v>
    <v>45923.845514003908</v>
    <v>43</v>
    <v>111.6</v>
    <v>201854050180</v>
    <v>THE WALT DISNEY COMPANY</v>
    <v>THE WALT DISNEY COMPANY</v>
    <v>112.72</v>
    <v>17.647099999999998</v>
    <v>112.56</v>
    <v>112.27</v>
    <v>112.24</v>
    <v>1797934000</v>
    <v>DIS</v>
    <v>THE WALT DISNEY COMPANY (XNYS:DIS)</v>
    <v>12960312</v>
    <v>7590381</v>
    <v>2018</v>
  </rv>
  <rv s="2">
    <v>44</v>
  </rv>
  <rv s="0">
    <v>https://www.bing.com/financeapi/forcetrigger?t=ae8e9c&amp;q=XPAR%3aDSY&amp;form=skydnc</v>
    <v>Learn more on Bing</v>
  </rv>
  <rv s="3">
    <v>5</v>
    <v>Dassault Systemes SE (XPAR:DSY)</v>
    <v>2</v>
    <v>8</v>
    <v>Finance</v>
    <v>9</v>
    <v>en-US</v>
    <v>ae8e9c</v>
    <v>268435456</v>
    <v>1</v>
    <v>Powered by Refinitiv</v>
    <v>41.17</v>
    <v>26.25</v>
    <v>0.68940000000000001</v>
    <v>-0.01</v>
    <v>-3.5729999999999996E-4</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28.32</v>
    <v>Software &amp; IT Services</v>
    <v>Stock</v>
    <v>45923.666666666664</v>
    <v>46</v>
    <v>27.96</v>
    <v>37629190000</v>
    <v>Dassault Systemes SE</v>
    <v>Dassault Systemes SE</v>
    <v>28.03</v>
    <v>32.161299999999997</v>
    <v>27.99</v>
    <v>27.98</v>
    <v>1344380000</v>
    <v>DSY</v>
    <v>Dassault Systemes SE (XPAR:DSY)</v>
    <v>1191057</v>
    <v>1897450</v>
    <v>1981</v>
  </rv>
  <rv s="2">
    <v>47</v>
  </rv>
  <rv s="0">
    <v>https://www.bing.com/financeapi/forcetrigger?t=a1rec7&amp;q=XNYS%3aDVA&amp;form=skydnc</v>
    <v>Learn more on Bing</v>
  </rv>
  <rv s="1">
    <v>0</v>
    <v>DAVITA INC. (XNYS:DVA)</v>
    <v>2</v>
    <v>3</v>
    <v>Finance</v>
    <v>4</v>
    <v>en-US</v>
    <v>a1rec7</v>
    <v>268435456</v>
    <v>1</v>
    <v>Powered by Refinitiv</v>
    <v>179.6</v>
    <v>126.07</v>
    <v>1.1213</v>
    <v>1.675</v>
    <v>1.2771999999999999E-2</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134.01</v>
    <v>Healthcare Providers &amp; Services</v>
    <v>Stock</v>
    <v>45923.84387732578</v>
    <v>49</v>
    <v>131.22</v>
    <v>9496987500</v>
    <v>DAVITA INC.</v>
    <v>DAVITA INC.</v>
    <v>131.22</v>
    <v>12.886799999999999</v>
    <v>131.15</v>
    <v>132.82499999999999</v>
    <v>132.83000000000001</v>
    <v>71500000</v>
    <v>DVA</v>
    <v>DAVITA INC. (XNYS:DVA)</v>
    <v>677491</v>
    <v>823843</v>
    <v>1994</v>
  </rv>
  <rv s="2">
    <v>50</v>
  </rv>
  <rv s="0">
    <v>https://www.bing.com/financeapi/forcetrigger?t=a1rgur&amp;q=XNYS%3aDXC&amp;form=skydnc</v>
    <v>Learn more on Bing</v>
  </rv>
  <rv s="1">
    <v>0</v>
    <v>DXC TECHNOLOGY COMPANY (XNYS:DXC)</v>
    <v>2</v>
    <v>3</v>
    <v>Finance</v>
    <v>4</v>
    <v>en-US</v>
    <v>a1rgur</v>
    <v>268435456</v>
    <v>1</v>
    <v>Powered by Refinitiv</v>
    <v>24.83</v>
    <v>12.24</v>
    <v>1.1346000000000001</v>
    <v>-0.63</v>
    <v>-4.4025000000000002E-2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14.36</v>
    <v>Software &amp; IT Services</v>
    <v>Stock</v>
    <v>45923.840326573438</v>
    <v>52</v>
    <v>13.67</v>
    <v>2448702216</v>
    <v>DXC TECHNOLOGY COMPANY</v>
    <v>DXC TECHNOLOGY COMPANY</v>
    <v>14.36</v>
    <v>6.9873000000000003</v>
    <v>14.31</v>
    <v>13.68</v>
    <v>13.67</v>
    <v>178998700</v>
    <v>DXC</v>
    <v>DXC TECHNOLOGY COMPANY (XNYS:DXC)</v>
    <v>1988963</v>
    <v>1715225</v>
    <v>2017</v>
  </rv>
  <rv s="2">
    <v>53</v>
  </rv>
  <rv s="0">
    <v>https://www.bing.com/financeapi/forcetrigger?t=afrlyc&amp;q=XETR%3aEOAN&amp;form=skydnc</v>
    <v>Learn more on Bing</v>
  </rv>
  <rv s="3">
    <v>5</v>
    <v>E.ON SE (XETR:EOAN)</v>
    <v>2</v>
    <v>8</v>
    <v>Finance</v>
    <v>9</v>
    <v>en-US</v>
    <v>afrlyc</v>
    <v>268435456</v>
    <v>1</v>
    <v>Powered by Refinitiv</v>
    <v>16.55</v>
    <v>10.435</v>
    <v>0.70750000000000002</v>
    <v>3.5000000000000003E-2</v>
    <v>2.2389999999999997E-3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15.904999999999999</v>
    <v>Multiline Utilities</v>
    <v>Stock</v>
    <v>45923.770833333336</v>
    <v>55</v>
    <v>15.67</v>
    <v>41297020000</v>
    <v>E.ON SE</v>
    <v>E.ON SE</v>
    <v>15.744999999999999</v>
    <v>12.9482</v>
    <v>15.635</v>
    <v>15.67</v>
    <v>2641319000</v>
    <v>EOAN</v>
    <v>E.ON SE (XETR:EOAN)</v>
    <v>2910064</v>
    <v>4752370</v>
    <v>2017</v>
  </rv>
  <rv s="2">
    <v>56</v>
  </rv>
  <rv s="0">
    <v>https://www.bing.com/financeapi/forcetrigger?t=a1s2zr&amp;q=XNAS%3aEPIX&amp;form=skydnc</v>
    <v>Learn more on Bing</v>
  </rv>
  <rv s="1">
    <v>0</v>
    <v>ESSA Pharma Inc. (XNAS:EPIX)</v>
    <v>2</v>
    <v>3</v>
    <v>Finance</v>
    <v>4</v>
    <v>en-US</v>
    <v>a1s2zr</v>
    <v>268435456</v>
    <v>1</v>
    <v>Powered by Refinitiv</v>
    <v>0.83779999999999999</v>
    <v>0.17330000000000001</v>
    <v>1.5933999999999999</v>
    <v>-1.0699999999999999E-2</v>
    <v>-4.9309000000000006E-2</v>
    <v>4.1000000000000003E-3</v>
    <v>1.9873999999999999E-2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0.21859999999999999</v>
    <v>Holding Companies</v>
    <v>Stock</v>
    <v>45923.843514710155</v>
    <v>58</v>
    <v>0.2</v>
    <v>9759720</v>
    <v>ESSA Pharma Inc.</v>
    <v>ESSA Pharma Inc.</v>
    <v>0.2185</v>
    <v>0</v>
    <v>0.217</v>
    <v>0.20630000000000001</v>
    <v>0.2104</v>
    <v>47308390</v>
    <v>EPIX</v>
    <v>ESSA Pharma Inc. (XNAS:EPIX)</v>
    <v>1958374</v>
    <v>15030748</v>
    <v>2009</v>
  </rv>
  <rv s="2">
    <v>59</v>
  </rv>
  <rv s="0">
    <v>https://www.bing.com/financeapi/forcetrigger?t=a1tyrw&amp;q=XNYS%3aGM&amp;form=skydnc</v>
    <v>Learn more on Bing</v>
  </rv>
  <rv s="1">
    <v>0</v>
    <v>GENERAL MOTORS COMPANY (XNYS:GM)</v>
    <v>2</v>
    <v>3</v>
    <v>Finance</v>
    <v>4</v>
    <v>en-US</v>
    <v>a1tyrw</v>
    <v>268435456</v>
    <v>1</v>
    <v>Powered by Refinitiv</v>
    <v>61.24</v>
    <v>41.6</v>
    <v>1.3292999999999999</v>
    <v>-0.28999999999999998</v>
    <v>-4.9249999999999997E-3</v>
    <v>0</v>
    <v>0</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59.92</v>
    <v>Automobiles &amp; Auto Parts</v>
    <v>Stock</v>
    <v>45923.843817522655</v>
    <v>61</v>
    <v>58.454999999999998</v>
    <v>55782238302</v>
    <v>GENERAL MOTORS COMPANY</v>
    <v>GENERAL MOTORS COMPANY</v>
    <v>59.05</v>
    <v>8.4870999999999999</v>
    <v>58.88</v>
    <v>58.59</v>
    <v>58.58</v>
    <v>952077800</v>
    <v>GM</v>
    <v>GENERAL MOTORS COMPANY (XNYS:GM)</v>
    <v>5744058</v>
    <v>6956912</v>
    <v>2009</v>
  </rv>
  <rv s="2">
    <v>62</v>
  </rv>
  <rv s="0">
    <v>https://www.bing.com/financeapi/forcetrigger?t=a1utqh&amp;q=XNYS%3aHPE&amp;form=skydnc</v>
    <v>Learn more on Bing</v>
  </rv>
  <rv s="1">
    <v>0</v>
    <v>HEWLETT PACKARD ENTERPRISE COMPANY (XNYS:HPE)</v>
    <v>2</v>
    <v>3</v>
    <v>Finance</v>
    <v>4</v>
    <v>en-US</v>
    <v>a1utqh</v>
    <v>268435456</v>
    <v>1</v>
    <v>Powered by Refinitiv</v>
    <v>25.355899999999998</v>
    <v>11.965</v>
    <v>1.4625999999999999</v>
    <v>-0.45</v>
    <v>-1.7885999999999999E-2</v>
    <v>0</v>
    <v>0</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25.315000000000001</v>
    <v>Computers, Phones &amp; Household Electronics</v>
    <v>Stock</v>
    <v>45923.843822117968</v>
    <v>64</v>
    <v>24.68</v>
    <v>32603609500</v>
    <v>HEWLETT PACKARD ENTERPRISE COMPANY</v>
    <v>HEWLETT PACKARD ENTERPRISE COMPANY</v>
    <v>25.12</v>
    <v>30.1784</v>
    <v>25.16</v>
    <v>24.71</v>
    <v>24.7</v>
    <v>1319450000</v>
    <v>HPE</v>
    <v>HEWLETT PACKARD ENTERPRISE COMPANY (XNYS:HPE)</v>
    <v>25178437</v>
    <v>23128345</v>
    <v>2015</v>
  </rv>
  <rv s="2">
    <v>65</v>
  </rv>
  <rv s="0">
    <v>http://en.wikipedia.org/wiki/Hewlett-Packard</v>
    <v>Wikipedia</v>
  </rv>
  <rv s="5">
    <v>39</v>
    <v>67</v>
  </rv>
  <rv s="6">
    <v>17</v>
    <v>https://www.bing.com/th?id=AMMS_98757b1e7b158827481b7c629463c21b&amp;qlt=95</v>
    <v>68</v>
    <v>0</v>
    <v>https://www.bing.com/images/search?form=xlimg&amp;q=hp+company</v>
    <v>Image of HP INC.</v>
  </rv>
  <rv s="0">
    <v>https://www.bing.com/financeapi/forcetrigger?t=a1uu5r&amp;q=XNYS%3aHPQ&amp;form=skydnc</v>
    <v>Learn more on Bing</v>
  </rv>
  <rv s="7">
    <v>13</v>
    <v>HP INC. (XNYS:HPQ)</v>
    <v>15</v>
    <v>16</v>
    <v>Finance</v>
    <v>4</v>
    <v>en-US</v>
    <v>a1uu5r</v>
    <v>268435456</v>
    <v>1</v>
    <v>Powered by Refinitiv</v>
    <v>39.795000000000002</v>
    <v>21.21</v>
    <v>1.3061</v>
    <v>0.28000000000000003</v>
    <v>9.9080000000000001E-3</v>
    <v>0</v>
    <v>0</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28.855</v>
    <v>69</v>
    <v>Computers, Phones &amp; Household Electronics</v>
    <v>Stock</v>
    <v>45923.843822522656</v>
    <v>70</v>
    <v>28.36</v>
    <v>26676389372</v>
    <v>HP INC.</v>
    <v>HP INC.</v>
    <v>28.36</v>
    <v>10.2949</v>
    <v>28.26</v>
    <v>28.54</v>
    <v>28.53</v>
    <v>934701800</v>
    <v>HPQ</v>
    <v>HP INC. (XNYS:HPQ)</v>
    <v>7375358</v>
    <v>9532183</v>
    <v>1998</v>
  </rv>
  <rv s="2">
    <v>71</v>
  </rv>
  <rv s="0">
    <v>https://www.bing.com/financeapi/forcetrigger?t=ao9wcw&amp;q=XLON%3aIAG&amp;form=skydnc</v>
    <v>Learn more on Bing</v>
  </rv>
  <rv s="3">
    <v>5</v>
    <v>International Consolidated Airlines Group SA (XLON:IAG)</v>
    <v>2</v>
    <v>6</v>
    <v>Finance</v>
    <v>7</v>
    <v>en-US</v>
    <v>ao9wcw</v>
    <v>268435456</v>
    <v>1</v>
    <v>Powered by Refinitiv</v>
    <v>398.7</v>
    <v>187</v>
    <v>2.8050999999999999</v>
    <v>3.8</v>
    <v>1.0048E-2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384.1</v>
    <v>Passenger Transportation Services</v>
    <v>Stock</v>
    <v>45923.644570520315</v>
    <v>73</v>
    <v>378.8</v>
    <v>17477920000</v>
    <v>International Consolidated Airlines Group SA</v>
    <v>International Consolidated Airlines Group SA</v>
    <v>380</v>
    <v>6.8132000000000001</v>
    <v>378.2</v>
    <v>382</v>
    <v>4614325000</v>
    <v>IAG</v>
    <v>International Consolidated Airlines Group SA (XLON:IAG)</v>
    <v>8349550</v>
    <v>13205710</v>
    <v>2009</v>
  </rv>
  <rv s="2">
    <v>74</v>
  </rv>
  <rv s="0">
    <v>https://www.bing.com/financeapi/forcetrigger?t=a1wmu2&amp;q=XNYS%3aKR&amp;form=skydnc</v>
    <v>Learn more on Bing</v>
  </rv>
  <rv s="1">
    <v>0</v>
    <v>THE KROGER CO. (XNYS:KR)</v>
    <v>2</v>
    <v>3</v>
    <v>Finance</v>
    <v>4</v>
    <v>en-US</v>
    <v>a1wmu2</v>
    <v>268435456</v>
    <v>1</v>
    <v>Powered by Refinitiv</v>
    <v>74.900000000000006</v>
    <v>54.88</v>
    <v>0.55800000000000005</v>
    <v>0.85</v>
    <v>1.3173999999999998E-2</v>
    <v>0</v>
    <v>0</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65.47</v>
    <v>Food &amp; Drug Retailing</v>
    <v>Stock</v>
    <v>45923.842108865625</v>
    <v>76</v>
    <v>64.37</v>
    <v>43319273934</v>
    <v>THE KROGER CO.</v>
    <v>THE KROGER CO.</v>
    <v>64.459999999999994</v>
    <v>16.345700000000001</v>
    <v>64.52</v>
    <v>65.37</v>
    <v>65.349999999999994</v>
    <v>662678200</v>
    <v>KR</v>
    <v>THE KROGER CO. (XNYS:KR)</v>
    <v>6150196</v>
    <v>8072910</v>
    <v>1902</v>
  </rv>
  <rv s="2">
    <v>77</v>
  </rv>
  <rv s="0">
    <v>https://www.bing.com/financeapi/forcetrigger?t=bvuap2&amp;q=XNAS%3aLNSR&amp;form=skydnc</v>
    <v>Learn more on Bing</v>
  </rv>
  <rv s="1">
    <v>0</v>
    <v>LENSAR, INC. (XNAS:LNSR)</v>
    <v>2</v>
    <v>3</v>
    <v>Finance</v>
    <v>4</v>
    <v>en-US</v>
    <v>bvuap2</v>
    <v>268435456</v>
    <v>1</v>
    <v>Powered by Refinitiv</v>
    <v>17.309999999999999</v>
    <v>4.2</v>
    <v>0.49519999999999997</v>
    <v>-0.28000000000000003</v>
    <v>-2.2029999999999998E-2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12.65</v>
    <v>Healthcare Equipment &amp; Supplies</v>
    <v>Stock</v>
    <v>45923.843372534378</v>
    <v>79</v>
    <v>12.38</v>
    <v>148349315</v>
    <v>LENSAR, INC.</v>
    <v>LENSAR, INC.</v>
    <v>12.65</v>
    <v>0</v>
    <v>12.71</v>
    <v>12.43</v>
    <v>12.43</v>
    <v>11934780</v>
    <v>LNSR</v>
    <v>LENSAR, INC. (XNAS:LNSR)</v>
    <v>28736</v>
    <v>67783</v>
    <v>2004</v>
  </rv>
  <rv s="2">
    <v>80</v>
  </rv>
  <rv s="0">
    <v>https://www.bing.com/financeapi/forcetrigger?t=a1qgzr&amp;q=XNYS%3aLUMN&amp;form=skydnc</v>
    <v>Learn more on Bing</v>
  </rv>
  <rv s="4">
    <v>11</v>
    <v>LUMEN TECHNOLOGIES, INC. (XNYS:LUMN)</v>
    <v>2</v>
    <v>12</v>
    <v>Finance</v>
    <v>4</v>
    <v>en-US</v>
    <v>a1qgzr</v>
    <v>268435456</v>
    <v>1</v>
    <v>Powered by Refinitiv</v>
    <v>10.33</v>
    <v>3.01</v>
    <v>1.4421999999999999</v>
    <v>-0.41499999999999998</v>
    <v>-6.6720000000000002E-2</v>
    <v>0.02</v>
    <v>3.4480000000000001E-3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6.3949999999999996</v>
    <v>Telecommunications Services</v>
    <v>Stock</v>
    <v>45923.844536793753</v>
    <v>82</v>
    <v>5.77</v>
    <v>5956748505</v>
    <v>LUMEN TECHNOLOGIES, INC.</v>
    <v>LUMEN TECHNOLOGIES, INC.</v>
    <v>6.22</v>
    <v>6.22</v>
    <v>5.8049999999999997</v>
    <v>5.82</v>
    <v>1026141000</v>
    <v>LUMN</v>
    <v>LUMEN TECHNOLOGIES, INC. (XNYS:LUMN)</v>
    <v>25842930</v>
    <v>18340775</v>
    <v>1968</v>
  </rv>
  <rv s="2">
    <v>83</v>
  </rv>
  <rv s="0">
    <v>https://www.bing.com/financeapi/forcetrigger?t=bo5fpr&amp;q=XNAS%3aMRNA&amp;form=skydnc</v>
    <v>Learn more on Bing</v>
  </rv>
  <rv s="1">
    <v>0</v>
    <v>MODERNA, INC. (XNAS:MRNA)</v>
    <v>2</v>
    <v>3</v>
    <v>Finance</v>
    <v>4</v>
    <v>en-US</v>
    <v>bo5fpr</v>
    <v>268435456</v>
    <v>1</v>
    <v>Powered by Refinitiv</v>
    <v>67.959800000000001</v>
    <v>23.15</v>
    <v>2.0125000000000002</v>
    <v>-0.77</v>
    <v>-2.8990999999999999E-2</v>
    <v>-0.02</v>
    <v>-7.7549999999999993E-4</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26.97</v>
    <v>Pharmaceuticals</v>
    <v>Stock</v>
    <v>45923.845467303123</v>
    <v>85</v>
    <v>25.66</v>
    <v>10034368042</v>
    <v>MODERNA, INC.</v>
    <v>MODERNA, INC.</v>
    <v>26.72</v>
    <v>0</v>
    <v>26.56</v>
    <v>25.79</v>
    <v>25.77</v>
    <v>389079800</v>
    <v>MRNA</v>
    <v>MODERNA, INC. (XNAS:MRNA)</v>
    <v>8908025</v>
    <v>12104688</v>
    <v>2016</v>
  </rv>
  <rv s="2">
    <v>86</v>
  </rv>
  <rv s="0">
    <v>https://en.wikipedia.org/wiki/Microsoft</v>
    <v>Wikipedia</v>
  </rv>
  <rv s="5">
    <v>39</v>
    <v>88</v>
  </rv>
  <rv s="6">
    <v>17</v>
    <v>https://www.bing.com/th?id=AMMS_e6e837c7bf3a77408619758b7447855a&amp;qlt=95</v>
    <v>89</v>
    <v>0</v>
    <v>https://www.bing.com/images/search?form=xlimg&amp;q=microsoft</v>
    <v>Image of MICROSOFT CORPORATION</v>
  </rv>
  <rv s="0">
    <v>https://www.bing.com/financeapi/forcetrigger?t=a1xzim&amp;q=XNAS%3aMSFT&amp;form=skydnc</v>
    <v>Learn more on Bing</v>
  </rv>
  <rv s="7">
    <v>13</v>
    <v>MICROSOFT CORPORATION (XNAS:MSFT)</v>
    <v>15</v>
    <v>16</v>
    <v>Finance</v>
    <v>4</v>
    <v>en-US</v>
    <v>a1xzim</v>
    <v>268435456</v>
    <v>1</v>
    <v>Powered by Refinitiv</v>
    <v>555.45000000000005</v>
    <v>344.79</v>
    <v>1.0221</v>
    <v>-5.22</v>
    <v>-1.0147E-2</v>
    <v>0.11</v>
    <v>2.1600000000000002E-4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514.58989999999994</v>
    <v>90</v>
    <v>Software &amp; IT Services</v>
    <v>Stock</v>
    <v>45923.845625462498</v>
    <v>91</v>
    <v>507.31</v>
    <v>3785191631410</v>
    <v>MICROSOFT CORPORATION</v>
    <v>MICROSOFT CORPORATION</v>
    <v>513.79999999999995</v>
    <v>37.713299999999997</v>
    <v>514.45000000000005</v>
    <v>509.23</v>
    <v>509.34</v>
    <v>7433167000</v>
    <v>MSFT</v>
    <v>MICROSOFT CORPORATION (XNAS:MSFT)</v>
    <v>18978331</v>
    <v>21832322</v>
    <v>1993</v>
  </rv>
  <rv s="2">
    <v>92</v>
  </rv>
  <rv s="0">
    <v>https://www.bing.com/financeapi/forcetrigger?t=a1ye2w&amp;q=XNYS%3aNEE&amp;form=skydnc</v>
    <v>Learn more on Bing</v>
  </rv>
  <rv s="1">
    <v>0</v>
    <v>NEXTERA ENERGY, INC. (XNYS:NEE)</v>
    <v>2</v>
    <v>3</v>
    <v>Finance</v>
    <v>4</v>
    <v>en-US</v>
    <v>a1ye2w</v>
    <v>268435456</v>
    <v>1</v>
    <v>Powered by Refinitiv</v>
    <v>86.1</v>
    <v>61.72</v>
    <v>0.64419999999999999</v>
    <v>-0.03</v>
    <v>-4.147E-4</v>
    <v>0.06</v>
    <v>8.2960000000000011E-4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72.62</v>
    <v>Electrical Utilities &amp; IPPs</v>
    <v>Stock</v>
    <v>45923.844197094528</v>
    <v>94</v>
    <v>71.724999999999994</v>
    <v>148927997440</v>
    <v>NEXTERA ENERGY, INC.</v>
    <v>NEXTERA ENERGY, INC.</v>
    <v>72.099999999999994</v>
    <v>27.058499999999999</v>
    <v>72.349999999999994</v>
    <v>72.319999999999993</v>
    <v>72.38</v>
    <v>2059292000</v>
    <v>NEE</v>
    <v>NEXTERA ENERGY, INC. (XNYS:NEE)</v>
    <v>6684973</v>
    <v>9938499</v>
    <v>1984</v>
  </rv>
  <rv s="2">
    <v>95</v>
  </rv>
  <rv s="0">
    <v>https://www.bing.com/financeapi/forcetrigger?t=a1yeec&amp;q=XNYS%3aNEM&amp;form=skydnc</v>
    <v>Learn more on Bing</v>
  </rv>
  <rv s="1">
    <v>0</v>
    <v>NEWMONT CORPORATION (XNYS:NEM)</v>
    <v>2</v>
    <v>3</v>
    <v>Finance</v>
    <v>4</v>
    <v>en-US</v>
    <v>a1yeec</v>
    <v>268435456</v>
    <v>1</v>
    <v>Powered by Refinitiv</v>
    <v>86.62</v>
    <v>36.86</v>
    <v>0.3553</v>
    <v>0.97</v>
    <v>1.1586000000000001E-2</v>
    <v>0.33</v>
    <v>3.8969999999999999E-3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86.62</v>
    <v>Metals &amp; Mining</v>
    <v>Stock</v>
    <v>45923.844569224217</v>
    <v>97</v>
    <v>83.98</v>
    <v>93027730500</v>
    <v>NEWMONT CORPORATION</v>
    <v>NEWMONT CORPORATION</v>
    <v>84.704999999999998</v>
    <v>15.1534</v>
    <v>83.72</v>
    <v>84.69</v>
    <v>85</v>
    <v>1098450000</v>
    <v>NEM</v>
    <v>NEWMONT CORPORATION (XNYS:NEM)</v>
    <v>17471611</v>
    <v>10884599</v>
    <v>2001</v>
  </rv>
  <rv s="2">
    <v>98</v>
  </rv>
  <rv s="0">
    <v>https://www.bing.com/financeapi/forcetrigger?t=a1ygoc&amp;q=XNAS%3aNFLX&amp;form=skydnc</v>
    <v>Learn more on Bing</v>
  </rv>
  <rv s="1">
    <v>0</v>
    <v>NETFLIX, INC. (XNAS:NFLX)</v>
    <v>2</v>
    <v>3</v>
    <v>Finance</v>
    <v>4</v>
    <v>en-US</v>
    <v>a1ygoc</v>
    <v>268435456</v>
    <v>1</v>
    <v>Powered by Refinitiv</v>
    <v>1341.15</v>
    <v>677.88</v>
    <v>1.597</v>
    <v>-8.9</v>
    <v>-7.2509999999999996E-3</v>
    <v>-3.3410000000000002</v>
    <v>-2.7420000000000001E-3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1227.79</v>
    <v>Software &amp; IT Services</v>
    <v>Stock</v>
    <v>45923.845456365627</v>
    <v>100</v>
    <v>1208.47</v>
    <v>517760070608</v>
    <v>NETFLIX, INC.</v>
    <v>NETFLIX, INC.</v>
    <v>1227.33</v>
    <v>52.301299999999998</v>
    <v>1227.3699999999999</v>
    <v>1218.47</v>
    <v>1215.1289999999999</v>
    <v>424926400</v>
    <v>NFLX</v>
    <v>NETFLIX, INC. (XNAS:NFLX)</v>
    <v>2349858</v>
    <v>2838765</v>
    <v>1997</v>
  </rv>
  <rv s="2">
    <v>101</v>
  </rv>
  <rv s="0">
    <v>https://www.bing.com/financeapi/forcetrigger?t=bwxx4c&amp;q=XNAS%3aDSAC&amp;form=skydnc</v>
    <v>Learn more on Bing</v>
  </rv>
  <rv s="4">
    <v>11</v>
    <v>FISCALNOTE HOLDINGS, INC. (XNYS:NOTE)</v>
    <v>2</v>
    <v>12</v>
    <v>Finance</v>
    <v>4</v>
    <v>en-US</v>
    <v>bwxx4c</v>
    <v>268435456</v>
    <v>1</v>
    <v>Powered by Refinitiv</v>
    <v>24.36</v>
    <v>3.8</v>
    <v>0.57130000000000003</v>
    <v>-0.14499999999999999</v>
    <v>-2.8486999999999998E-2</v>
    <v>0.09</v>
    <v>1.8182E-2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5.22</v>
    <v>Software &amp; IT Services</v>
    <v>Stock</v>
    <v>45923.840838750002</v>
    <v>103</v>
    <v>4.8499999999999996</v>
    <v>71043380</v>
    <v>FISCALNOTE HOLDINGS, INC.</v>
    <v>FISCALNOTE HOLDINGS, INC.</v>
    <v>5.22</v>
    <v>5.09</v>
    <v>4.9450000000000003</v>
    <v>5.04</v>
    <v>14366710</v>
    <v>NOTE</v>
    <v>FISCALNOTE HOLDINGS, INC. (XNYS:NOTE)</v>
    <v>372677</v>
    <v>322287</v>
    <v>2022</v>
  </rv>
  <rv s="2">
    <v>104</v>
  </rv>
  <rv s="0">
    <v>https://www.bing.com/financeapi/forcetrigger?t=a1zfec&amp;q=XNAS%3aPAAS&amp;form=skydnc</v>
    <v>Learn more on Bing</v>
  </rv>
  <rv s="1">
    <v>0</v>
    <v>Pan American Silver Corp. (XNYS:PAAS)</v>
    <v>2</v>
    <v>10</v>
    <v>Finance</v>
    <v>4</v>
    <v>en-US</v>
    <v>a1zfec</v>
    <v>268435456</v>
    <v>1</v>
    <v>Powered by Refinitiv</v>
    <v>38.409999999999997</v>
    <v>19.8017</v>
    <v>0.86180000000000001</v>
    <v>0.41</v>
    <v>1.0971E-2</v>
    <v>0</v>
    <v>0</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38.409999999999997</v>
    <v>Metals &amp; Mining</v>
    <v>Stock</v>
    <v>45923.843800775001</v>
    <v>106</v>
    <v>37.54</v>
    <v>21834010000</v>
    <v>Pan American Silver Corp.</v>
    <v>Pan American Silver Corp.</v>
    <v>37.82</v>
    <v>25.9453</v>
    <v>37.369999999999997</v>
    <v>37.78</v>
    <v>37.770000000000003</v>
    <v>421976000</v>
    <v>PAAS</v>
    <v>Pan American Silver Corp. (XNYS:PAAS)</v>
    <v>7143258</v>
    <v>6469179</v>
    <v>1979</v>
  </rv>
  <rv s="2">
    <v>107</v>
  </rv>
  <rv s="0">
    <v>https://www.bing.com/financeapi/forcetrigger?t=a2sqhw&amp;q=XNAS%3aPROF&amp;form=skydnc</v>
    <v>Learn more on Bing</v>
  </rv>
  <rv s="1">
    <v>0</v>
    <v>Profound Medical Corp. (XNAS:PROF)</v>
    <v>2</v>
    <v>10</v>
    <v>Finance</v>
    <v>4</v>
    <v>en-US</v>
    <v>a2sqhw</v>
    <v>268435456</v>
    <v>1</v>
    <v>Powered by Refinitiv</v>
    <v>9.17</v>
    <v>3.76</v>
    <v>0.29659999999999997</v>
    <v>0.76</v>
    <v>0.17674399999999998</v>
    <v>8.8900000000000007E-2</v>
    <v>1.7568999999999998E-2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5.2495000000000003</v>
    <v>Healthcare Equipment &amp; Supplies</v>
    <v>Stock</v>
    <v>45923.84548414297</v>
    <v>109</v>
    <v>4.165</v>
    <v>179221500</v>
    <v>Profound Medical Corp.</v>
    <v>Profound Medical Corp.</v>
    <v>4.3499999999999996</v>
    <v>0</v>
    <v>4.3</v>
    <v>5.0599999999999996</v>
    <v>5.1489000000000003</v>
    <v>30121260</v>
    <v>PROF</v>
    <v>Profound Medical Corp. (XNAS:PROF)</v>
    <v>367037</v>
    <v>193030</v>
    <v>2014</v>
  </rv>
  <rv s="2">
    <v>110</v>
  </rv>
  <rv s="0">
    <v>https://www.bing.com/financeapi/forcetrigger?t=a2si9c&amp;q=XNAS%3aPOET&amp;form=skydnc</v>
    <v>Learn more on Bing</v>
  </rv>
  <rv s="1">
    <v>0</v>
    <v>POET Technologies Inc. (XNAS:POET)</v>
    <v>2</v>
    <v>3</v>
    <v>Finance</v>
    <v>4</v>
    <v>en-US</v>
    <v>a2si9c</v>
    <v>268435456</v>
    <v>1</v>
    <v>Powered by Refinitiv</v>
    <v>7.79</v>
    <v>3.09</v>
    <v>0.3624</v>
    <v>0.84</v>
    <v>0.16279099999999999</v>
    <v>0.1454</v>
    <v>2.4232999999999998E-2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6.2</v>
    <v>Semiconductors &amp; Semiconductor Equipment</v>
    <v>Stock</v>
    <v>45923.84533204844</v>
    <v>112</v>
    <v>5.2350000000000003</v>
    <v>544424700</v>
    <v>POET Technologies Inc.</v>
    <v>POET Technologies Inc.</v>
    <v>5.2350000000000003</v>
    <v>0</v>
    <v>5.16</v>
    <v>6</v>
    <v>6.1454000000000004</v>
    <v>90737450</v>
    <v>POET</v>
    <v>POET Technologies Inc. (XNAS:POET)</v>
    <v>8124740</v>
    <v>1208743</v>
    <v>2010</v>
  </rv>
  <rv s="2">
    <v>113</v>
  </rv>
  <rv s="0">
    <v>https://www.bing.com/financeapi/forcetrigger?t=a21g2w&amp;q=XNYS%3aPW&amp;form=skydnc</v>
    <v>Learn more on Bing</v>
  </rv>
  <rv s="4">
    <v>11</v>
    <v>POWER REIT (XNYS:PW)</v>
    <v>2</v>
    <v>12</v>
    <v>Finance</v>
    <v>4</v>
    <v>en-US</v>
    <v>a21g2w</v>
    <v>268435456</v>
    <v>1</v>
    <v>Powered by Refinitiv</v>
    <v>2.75</v>
    <v>0.63</v>
    <v>1.4883</v>
    <v>2.9899999999999999E-2</v>
    <v>3.2156999999999998E-2</v>
    <v>0</v>
    <v>0</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0.96360000000000001</v>
    <v>Residential &amp; Commercial REIT</v>
    <v>Stock</v>
    <v>45923.836204247658</v>
    <v>115</v>
    <v>0.9083</v>
    <v>3151710</v>
    <v>POWER REIT</v>
    <v>POWER REIT</v>
    <v>0.93</v>
    <v>0.92979999999999996</v>
    <v>0.9597</v>
    <v>0.9597</v>
    <v>3389660</v>
    <v>PW</v>
    <v>POWER REIT (XNYS:PW)</v>
    <v>49652</v>
    <v>270297</v>
    <v>2011</v>
  </rv>
  <rv s="2">
    <v>116</v>
  </rv>
  <rv s="0">
    <v>https://www.bing.com/financeapi/forcetrigger?t=a2218m&amp;q=XNAS%3aRIGL&amp;form=skydnc</v>
    <v>Learn more on Bing</v>
  </rv>
  <rv s="1">
    <v>0</v>
    <v>RIGEL PHARMACEUTICALS, INC. (XNAS:RIGL)</v>
    <v>2</v>
    <v>3</v>
    <v>Finance</v>
    <v>4</v>
    <v>en-US</v>
    <v>a2218m</v>
    <v>268435456</v>
    <v>1</v>
    <v>Powered by Refinitiv</v>
    <v>43.7181</v>
    <v>13.570499999999999</v>
    <v>1.226</v>
    <v>-0.43</v>
    <v>-1.2482E-2</v>
    <v>0</v>
    <v>0</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35.299999999999997</v>
    <v>Pharmaceuticals</v>
    <v>Stock</v>
    <v>45923.843370925781</v>
    <v>118</v>
    <v>33.9</v>
    <v>610228306</v>
    <v>RIGEL PHARMACEUTICALS, INC.</v>
    <v>RIGEL PHARMACEUTICALS, INC.</v>
    <v>34.450000000000003</v>
    <v>6.3620000000000001</v>
    <v>34.450000000000003</v>
    <v>34.020000000000003</v>
    <v>34.020000000000003</v>
    <v>17937340</v>
    <v>RIGL</v>
    <v>RIGEL PHARMACEUTICALS, INC. (XNAS:RIGL)</v>
    <v>796680</v>
    <v>764886</v>
    <v>1996</v>
  </rv>
  <rv s="2">
    <v>119</v>
  </rv>
  <rv s="0">
    <v>https://www.bing.com/financeapi/forcetrigger?t=aftkm7&amp;q=XETR%3aRWE&amp;form=skydnc</v>
    <v>Learn more on Bing</v>
  </rv>
  <rv s="3">
    <v>5</v>
    <v>RWE AG (XETR:RWE)</v>
    <v>2</v>
    <v>8</v>
    <v>Finance</v>
    <v>9</v>
    <v>en-US</v>
    <v>aftkm7</v>
    <v>268435456</v>
    <v>1</v>
    <v>Powered by Refinitiv</v>
    <v>37.78</v>
    <v>27.76</v>
    <v>0.47760000000000002</v>
    <v>0.32</v>
    <v>8.8129999999999997E-3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36.9</v>
    <v>Multiline Utilities</v>
    <v>Stock</v>
    <v>45923.770833333336</v>
    <v>121</v>
    <v>36.409999999999997</v>
    <v>27008880000</v>
    <v>RWE AG</v>
    <v>RWE AG</v>
    <v>36.630000000000003</v>
    <v>10.391500000000001</v>
    <v>36.31</v>
    <v>36.630000000000003</v>
    <v>743841200</v>
    <v>RWE</v>
    <v>RWE AG (XETR:RWE)</v>
    <v>1433521</v>
    <v>1825970</v>
    <v>2000</v>
  </rv>
  <rv s="2">
    <v>122</v>
  </rv>
  <rv s="0">
    <v>https://www.bing.com/financeapi/forcetrigger?t=aftlr7&amp;q=XETR%3aSAP&amp;form=skydnc</v>
    <v>Learn more on Bing</v>
  </rv>
  <rv s="3">
    <v>5</v>
    <v>Sap Se (XETR:SAP)</v>
    <v>2</v>
    <v>8</v>
    <v>Finance</v>
    <v>9</v>
    <v>en-US</v>
    <v>aftlr7</v>
    <v>268435456</v>
    <v>1</v>
    <v>Powered by Refinitiv</v>
    <v>283.5</v>
    <v>198</v>
    <v>1.1711</v>
    <v>1.5</v>
    <v>6.6759999999999996E-3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227.6</v>
    <v>Software &amp; IT Services</v>
    <v>Stock</v>
    <v>45923.770833333336</v>
    <v>124</v>
    <v>224.7</v>
    <v>276044900000</v>
    <v>Sap Se</v>
    <v>Sap Se</v>
    <v>225.6</v>
    <v>40.387099999999997</v>
    <v>224.7</v>
    <v>226.2</v>
    <v>1228504000</v>
    <v>SAP</v>
    <v>Sap Se (XETR:SAP)</v>
    <v>1115327</v>
    <v>2207560</v>
    <v>2014</v>
  </rv>
  <rv s="2">
    <v>125</v>
  </rv>
  <rv s="0">
    <v>https://www.bing.com/financeapi/forcetrigger?t=a2vkww&amp;q=OTCM%3aSHECY&amp;form=skydnc</v>
    <v>Learn more on Bing</v>
  </rv>
  <rv s="8">
    <v>18</v>
    <v>Shin-Etsu Chemical Co., Ltd. (OTCM:SHECY)</v>
    <v>2</v>
    <v>19</v>
    <v>Finance</v>
    <v>20</v>
    <v>en-US</v>
    <v>a2vkww</v>
    <v>268435456</v>
    <v>1</v>
    <v>Powered by Refinitiv</v>
    <v>21.74</v>
    <v>11.88</v>
    <v>1.4810000000000001</v>
    <v>-0.06</v>
    <v>-3.7550000000000001E-3</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16.100000000000001</v>
    <v>Chemicals</v>
    <v>Stock</v>
    <v>45923.833333333336</v>
    <v>127</v>
    <v>15.71</v>
    <v>9357271000000</v>
    <v>Shin-Etsu Chemical Co., Ltd.</v>
    <v>Shin-Etsu Chemical Co., Ltd.</v>
    <v>16.100000000000001</v>
    <v>0</v>
    <v>15.98</v>
    <v>15.92</v>
    <v>15.92</v>
    <v>1984996000</v>
    <v>SHECY</v>
    <v>Shin-Etsu Chemical Co., Ltd. (OTCM:SHECY)</v>
    <v>229376</v>
    <v>8411990</v>
    <v>1926</v>
  </rv>
  <rv s="2">
    <v>128</v>
  </rv>
  <rv s="0">
    <v>https://www.bing.com/financeapi/forcetrigger?t=a23myc&amp;q=XNAS%3aSSYS&amp;form=skydnc</v>
    <v>Learn more on Bing</v>
  </rv>
  <rv s="1">
    <v>0</v>
    <v>STRATASYS LTD (XNAS:SSYS)</v>
    <v>2</v>
    <v>3</v>
    <v>Finance</v>
    <v>4</v>
    <v>en-US</v>
    <v>a23myc</v>
    <v>268435456</v>
    <v>1</v>
    <v>Powered by Refinitiv</v>
    <v>12.88</v>
    <v>6.92</v>
    <v>1.5758000000000001</v>
    <v>1.32</v>
    <v>0.12728999999999999</v>
    <v>-0.02</v>
    <v>-1.7110000000000001E-3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11.72</v>
    <v>Electronic Equipment &amp; Parts</v>
    <v>Stock</v>
    <v>45923.84340833281</v>
    <v>130</v>
    <v>10.47</v>
    <v>994740443</v>
    <v>STRATASYS LTD</v>
    <v>STRATASYS LTD</v>
    <v>10.47</v>
    <v>0</v>
    <v>10.37</v>
    <v>11.69</v>
    <v>11.67</v>
    <v>85093280</v>
    <v>SSYS</v>
    <v>STRATASYS LTD (XNAS:SSYS)</v>
    <v>2601011</v>
    <v>1240318</v>
    <v>1998</v>
  </rv>
  <rv s="2">
    <v>131</v>
  </rv>
  <rv s="0">
    <v>https://www.bing.com/financeapi/forcetrigger?t=a24kar&amp;q=XNAS%3aTSLA&amp;form=skydnc</v>
    <v>Learn more on Bing</v>
  </rv>
  <rv s="1">
    <v>0</v>
    <v>TESLA, INC. (XNAS:TSLA)</v>
    <v>2</v>
    <v>3</v>
    <v>Finance</v>
    <v>4</v>
    <v>en-US</v>
    <v>a24kar</v>
    <v>268435456</v>
    <v>1</v>
    <v>Powered by Refinitiv</v>
    <v>488.53989999999999</v>
    <v>212.11</v>
    <v>2.0815999999999999</v>
    <v>-8.36</v>
    <v>-1.9252999999999999E-2</v>
    <v>0.50990000000000002</v>
    <v>1.1969999999999999E-3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440.97</v>
    <v>Automobiles &amp; Auto Parts</v>
    <v>Stock</v>
    <v>45923.845585497656</v>
    <v>133</v>
    <v>423.72</v>
    <v>1416015553350</v>
    <v>TESLA, INC.</v>
    <v>TESLA, INC.</v>
    <v>439.88</v>
    <v>241.9725</v>
    <v>434.21</v>
    <v>425.85</v>
    <v>426.35989999999998</v>
    <v>3325151000</v>
    <v>TSLA</v>
    <v>TESLA, INC. (XNAS:TSLA)</v>
    <v>81896748</v>
    <v>87314650</v>
    <v>2024</v>
  </rv>
  <rv s="2">
    <v>134</v>
  </rv>
  <rv s="0">
    <v>https://www.bing.com/financeapi/forcetrigger?t=a24kjc&amp;q=XNYS%3aTSM&amp;form=skydnc</v>
    <v>Learn more on Bing</v>
  </rv>
  <rv s="1">
    <v>0</v>
    <v>Taiwan Semiconductor Manufacturing Co., Ltd. (XNYS:TSM)</v>
    <v>2</v>
    <v>3</v>
    <v>Finance</v>
    <v>4</v>
    <v>en-US</v>
    <v>a24kjc</v>
    <v>268435456</v>
    <v>1</v>
    <v>Powered by Refinitiv</v>
    <v>286</v>
    <v>134.25</v>
    <v>1.2855000000000001</v>
    <v>10.17</v>
    <v>3.7303000000000003E-2</v>
    <v>0.2581</v>
    <v>9.1289999999999991E-4</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286</v>
    <v>Semiconductors &amp; Semiconductor Equipment</v>
    <v>Stock</v>
    <v>45923.845413680472</v>
    <v>136</v>
    <v>280</v>
    <v>1111422000000</v>
    <v>Taiwan Semiconductor Manufacturing Co., Ltd.</v>
    <v>Taiwan Semiconductor Manufacturing Co., Ltd.</v>
    <v>282.39499999999998</v>
    <v>28.261900000000001</v>
    <v>272.63</v>
    <v>282.8</v>
    <v>282.96809999999999</v>
    <v>5186523000</v>
    <v>TSM</v>
    <v>Taiwan Semiconductor Manufacturing Co., Ltd. (XNYS:TSM)</v>
    <v>17758677</v>
    <v>11670010</v>
    <v>1987</v>
  </rv>
  <rv s="2">
    <v>137</v>
  </rv>
  <rv s="0">
    <v>https://www.bing.com/financeapi/forcetrigger?t=afn5ec&amp;q=XFRA%3aUN01&amp;form=skydnc</v>
    <v>Learn more on Bing</v>
  </rv>
  <rv s="9">
    <v>21</v>
    <v>Uniper SE (XFRA:UN0)</v>
    <v>2</v>
    <v>22</v>
    <v>Finance</v>
    <v>9</v>
    <v>en-US</v>
    <v>afn5ec</v>
    <v>268435456</v>
    <v>1</v>
    <v>Powered by Refinitiv</v>
    <v>73.5</v>
    <v>2.1</v>
    <v>1.0087999999999999</v>
    <v>-1</v>
    <v>-2.8531000000000001E-2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35.15</v>
    <v>Multiline Utilities</v>
    <v>Stock</v>
    <v>45923.833333333336</v>
    <v>139</v>
    <v>34.049999999999997</v>
    <v>14701580000</v>
    <v>Uniper SE</v>
    <v>Uniper SE</v>
    <v>35.15</v>
    <v>35.049999999999997</v>
    <v>34.049999999999997</v>
    <v>416475300</v>
    <v>UN0</v>
    <v>Uniper SE (XFRA:UN0)</v>
    <v>41</v>
    <v>3130</v>
    <v>2016</v>
  </rv>
  <rv s="2">
    <v>140</v>
  </rv>
  <rv s="0">
    <v>https://www.bing.com/financeapi/forcetrigger?t=a24xoc&amp;q=XNAS%3aUNIT&amp;form=skydnc</v>
    <v>Learn more on Bing</v>
  </rv>
  <rv s="1">
    <v>0</v>
    <v>UNITI GROUP INC. (XNAS:UNIT)</v>
    <v>2</v>
    <v>3</v>
    <v>Finance</v>
    <v>4</v>
    <v>en-US</v>
    <v>a24xoc</v>
    <v>268435456</v>
    <v>1</v>
    <v>Powered by Refinitiv</v>
    <v>10.466100000000001</v>
    <v>5.6849999999999996</v>
    <v>1.5790999999999999</v>
    <v>0.17</v>
    <v>2.6154E-2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6.95</v>
    <v>Telecommunications Services</v>
    <v>Stock</v>
    <v>45923.843354467186</v>
    <v>142</v>
    <v>6.47</v>
    <v>987052613</v>
    <v>UNITI GROUP INC.</v>
    <v>UNITI GROUP INC.</v>
    <v>6.5</v>
    <v>27.3262</v>
    <v>6.5</v>
    <v>6.67</v>
    <v>6.67</v>
    <v>147983900</v>
    <v>UNIT</v>
    <v>UNITI GROUP INC. (XNAS:UNIT)</v>
    <v>3396133</v>
    <v>3640100</v>
    <v>2024</v>
  </rv>
  <rv s="2">
    <v>143</v>
  </rv>
  <rv s="0">
    <v>https://www.bing.com/financeapi/forcetrigger?t=a1nz8m&amp;q=XNAS%3aAVGO&amp;form=skydnc</v>
    <v>Learn more on Bing</v>
  </rv>
  <rv s="1">
    <v>0</v>
    <v>BROADCOM INC. (XNAS:AVGO)</v>
    <v>2</v>
    <v>3</v>
    <v>Finance</v>
    <v>4</v>
    <v>en-US</v>
    <v>a1nz8m</v>
    <v>268435456</v>
    <v>1</v>
    <v>Powered by Refinitiv</v>
    <v>374.23</v>
    <v>138.1</v>
    <v>1.2136</v>
    <v>0.15</v>
    <v>4.4279999999999998E-4</v>
    <v>-1.1399999999999999</v>
    <v>-3.3629999999999997E-3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345.21499999999997</v>
    <v>Semiconductors &amp; Semiconductor Equipment</v>
    <v>Stock</v>
    <v>45923.845509027342</v>
    <v>145</v>
    <v>337.02159999999998</v>
    <v>1600598393100</v>
    <v>BROADCOM INC.</v>
    <v>BROADCOM INC.</v>
    <v>340.24</v>
    <v>86.847399999999993</v>
    <v>338.79</v>
    <v>338.94</v>
    <v>337.8</v>
    <v>4722365000</v>
    <v>AVGO</v>
    <v>BROADCOM INC. (XNAS:AVGO)</v>
    <v>20883616</v>
    <v>27942576</v>
    <v>2018</v>
  </rv>
  <rv s="2">
    <v>146</v>
  </rv>
  <rv s="0">
    <v>http://tr.wikipedia.org/wiki/Volvo</v>
    <v>Wikipedia</v>
  </rv>
  <rv s="5">
    <v>39</v>
    <v>148</v>
  </rv>
  <rv s="6">
    <v>17</v>
    <v>https://www.bing.com/th?id=AMMS_a85eaa33bec7c64e52ade4c230f05d74&amp;qlt=95</v>
    <v>149</v>
    <v>0</v>
    <v>https://www.bing.com/images/search?form=xlimg&amp;q=ab+volvo</v>
    <v>Image of Volvo AB</v>
  </rv>
  <rv s="0">
    <v>https://www.bing.com/financeapi/forcetrigger?t=a31af2&amp;q=OTCM%3aVLVLY&amp;form=skydnc</v>
    <v>Learn more on Bing</v>
  </rv>
  <rv s="10">
    <v>23</v>
    <v>Volvo AB (OTCM:VLVLY)</v>
    <v>15</v>
    <v>24</v>
    <v>Finance</v>
    <v>20</v>
    <v>en-US</v>
    <v>a31af2</v>
    <v>268435456</v>
    <v>1</v>
    <v>Powered by Refinitiv</v>
    <v>33.33</v>
    <v>22.55</v>
    <v>0.90300000000000002</v>
    <v>0.48</v>
    <v>1.6449999999999999E-2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30</v>
    <v>150</v>
    <v>Machinery, Equipment &amp; Components</v>
    <v>Stock</v>
    <v>45923.833338599215</v>
    <v>151</v>
    <v>29.59</v>
    <v>554636800000</v>
    <v>Volvo AB</v>
    <v>Volvo AB</v>
    <v>29.78</v>
    <v>0</v>
    <v>29.18</v>
    <v>29.66</v>
    <v>29.59</v>
    <v>2033452000</v>
    <v>VLVLY</v>
    <v>Volvo AB (OTCM:VLVLY)</v>
    <v>44459</v>
    <v>2497410</v>
    <v>1915</v>
  </rv>
  <rv s="2">
    <v>152</v>
  </rv>
  <rv s="0">
    <v>https://www.bing.com/financeapi/forcetrigger?t=an41hw&amp;q=XSWX%3aVONN&amp;form=skydnc</v>
    <v>Learn more on Bing</v>
  </rv>
  <rv s="3">
    <v>5</v>
    <v>Vontobel Holding Ltd (XSWX:VONN)</v>
    <v>2</v>
    <v>25</v>
    <v>Finance</v>
    <v>9</v>
    <v>en-US</v>
    <v>an41hw</v>
    <v>268435456</v>
    <v>1</v>
    <v>Powered by Refinitiv</v>
    <v>69.5</v>
    <v>51.1</v>
    <v>1.0328999999999999</v>
    <v>0.4</v>
    <v>6.6119999999999998E-3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61.3</v>
    <v>Investment Banking &amp; Investment Services</v>
    <v>Stock</v>
    <v>45923.708738425928</v>
    <v>154</v>
    <v>60.3</v>
    <v>3440938000</v>
    <v>Vontobel Holding Ltd</v>
    <v>Vontobel Holding Ltd</v>
    <v>60.5</v>
    <v>13.747199999999999</v>
    <v>60.5</v>
    <v>60.9</v>
    <v>56875000</v>
    <v>VONN</v>
    <v>Vontobel Holding Ltd (XSWX:VONN)</v>
    <v>32262</v>
    <v>26880</v>
    <v>1936</v>
  </rv>
  <rv s="2">
    <v>155</v>
  </rv>
  <rv s="0">
    <v>https://www.bing.com/financeapi/forcetrigger?t=a1y7rw&amp;q=XNAS%3aVTRS&amp;form=skydnc</v>
    <v>Learn more on Bing</v>
  </rv>
  <rv s="1">
    <v>0</v>
    <v>VIATRIS INC. (XNAS:VTRS)</v>
    <v>2</v>
    <v>3</v>
    <v>Finance</v>
    <v>4</v>
    <v>en-US</v>
    <v>a1y7rw</v>
    <v>268435456</v>
    <v>1</v>
    <v>Powered by Refinitiv</v>
    <v>13.55</v>
    <v>6.85</v>
    <v>0.88690000000000002</v>
    <v>-0.19</v>
    <v>-1.9408000000000002E-2</v>
    <v>0</v>
    <v>0</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9.8000000000000007</v>
    <v>Pharmaceuticals</v>
    <v>Stock</v>
    <v>45923.842106435157</v>
    <v>157</v>
    <v>9.5701000000000001</v>
    <v>11192371200</v>
    <v>VIATRIS INC.</v>
    <v>VIATRIS INC.</v>
    <v>9.7899999999999991</v>
    <v>0</v>
    <v>9.7899999999999991</v>
    <v>9.6</v>
    <v>9.6</v>
    <v>1165872000</v>
    <v>VTRS</v>
    <v>VIATRIS INC. (XNAS:VTRS)</v>
    <v>8973629</v>
    <v>10585735</v>
    <v>2019</v>
  </rv>
  <rv s="2">
    <v>158</v>
  </rv>
  <rv s="0">
    <v>https://www.bing.com/financeapi/forcetrigger?t=a25pm7&amp;q=XNAS%3aWBA&amp;form=skydnc</v>
    <v>Learn more on Bing</v>
  </rv>
  <rv s="3">
    <v>5</v>
    <v>WALGREENS BOOTS ALLIANCE, INC. (XNAS:WBA)</v>
    <v>2</v>
    <v>26</v>
    <v>Finance</v>
    <v>27</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0.4824</v>
    <v>1.97</v>
    <v>1.7586000000000001E-2</v>
    <v>0.27</v>
    <v>2.369E-3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114.7488</v>
    <v>Oil &amp; Gas</v>
    <v>Stock</v>
    <v>45923.845489455467</v>
    <v>163</v>
    <v>112.47499999999999</v>
    <v>485967525530</v>
    <v>EXXON MOBIL CORPORATION</v>
    <v>EXXON MOBIL CORPORATION</v>
    <v>112.72</v>
    <v>15.895</v>
    <v>112.02</v>
    <v>113.99</v>
    <v>114.22</v>
    <v>4263247000</v>
    <v>XOM</v>
    <v>EXXON MOBIL CORPORATION (XNYS:XOM)</v>
    <v>23727469</v>
    <v>15473880</v>
    <v>1882</v>
  </rv>
  <rv s="2">
    <v>164</v>
  </rv>
  <rv s="11">
    <v>28</v>
    <v>XPERI INC. (XNYS:XPER)</v>
    <v>29</v>
    <v>12</v>
    <v>Finance</v>
    <v>4</v>
    <v>en-US</v>
    <v>c7dbfr</v>
    <v>268435456</v>
    <v>1</v>
    <v>Powered by Refinitiv</v>
    <v>11.074999999999999</v>
    <v>5.6849999999999996</v>
    <v>1.1439999999999999</v>
    <v>-0.19</v>
    <v>-2.9186E-2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6.5899000000000001</v>
    <v>Software &amp; IT Services</v>
    <v>Stock</v>
    <v>45923.843362707812</v>
    <v>6.31</v>
    <v>292364211</v>
    <v>XPERI INC.</v>
    <v>XPERI INC.</v>
    <v>6.56</v>
    <v>6.51</v>
    <v>6.32</v>
    <v>6.31</v>
    <v>46260160</v>
    <v>XPER</v>
    <v>XPERI INC. (XNYS:XPER)</v>
    <v>492623</v>
    <v>497116</v>
    <v>2019</v>
  </rv>
  <rv s="2">
    <v>166</v>
  </rv>
  <rv s="0">
    <v>https://www.bing.com/financeapi/forcetrigger?t=ajezf2&amp;q=XMIL%3aENI&amp;form=skydnc</v>
    <v>Learn more on Bing</v>
  </rv>
  <rv s="12">
    <v>30</v>
    <v>Eni SpA (XMIL:ENI)</v>
    <v>2</v>
    <v>31</v>
    <v>Finance</v>
    <v>32</v>
    <v>en-US</v>
    <v>ajezf2</v>
    <v>268435456</v>
    <v>1</v>
    <v>Powered by Refinitiv</v>
    <v>15.39</v>
    <v>11.01</v>
    <v>1.1025</v>
    <v>0.25</v>
    <v>1.7135000000000001E-2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14.914</v>
    <v>Oil &amp; Gas</v>
    <v>Stock</v>
    <v>45923.666666666664</v>
    <v>168</v>
    <v>14.56</v>
    <v>45911300000</v>
    <v>Eni SpA</v>
    <v>Eni SpA</v>
    <v>14.6</v>
    <v>18.540700000000001</v>
    <v>14.59</v>
    <v>14.84</v>
    <v>3146765000</v>
    <v>ENI</v>
    <v>Eni SpA (XMIL:ENI)</v>
    <v>10978661</v>
    <v>9398690</v>
  </rv>
  <rv s="2">
    <v>169</v>
  </rv>
  <rv s="0">
    <v>https://www.bing.com/financeapi/forcetrigger?t=ae8t4c&amp;q=XPAR%3aGLE&amp;form=skydnc</v>
    <v>Learn more on Bing</v>
  </rv>
  <rv s="12">
    <v>30</v>
    <v>Societe Generale SA (XPAR:GLE)</v>
    <v>2</v>
    <v>31</v>
    <v>Finance</v>
    <v>9</v>
    <v>en-US</v>
    <v>ae8t4c</v>
    <v>268435456</v>
    <v>1</v>
    <v>Powered by Refinitiv</v>
    <v>59.42</v>
    <v>21.67</v>
    <v>1.5679000000000001</v>
    <v>-0.52</v>
    <v>-9.0659999999999994E-3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57.86</v>
    <v>Banking Services</v>
    <v>Stock</v>
    <v>45923.666666666664</v>
    <v>171</v>
    <v>56.4</v>
    <v>45037950000</v>
    <v>Societe Generale SA</v>
    <v>Societe Generale SA</v>
    <v>57.76</v>
    <v>9.6068999999999996</v>
    <v>57.36</v>
    <v>56.84</v>
    <v>785180400</v>
    <v>GLE</v>
    <v>Societe Generale SA (XPAR:GLE)</v>
    <v>1573948</v>
    <v>2106770</v>
  </rv>
  <rv s="2">
    <v>172</v>
  </rv>
  <rv s="0">
    <v>https://www.bing.com/financeapi/forcetrigger?t=ae9qlh&amp;q=XPAR%3aORA&amp;form=skydnc</v>
    <v>Learn more on Bing</v>
  </rv>
  <rv s="3">
    <v>5</v>
    <v>Orange SA (XPAR:ORA)</v>
    <v>2</v>
    <v>8</v>
    <v>Finance</v>
    <v>9</v>
    <v>en-US</v>
    <v>ae9qlh</v>
    <v>268435456</v>
    <v>1</v>
    <v>Powered by Refinitiv</v>
    <v>14.56</v>
    <v>9.3699999999999992</v>
    <v>0.27229999999999999</v>
    <v>-0.09</v>
    <v>-6.5649999999999997E-3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13.79</v>
    <v>Telecommunications Services</v>
    <v>Stock</v>
    <v>45923.666666666664</v>
    <v>174</v>
    <v>13.62</v>
    <v>36469380000</v>
    <v>Orange SA</v>
    <v>Orange SA</v>
    <v>13.75</v>
    <v>43.019599999999997</v>
    <v>13.71</v>
    <v>13.62</v>
    <v>2660057000</v>
    <v>ORA</v>
    <v>Orange SA (XPAR:ORA)</v>
    <v>2838584</v>
    <v>4300150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3.5388999999999999</v>
    <v>-0.03</v>
    <v>-1.8519000000000001E-2</v>
    <v>0.02</v>
    <v>1.2579E-2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1.72</v>
    <v>Electrical Utilities &amp; IPPs</v>
    <v>Stock</v>
    <v>45923.84041645781</v>
    <v>177</v>
    <v>1.57</v>
    <v>166495737</v>
    <v>BLINK CHARGING CO.</v>
    <v>BLINK CHARGING CO.</v>
    <v>1.64</v>
    <v>0</v>
    <v>1.62</v>
    <v>1.59</v>
    <v>1.61</v>
    <v>104714300</v>
    <v>BLNK</v>
    <v>BLINK CHARGING CO. (XNAS:BLNK)</v>
    <v>5322308</v>
    <v>4008387</v>
    <v>2006</v>
  </rv>
  <rv s="2">
    <v>178</v>
  </rv>
  <rv s="0">
    <v>https://www.bing.com/financeapi/forcetrigger?t=ao8g3m&amp;q=XLON%3aEZJ&amp;form=skydnc</v>
    <v>Learn more on Bing</v>
  </rv>
  <rv s="3">
    <v>5</v>
    <v>EASYJET PLC (XLON:EZJ)</v>
    <v>2</v>
    <v>6</v>
    <v>Finance</v>
    <v>7</v>
    <v>en-US</v>
    <v>ao8g3m</v>
    <v>268435456</v>
    <v>1</v>
    <v>Powered by Refinitiv</v>
    <v>594</v>
    <v>401.05</v>
    <v>2.7949000000000002</v>
    <v>9.9</v>
    <v>2.2133E-2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461.2</v>
    <v>Passenger Transportation Services</v>
    <v>Stock</v>
    <v>45923.633064698435</v>
    <v>180</v>
    <v>448.8</v>
    <v>3390579000</v>
    <v>EASYJET PLC</v>
    <v>EASYJET PLC</v>
    <v>451</v>
    <v>8.0900999999999996</v>
    <v>447.3</v>
    <v>457.2</v>
    <v>758010000</v>
    <v>EZJ</v>
    <v>EASYJET PLC (XLON:EZJ)</v>
    <v>3691457</v>
    <v>4438360</v>
    <v>2000</v>
  </rv>
  <rv s="2">
    <v>181</v>
  </rv>
  <rv s="0">
    <v>http://en.wikipedia.org/wiki/Ford_Motor_Company</v>
    <v>Wikipedia</v>
  </rv>
  <rv s="5">
    <v>39</v>
    <v>183</v>
  </rv>
  <rv s="6">
    <v>17</v>
    <v>https://www.bing.com/th?id=AMMS_cf0311a5f2d2dcb3110aca1404330618&amp;qlt=95</v>
    <v>184</v>
    <v>0</v>
    <v>https://www.bing.com/images/search?form=xlimg&amp;q=ford+motor+company</v>
    <v>Image of FORD MOTOR COMPANY</v>
  </rv>
  <rv s="0">
    <v>https://www.bing.com/financeapi/forcetrigger?t=a1sjw7&amp;q=XNYS%3aF&amp;form=skydnc</v>
    <v>Learn more on Bing</v>
  </rv>
  <rv s="7">
    <v>13</v>
    <v>FORD MOTOR COMPANY (XNYS:F)</v>
    <v>15</v>
    <v>16</v>
    <v>Finance</v>
    <v>4</v>
    <v>en-US</v>
    <v>a1sjw7</v>
    <v>268435456</v>
    <v>1</v>
    <v>Powered by Refinitiv</v>
    <v>11.99</v>
    <v>8.4405999999999999</v>
    <v>1.528</v>
    <v>8.5000000000000006E-2</v>
    <v>7.2899999999999996E-3</v>
    <v>0.02</v>
    <v>1.7050000000000001E-3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11.93</v>
    <v>185</v>
    <v>Automobiles &amp; Auto Parts</v>
    <v>Stock</v>
    <v>45923.844973772655</v>
    <v>186</v>
    <v>11.695</v>
    <v>46743455700</v>
    <v>FORD MOTOR COMPANY</v>
    <v>FORD MOTOR COMPANY</v>
    <v>11.7</v>
    <v>14.9099</v>
    <v>11.66</v>
    <v>11.744999999999999</v>
    <v>11.75</v>
    <v>3979860000</v>
    <v>F</v>
    <v>FORD MOTOR COMPANY (XNYS:F)</v>
    <v>55599323</v>
    <v>50636962</v>
    <v>1919</v>
  </rv>
  <rv s="2">
    <v>187</v>
  </rv>
  <rv s="0">
    <v>https://www.bing.com/financeapi/forcetrigger?t=a1u1z2&amp;q=XNYS%3aGNRC&amp;form=skydnc</v>
    <v>Learn more on Bing</v>
  </rv>
  <rv s="1">
    <v>0</v>
    <v>GENERAC HOLDINGS INC. (XNYS:GNRC)</v>
    <v>2</v>
    <v>3</v>
    <v>Finance</v>
    <v>4</v>
    <v>en-US</v>
    <v>a1u1z2</v>
    <v>268435456</v>
    <v>1</v>
    <v>Powered by Refinitiv</v>
    <v>203.2499</v>
    <v>99.5</v>
    <v>1.6612</v>
    <v>-19.079999999999998</v>
    <v>-0.102658</v>
    <v>-0.47</v>
    <v>-2.8179999999999998E-3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187.81479999999999</v>
    <v>Machinery, Equipment &amp; Components</v>
    <v>Stock</v>
    <v>45923.845555948436</v>
    <v>189</v>
    <v>166.17</v>
    <v>9785974941</v>
    <v>GENERAC HOLDINGS INC.</v>
    <v>GENERAC HOLDINGS INC.</v>
    <v>186.79</v>
    <v>30.862500000000001</v>
    <v>185.86</v>
    <v>166.78</v>
    <v>166.3</v>
    <v>58675950</v>
    <v>GNRC</v>
    <v>GENERAC HOLDINGS INC. (XNYS:GNRC)</v>
    <v>2315615</v>
    <v>876495</v>
    <v>2006</v>
  </rv>
  <rv s="2">
    <v>190</v>
  </rv>
  <rv s="0">
    <v>https://www.bing.com/financeapi/forcetrigger?t=a1u7xm&amp;q=XNYS%3aGS&amp;form=skydnc</v>
    <v>Learn more on Bing</v>
  </rv>
  <rv s="1">
    <v>0</v>
    <v>THE GOLDMAN SACHS GROUP, INC. (XNYS:GS)</v>
    <v>2</v>
    <v>3</v>
    <v>Finance</v>
    <v>4</v>
    <v>en-US</v>
    <v>a1u7xm</v>
    <v>268435456</v>
    <v>1</v>
    <v>Powered by Refinitiv</v>
    <v>825.25</v>
    <v>439.38</v>
    <v>1.4175</v>
    <v>1.29</v>
    <v>1.601E-3</v>
    <v>0</v>
    <v>0</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825.25</v>
    <v>Investment Banking &amp; Investment Services</v>
    <v>Stock</v>
    <v>45923.843819710157</v>
    <v>192</v>
    <v>802</v>
    <v>244250519535</v>
    <v>THE GOLDMAN SACHS GROUP, INC.</v>
    <v>THE GOLDMAN SACHS GROUP, INC.</v>
    <v>807.1</v>
    <v>17.752600000000001</v>
    <v>805.56</v>
    <v>806.85</v>
    <v>806.32</v>
    <v>302721100</v>
    <v>GS</v>
    <v>THE GOLDMAN SACHS GROUP, INC. (XNYS:GS)</v>
    <v>1755841</v>
    <v>1723259</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2.0781000000000001</v>
    <v>0.13</v>
    <v>5.9908000000000003E-2</v>
    <v>-1.0200000000000001E-2</v>
    <v>-4.4349999999999997E-3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2.46</v>
    <v>Automobiles &amp; Auto Parts</v>
    <v>Stock</v>
    <v>45923.845484258592</v>
    <v>195</v>
    <v>2.14</v>
    <v>158158258</v>
    <v>LUMINAR TECHNOLOGIES, INC.</v>
    <v>LUMINAR TECHNOLOGIES, INC.</v>
    <v>2.17</v>
    <v>0</v>
    <v>2.17</v>
    <v>2.2999999999999998</v>
    <v>2.2898000000000001</v>
    <v>68764460</v>
    <v>LAZR</v>
    <v>LUMINAR TECHNOLOGIES, INC. (XNAS:LAZR)</v>
    <v>6480583</v>
    <v>4570475</v>
    <v>2018</v>
  </rv>
  <rv s="2">
    <v>196</v>
  </rv>
  <rv s="0">
    <v>https://www.bing.com/financeapi/forcetrigger?t=a1x6rw&amp;q=XNYS%3aLUV&amp;form=skydnc</v>
    <v>Learn more on Bing</v>
  </rv>
  <rv s="1">
    <v>0</v>
    <v>SOUTHWEST AIRLINES CO. (XNYS:LUV)</v>
    <v>2</v>
    <v>3</v>
    <v>Finance</v>
    <v>4</v>
    <v>en-US</v>
    <v>a1x6rw</v>
    <v>268435456</v>
    <v>1</v>
    <v>Powered by Refinitiv</v>
    <v>37.96</v>
    <v>23.815000000000001</v>
    <v>1.202</v>
    <v>1.0349999999999999</v>
    <v>3.2043000000000002E-2</v>
    <v>0</v>
    <v>0</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33.409999999999997</v>
    <v>Passenger Transportation Services</v>
    <v>Stock</v>
    <v>45923.843835624997</v>
    <v>198</v>
    <v>32.234999999999999</v>
    <v>17507131979</v>
    <v>SOUTHWEST AIRLINES CO.</v>
    <v>SOUTHWEST AIRLINES CO.</v>
    <v>32.25</v>
    <v>38.774999999999999</v>
    <v>32.299999999999997</v>
    <v>33.335000000000001</v>
    <v>33.340000000000003</v>
    <v>525187700</v>
    <v>LUV</v>
    <v>SOUTHWEST AIRLINES CO. (XNYS:LUV)</v>
    <v>12636636</v>
    <v>8318147</v>
    <v>1967</v>
  </rv>
  <rv s="2">
    <v>199</v>
  </rv>
  <rv s="0">
    <v>https://www.bing.com/financeapi/forcetrigger?t=a1x8w7&amp;q=XNYS%3aMA&amp;form=skydnc</v>
    <v>Learn more on Bing</v>
  </rv>
  <rv s="1">
    <v>0</v>
    <v>MASTERCARD INCORPORATED. (XNYS:MA)</v>
    <v>2</v>
    <v>3</v>
    <v>Finance</v>
    <v>4</v>
    <v>en-US</v>
    <v>a1x8w7</v>
    <v>268435456</v>
    <v>1</v>
    <v>Powered by Refinitiv</v>
    <v>601.77</v>
    <v>465.59</v>
    <v>0.9718</v>
    <v>-14.33</v>
    <v>-2.4517000000000001E-2</v>
    <v>0.18</v>
    <v>3.1579999999999998E-4</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586.86</v>
    <v>Software &amp; IT Services</v>
    <v>Stock</v>
    <v>45923.844511573436</v>
    <v>201</v>
    <v>568.25</v>
    <v>515431367888</v>
    <v>MASTERCARD INCORPORATED.</v>
    <v>MASTERCARD INCORPORATED.</v>
    <v>585.45000000000005</v>
    <v>39.417400000000001</v>
    <v>584.49</v>
    <v>570.16</v>
    <v>570.15</v>
    <v>904011800</v>
    <v>MA</v>
    <v>MASTERCARD INCORPORATED. (XNYS:MA)</v>
    <v>3212228</v>
    <v>2599364</v>
    <v>2001</v>
  </rv>
  <rv s="2">
    <v>202</v>
  </rv>
  <rv s="0">
    <v>https://www.bing.com/financeapi/forcetrigger?t=a1yuvh&amp;q=XNAS%3aNVAX&amp;form=skydnc</v>
    <v>Learn more on Bing</v>
  </rv>
  <rv s="1">
    <v>0</v>
    <v>NOVAVAX, INC. (XNAS:NVAX)</v>
    <v>2</v>
    <v>3</v>
    <v>Finance</v>
    <v>4</v>
    <v>en-US</v>
    <v>a1yuvh</v>
    <v>268435456</v>
    <v>1</v>
    <v>Powered by Refinitiv</v>
    <v>15.22</v>
    <v>5.01</v>
    <v>2.7509999999999999</v>
    <v>-0.2</v>
    <v>-2.2547999999999999E-2</v>
    <v>0.13</v>
    <v>1.4994E-2</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9.0399999999999991</v>
    <v>Biotechnology &amp; Medical Research</v>
    <v>Stock</v>
    <v>45923.844195068748</v>
    <v>204</v>
    <v>8.6549999999999994</v>
    <v>1408195272</v>
    <v>NOVAVAX, INC.</v>
    <v>NOVAVAX, INC.</v>
    <v>8.9</v>
    <v>3.8780999999999999</v>
    <v>8.8699999999999992</v>
    <v>8.67</v>
    <v>8.8000000000000007</v>
    <v>162421600</v>
    <v>NVAX</v>
    <v>NOVAVAX, INC. (XNAS:NVAX)</v>
    <v>3833742</v>
    <v>6543071</v>
    <v>1987</v>
  </rv>
  <rv s="2">
    <v>205</v>
  </rv>
  <rv s="0">
    <v>http://en.wikipedia.org/wiki/Novartis</v>
    <v>Wikipedia</v>
  </rv>
  <rv s="5">
    <v>39</v>
    <v>207</v>
  </rv>
  <rv s="6">
    <v>17</v>
    <v>https://www.bing.com/th?id=AMMS_3a4201ed5d487670c98d0ce5663b2ca7&amp;qlt=95</v>
    <v>208</v>
    <v>0</v>
    <v>https://www.bing.com/images/search?form=xlimg&amp;q=novartis</v>
    <v>Image of Novartis Inc.</v>
  </rv>
  <rv s="0">
    <v>https://www.bing.com/financeapi/forcetrigger?t=a1yw77&amp;q=XNYS%3aNVS&amp;form=skydnc</v>
    <v>Learn more on Bing</v>
  </rv>
  <rv s="7">
    <v>13</v>
    <v>Novartis Inc. (XNYS:NVS)</v>
    <v>15</v>
    <v>16</v>
    <v>Finance</v>
    <v>4</v>
    <v>en-US</v>
    <v>a1yw77</v>
    <v>268435456</v>
    <v>1</v>
    <v>Powered by Refinitiv</v>
    <v>130.46</v>
    <v>96.061999999999998</v>
    <v>0.62509999999999999</v>
    <v>-0.54</v>
    <v>-4.3769999999999998E-3</v>
    <v>0</v>
    <v>0</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123.4</v>
    <v>209</v>
    <v>Pharmaceuticals</v>
    <v>Stock</v>
    <v>45923.843799142967</v>
    <v>210</v>
    <v>122.535</v>
    <v>261097800000</v>
    <v>Novartis Inc.</v>
    <v>Novartis Inc.</v>
    <v>122.99</v>
    <v>17.981200000000001</v>
    <v>123.36</v>
    <v>122.82</v>
    <v>122.82</v>
    <v>2112422000</v>
    <v>NVS</v>
    <v>Novartis Inc. (XNYS:NVS)</v>
    <v>754942</v>
    <v>1108081</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0.94430000000000003</v>
    <v>0.66</v>
    <v>1.4422999999999998E-2</v>
    <v>0.05</v>
    <v>1.077E-3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47.234999999999999</v>
    <v>Oil &amp; Gas</v>
    <v>Stock</v>
    <v>45923.845469247659</v>
    <v>213</v>
    <v>45.994999999999997</v>
    <v>45697695516</v>
    <v>OCCIDENTAL PETROLEUM CORPORATION</v>
    <v>OCCIDENTAL PETROLEUM CORPORATION</v>
    <v>46.11</v>
    <v>26.954699999999999</v>
    <v>45.76</v>
    <v>46.42</v>
    <v>46.47</v>
    <v>984439800</v>
    <v>OXY</v>
    <v>OCCIDENTAL PETROLEUM CORPORATION (XNYS:OXY)</v>
    <v>8987880</v>
    <v>8356136</v>
    <v>1986</v>
  </rv>
  <rv s="2">
    <v>214</v>
  </rv>
  <rv s="0">
    <v>https://www.bing.com/financeapi/forcetrigger?t=a1zqnm&amp;q=XNYS%3aPFE&amp;form=skydnc</v>
    <v>Learn more on Bing</v>
  </rv>
  <rv s="1">
    <v>0</v>
    <v>PFIZER INC. (XNYS:PFE)</v>
    <v>2</v>
    <v>3</v>
    <v>Finance</v>
    <v>4</v>
    <v>en-US</v>
    <v>a1zqnm</v>
    <v>268435456</v>
    <v>1</v>
    <v>Powered by Refinitiv</v>
    <v>30.43</v>
    <v>20.914999999999999</v>
    <v>0.50009999999999999</v>
    <v>9.8000000000000004E-2</v>
    <v>4.0769999999999999E-3</v>
    <v>5.0000000000000001E-3</v>
    <v>2.0719999999999999E-4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24.36</v>
    <v>Pharmaceuticals</v>
    <v>Stock</v>
    <v>45923.845364235938</v>
    <v>216</v>
    <v>24.05</v>
    <v>137237805900</v>
    <v>PFIZER INC.</v>
    <v>PFIZER INC.</v>
    <v>24.1</v>
    <v>17.433299999999999</v>
    <v>24.04</v>
    <v>24.138000000000002</v>
    <v>24.135000000000002</v>
    <v>5685550000</v>
    <v>PFE</v>
    <v>PFIZER INC. (XNYS:PFE)</v>
    <v>38464113</v>
    <v>43697588</v>
    <v>1942</v>
  </rv>
  <rv s="2">
    <v>217</v>
  </rv>
  <rv s="0">
    <v>https://www.bing.com/financeapi/forcetrigger?t=a2215r&amp;q=XNYS%3aRIG&amp;form=skydnc</v>
    <v>Learn more on Bing</v>
  </rv>
  <rv s="4">
    <v>11</v>
    <v>Transocean Ltd (XNYS:RIG)</v>
    <v>2</v>
    <v>12</v>
    <v>Finance</v>
    <v>4</v>
    <v>en-US</v>
    <v>a2215r</v>
    <v>268435456</v>
    <v>1</v>
    <v>Powered by Refinitiv</v>
    <v>4.74</v>
    <v>1.97</v>
    <v>2.6907999999999999</v>
    <v>0.14499999999999999</v>
    <v>4.2773000000000005E-2</v>
    <v>0</v>
    <v>0</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3.81</v>
    <v>Oil &amp; Gas Related Equipment and Services</v>
    <v>Stock</v>
    <v>45923.843370705472</v>
    <v>219</v>
    <v>3.44</v>
    <v>3333946875</v>
    <v>Transocean Ltd</v>
    <v>Transocean Ltd</v>
    <v>3.45</v>
    <v>3.39</v>
    <v>3.5350000000000001</v>
    <v>3.54</v>
    <v>943125000</v>
    <v>RIG</v>
    <v>Transocean Ltd (XNYS:RIG)</v>
    <v>56770691</v>
    <v>24723200</v>
    <v>2008</v>
  </rv>
  <rv s="2">
    <v>220</v>
  </rv>
  <rv s="0">
    <v>https://www.bing.com/financeapi/forcetrigger?t=a228w7&amp;q=XNYS%3aRRC&amp;form=skydnc</v>
    <v>Learn more on Bing</v>
  </rv>
  <rv s="1">
    <v>0</v>
    <v>RANGE RESOURCES CORPORATION (XNYS:RRC)</v>
    <v>2</v>
    <v>3</v>
    <v>Finance</v>
    <v>4</v>
    <v>en-US</v>
    <v>a228w7</v>
    <v>268435456</v>
    <v>1</v>
    <v>Powered by Refinitiv</v>
    <v>43.5</v>
    <v>28.99</v>
    <v>0.49890000000000001</v>
    <v>0.82</v>
    <v>2.3476E-2</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36.159999999999997</v>
    <v>Oil &amp; Gas</v>
    <v>Stock</v>
    <v>45923.840328495309</v>
    <v>222</v>
    <v>35</v>
    <v>8515331825</v>
    <v>RANGE RESOURCES CORPORATION</v>
    <v>RANGE RESOURCES CORPORATION</v>
    <v>35</v>
    <v>31.323399999999999</v>
    <v>34.93</v>
    <v>35.75</v>
    <v>35.74</v>
    <v>238191100</v>
    <v>RRC</v>
    <v>RANGE RESOURCES CORPORATION (XNYS:RRC)</v>
    <v>3820919</v>
    <v>2972887</v>
    <v>1980</v>
  </rv>
  <rv s="2">
    <v>223</v>
  </rv>
  <rv s="0">
    <v>https://www.bing.com/financeapi/forcetrigger?t=a23i8m&amp;q=XNYS%3aSQ&amp;form=skydnc</v>
    <v>Learn more on Bing</v>
  </rv>
  <rv s="1">
    <v>0</v>
    <v>BLOCK, INC. (XNYS:XYZ)</v>
    <v>2</v>
    <v>3</v>
    <v>Finance</v>
    <v>4</v>
    <v>en-US</v>
    <v>a23i8m</v>
    <v>268435456</v>
    <v>1</v>
    <v>Powered by Refinitiv</v>
    <v>99.26</v>
    <v>44.27</v>
    <v>2.7254</v>
    <v>-0.755</v>
    <v>-9.7529999999999995E-3</v>
    <v>0.02</v>
    <v>2.6130000000000001E-4</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79</v>
    <v>Professional &amp; Commercial Services</v>
    <v>Stock</v>
    <v>45923.84500201328</v>
    <v>225</v>
    <v>75.48</v>
    <v>46727661520</v>
    <v>BLOCK, INC.</v>
    <v>BLOCK, INC.</v>
    <v>77.69</v>
    <v>45.713799999999999</v>
    <v>77.41</v>
    <v>76.655000000000001</v>
    <v>76.56</v>
    <v>609584000</v>
    <v>XYZ</v>
    <v>BLOCK, INC. (XNYS:XYZ)</v>
    <v>7207727</v>
    <v>5993196</v>
    <v>2009</v>
  </rv>
  <rv s="2">
    <v>226</v>
  </rv>
  <rv s="0">
    <v>https://www.bing.com/financeapi/forcetrigger?t=a2475r&amp;q=XNYS%3aTHC&amp;form=skydnc</v>
    <v>Learn more on Bing</v>
  </rv>
  <rv s="1">
    <v>0</v>
    <v>TENET HEALTHCARE CORPORATION (XNYS:THC)</v>
    <v>2</v>
    <v>3</v>
    <v>Finance</v>
    <v>4</v>
    <v>en-US</v>
    <v>a2475r</v>
    <v>268435456</v>
    <v>1</v>
    <v>Powered by Refinitiv</v>
    <v>199.99</v>
    <v>109.82389999999999</v>
    <v>1.5139</v>
    <v>-1.07</v>
    <v>-5.5139999999999998E-3</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198.60499999999999</v>
    <v>Healthcare Providers &amp; Services</v>
    <v>Stock</v>
    <v>45923.840328899998</v>
    <v>228</v>
    <v>192.54</v>
    <v>17050859490</v>
    <v>TENET HEALTHCARE CORPORATION</v>
    <v>TENET HEALTHCARE CORPORATION</v>
    <v>194.48</v>
    <v>12.831</v>
    <v>194.06</v>
    <v>192.99</v>
    <v>193.08</v>
    <v>88351000</v>
    <v>THC</v>
    <v>TENET HEALTHCARE CORPORATION (XNYS:THC)</v>
    <v>756763</v>
    <v>1213992</v>
    <v>1975</v>
  </rv>
  <rv s="2">
    <v>229</v>
  </rv>
  <rv s="0">
    <v>https://www.bing.com/financeapi/forcetrigger?t=a265bh&amp;q=XNYS%3aX&amp;form=skydnc</v>
    <v>Learn more on Bing</v>
  </rv>
  <rv s="3">
    <v>5</v>
    <v>UNITED STATES STEEL CORPORATION (XNYS:X)</v>
    <v>2</v>
    <v>26</v>
    <v>Finance</v>
    <v>27</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3">
    <v>33</v>
    <v>iShs Digtl Sec UCITS ETF USD A (XLON:LOCK)</v>
    <v>34</v>
    <v>35</v>
    <v>Finance</v>
    <v>36</v>
    <v>en-US</v>
    <v>bhz7hw</v>
    <v>268435456</v>
    <v>1</v>
    <v>Powered by Refinitiv</v>
    <v>10.492000000000001</v>
    <v>7.351</v>
    <v>0.62690000000000001</v>
    <v>3.2000000000000001E-2</v>
    <v>3.068E-3</v>
    <v>USD</v>
    <v>London Stock Exchange</v>
    <v>XLON</v>
    <v>4.0000000000000001E-3</v>
    <v>10.492000000000001</v>
    <v>ETF</v>
    <v>45923.651847499998</v>
    <v>234</v>
    <v>10.46</v>
    <v>1682169289.8099999</v>
    <v>iShs Digtl Sec UCITS ETF USD A</v>
    <v>10.47</v>
    <v>10.43</v>
    <v>10.462</v>
    <v>LOCK</v>
    <v>iShs Digtl Sec UCITS ETF USD A (XLON:LOCK)</v>
    <v>14472</v>
  </rv>
  <rv s="2">
    <v>235</v>
  </rv>
  <rv s="14">
    <v>12</v>
    <v>Volume average</v>
    <v>0</v>
  </rv>
  <rv s="15">
    <v>12</v>
    <v>1</v>
  </rv>
  <rv s="16">
    <v>37</v>
    <v>EUR/USD</v>
    <v>38</v>
    <v>39</v>
    <v>Finance</v>
    <v>40</v>
    <v>en-US</v>
    <v>av932w</v>
    <v>268435456</v>
    <v>1</v>
    <v>Powered by Refinitiv</v>
    <v>1.1918</v>
    <v>1.0176000000000001</v>
    <v>1.1999999999999999E-3</v>
    <v>1.0169999999999999E-3</v>
    <v>USD</v>
    <v>EUR</v>
    <v>1.1819</v>
    <v>Currency Pair</v>
    <v>45923.845601851855</v>
    <v>1.1779999999999999</v>
    <v>Euro/US Dollar FX Spot Rate</v>
    <v>1.1801999999999999</v>
    <v>1.1801999999999999</v>
    <v>1.1814</v>
    <v>EURUSD</v>
    <v>EUR/USD</v>
  </rv>
  <rv s="2">
    <v>239</v>
  </rv>
  <rv s="16">
    <v>37</v>
    <v>EUR/CHF</v>
    <v>38</v>
    <v>41</v>
    <v>Finance</v>
    <v>40</v>
    <v>en-US</v>
    <v>av923m</v>
    <v>268435456</v>
    <v>1</v>
    <v>Powered by Refinitiv</v>
    <v>0.96609999999999996</v>
    <v>0.92</v>
    <v>-2.9999999999999997E-4</v>
    <v>-3.2089999999999999E-4</v>
    <v>CHF</v>
    <v>EUR</v>
    <v>0.93569999999999998</v>
    <v>Currency Pair</v>
    <v>45923.845578703702</v>
    <v>0.93410000000000004</v>
    <v>Euro/Swiss Franc FX Cross Rate</v>
    <v>0.93500000000000005</v>
    <v>0.93500000000000005</v>
    <v>0.93469999999999998</v>
    <v>EURCHF</v>
    <v>EUR/CHF</v>
  </rv>
  <rv s="2">
    <v>241</v>
  </rv>
  <rv s="16">
    <v>37</v>
    <v>EUR/GBP</v>
    <v>38</v>
    <v>42</v>
    <v>Finance</v>
    <v>40</v>
    <v>en-US</v>
    <v>av92z2</v>
    <v>268435456</v>
    <v>1</v>
    <v>Powered by Refinitiv</v>
    <v>0.87629999999999997</v>
    <v>0.82189999999999996</v>
    <v>0</v>
    <v>0</v>
    <v>GBP</v>
    <v>EUR</v>
    <v>0.87460000000000004</v>
    <v>Currency Pair</v>
    <v>45923.845601851855</v>
    <v>0.87180000000000002</v>
    <v>Euro/UK Pound Sterling FX Cross Rate</v>
    <v>0.87329999999999997</v>
    <v>0.87329999999999997</v>
    <v>0.87329999999999997</v>
    <v>EURGBP</v>
    <v>EUR/GBP</v>
  </rv>
  <rv s="2">
    <v>243</v>
  </rv>
  <rv s="16">
    <v>37</v>
    <v>EUR/AUD</v>
    <v>38</v>
    <v>43</v>
    <v>Finance</v>
    <v>40</v>
    <v>en-US</v>
    <v>av8sfr</v>
    <v>268435456</v>
    <v>1</v>
    <v>Powered by Refinitiv</v>
    <v>1.8554999999999999</v>
    <v>1.5899000000000001</v>
    <v>2.0999999999999999E-3</v>
    <v>1.1749999999999998E-3</v>
    <v>AUD</v>
    <v>EUR</v>
    <v>1.7930999999999999</v>
    <v>Currency Pair</v>
    <v>45923.845578703702</v>
    <v>1.7839</v>
    <v>Euro/Australian Dollar FX Cross Rate</v>
    <v>1.7879</v>
    <v>1.7879</v>
    <v>1.79</v>
    <v>EURAUD</v>
    <v>EUR/AUD</v>
  </rv>
  <rv s="2">
    <v>245</v>
  </rv>
  <rv s="16">
    <v>37</v>
    <v>EUR/CAD</v>
    <v>38</v>
    <v>44</v>
    <v>Finance</v>
    <v>40</v>
    <v>en-US</v>
    <v>av8ttc</v>
    <v>268435456</v>
    <v>1</v>
    <v>Powered by Refinitiv</v>
    <v>1.6359999999999999</v>
    <v>1.4484999999999999</v>
    <v>4.1000000000000003E-3</v>
    <v>2.5140000000000002E-3</v>
    <v>CAD</v>
    <v>EUR</v>
    <v>1.6358999999999999</v>
    <v>Currency Pair</v>
    <v>45923.845578703702</v>
    <v>1.6294999999999999</v>
    <v>Euro/Canadian Dollar FX Cross Rate</v>
    <v>1.6308</v>
    <v>1.6308</v>
    <v>1.6349</v>
    <v>EURCAD</v>
    <v>EUR/CAD</v>
  </rv>
  <rv s="2">
    <v>247</v>
  </rv>
  <rv s="16">
    <v>37</v>
    <v>USD/JPY</v>
    <v>38</v>
    <v>45</v>
    <v>Finance</v>
    <v>40</v>
    <v>en-US</v>
    <v>avyomw</v>
    <v>268435456</v>
    <v>1</v>
    <v>Powered by Refinitiv</v>
    <v>158.87</v>
    <v>139.86000000000001</v>
    <v>-0.09</v>
    <v>-6.0930000000000001E-4</v>
    <v>JPY</v>
    <v>USD</v>
    <v>147.91999999999999</v>
    <v>Currency Pair</v>
    <v>45923.845578703702</v>
    <v>147.47</v>
    <v>US Dollar/Japanese Yen FX Spot Rate</v>
    <v>147.71</v>
    <v>147.71</v>
    <v>147.62</v>
    <v>USDJPY</v>
    <v>USD/JPY</v>
  </rv>
  <rv s="2">
    <v>249</v>
  </rv>
  <rv s="16">
    <v>37</v>
    <v>USD/CHF</v>
    <v>38</v>
    <v>41</v>
    <v>Finance</v>
    <v>40</v>
    <v>en-US</v>
    <v>avyt7w</v>
    <v>268435456</v>
    <v>1</v>
    <v>Powered by Refinitiv</v>
    <v>0.92</v>
    <v>0.78269999999999995</v>
    <v>-1E-3</v>
    <v>-1.2620000000000001E-3</v>
    <v>CHF</v>
    <v>USD</v>
    <v>0.79330000000000001</v>
    <v>Currency Pair</v>
    <v>45923.845451388886</v>
    <v>0.79100000000000004</v>
    <v>US Dollar/Swiss Franc FX Spot Rate</v>
    <v>0.79220000000000002</v>
    <v>0.79220000000000002</v>
    <v>0.79120000000000001</v>
    <v>USDCHF</v>
    <v>USD/CHF</v>
  </rv>
  <rv s="2">
    <v>251</v>
  </rv>
  <rv s="16">
    <v>37</v>
    <v>USD/GBP</v>
    <v>38</v>
    <v>42</v>
    <v>Finance</v>
    <v>40</v>
    <v>en-US</v>
    <v>avyu4c</v>
    <v>268435456</v>
    <v>1</v>
    <v>Powered by Refinitiv</v>
    <v>0.82650000000000001</v>
    <v>0.72509999999999997</v>
    <v>-7.9199999999999995E-4</v>
    <v>-1.07E-3</v>
    <v>GBP</v>
    <v>USD</v>
    <v>0.74139999999999995</v>
    <v>Currency Pair</v>
    <v>45923.845601851855</v>
    <v>0.73880000000000001</v>
    <v>US Dollar/UK Pound Sterling FX Cross Rate</v>
    <v>0.74</v>
    <v>0.74</v>
    <v>0.73919999999999997</v>
    <v>USDGBP</v>
    <v>USD/GBP</v>
  </rv>
  <rv s="2">
    <v>253</v>
  </rv>
  <rv s="0">
    <v>https://www.bing.com/financeapi/forcetrigger?t=a6qja2&amp;q=DOW+JONES+INDU+AVERAGE+NDX&amp;form=skydnc</v>
    <v>Learn more on Bing</v>
  </rv>
  <rv s="17">
    <v>46</v>
    <v>DOW JONES INDU AVERAGE NDX</v>
    <v>34</v>
    <v>47</v>
    <v>Finance</v>
    <v>48</v>
    <v>en-US</v>
    <v>a6qja2</v>
    <v>268435456</v>
    <v>1</v>
    <v>Powered by Refinitiv</v>
    <v>46714.27</v>
    <v>36611.78</v>
    <v>-88.76</v>
    <v>-1.9139999999999999E-3</v>
    <v>US</v>
    <v>46714.27</v>
    <v>Index</v>
    <v>255</v>
    <v>46217.58</v>
    <v>DOW JONES INDU AVERAGE NDX</v>
    <v>46364.11</v>
    <v>46381.54</v>
    <v>46292.78</v>
    <v>DJI</v>
    <v>DOW JONES INDU AVERAGE NDX</v>
  </rv>
  <rv s="2">
    <v>256</v>
  </rv>
  <rv s="0">
    <v>https://www.bing.com/financeapi/forcetrigger?t=bxjpp2&amp;q=XLON%3aXNAS&amp;form=skydnc</v>
    <v>Learn more on Bing</v>
  </rv>
  <rv s="13">
    <v>33</v>
    <v>X NASDAQ 100 UCITS ETF 1C (XLON:XNAS)</v>
    <v>34</v>
    <v>35</v>
    <v>Finance</v>
    <v>36</v>
    <v>en-US</v>
    <v>bxjpp2</v>
    <v>268435456</v>
    <v>1</v>
    <v>Powered by Refinitiv</v>
    <v>57.33</v>
    <v>37.74</v>
    <v>1.1145</v>
    <v>0.13</v>
    <v>2.2789999999999998E-3</v>
    <v>USD</v>
    <v>London Stock Exchange</v>
    <v>XLON</v>
    <v>2E-3</v>
    <v>57.33</v>
    <v>ETF</v>
    <v>45923.649560185186</v>
    <v>258</v>
    <v>57.15</v>
    <v>1633405820.54</v>
    <v>X NASDAQ 100 UCITS ETF 1C</v>
    <v>57.31</v>
    <v>57.05</v>
    <v>57.18</v>
    <v>XNAS</v>
    <v>X NASDAQ 100 UCITS ETF 1C (XLON:XNAS)</v>
    <v>16170</v>
  </rv>
  <rv s="2">
    <v>259</v>
  </rv>
  <rv s="14">
    <v>12</v>
    <v>Instrument type</v>
    <v>0</v>
  </rv>
  <rv s="0">
    <v>https://www.bing.com/financeapi/forcetrigger?t=a1qqvh&amp;q=XNAS%3aDAX&amp;form=skydnc</v>
    <v>Learn more on Bing</v>
  </rv>
  <rv s="18">
    <v>49</v>
    <v>Glbl X DAX Germany (XNAS:DAX)</v>
    <v>34</v>
    <v>50</v>
    <v>Finance</v>
    <v>51</v>
    <v>en-US</v>
    <v>a1qqvh</v>
    <v>268435456</v>
    <v>1</v>
    <v>Powered by Refinitiv</v>
    <v>46.088799999999999</v>
    <v>32.33</v>
    <v>1.0944</v>
    <v>-0.02</v>
    <v>-4.5170000000000003E-4</v>
    <v>0</v>
    <v>0</v>
    <v>USD</v>
    <v>Nasdaq Stock Market</v>
    <v>XNAS</v>
    <v>2E-3</v>
    <v>44.45</v>
    <v>ETF</v>
    <v>45923.840326435158</v>
    <v>262</v>
    <v>44.17</v>
    <v>305665362.13999999</v>
    <v>Glbl X DAX Germany</v>
    <v>44.3</v>
    <v>44.28</v>
    <v>44.26</v>
    <v>44.26</v>
    <v>DAX</v>
    <v>Glbl X DAX Germany (XNAS:DAX)</v>
    <v>37030</v>
    <v>61141</v>
  </rv>
  <rv s="2">
    <v>263</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2">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14</v>
      <v>1</v>
      <v>1</v>
      <v>1</v>
      <v>1</v>
    </spb>
    <spb s="11">
      <v>1</v>
      <v>2</v>
      <v>2</v>
      <v>1</v>
      <v>3</v>
      <v>1</v>
      <v>15</v>
      <v>1</v>
      <v>1</v>
      <v>4</v>
      <v>4</v>
      <v>5</v>
      <v>6</v>
      <v>1</v>
      <v>1</v>
      <v>1</v>
      <v>4</v>
      <v>7</v>
      <v>8</v>
      <v>9</v>
      <v>4</v>
      <v>1</v>
      <v>1</v>
      <v>5</v>
    </spb>
    <spb s="12">
      <v>Powered by Refinitiv</v>
    </spb>
    <spb s="0">
      <v>4</v>
      <v>Name</v>
      <v>LearnMoreOnLink</v>
    </spb>
    <spb s="13">
      <v>1</v>
      <v>2</v>
      <v>2</v>
      <v>1</v>
      <v>3</v>
      <v>1</v>
      <v>1</v>
      <v>1</v>
      <v>4</v>
      <v>4</v>
      <v>5</v>
      <v>16</v>
      <v>1</v>
      <v>1</v>
      <v>1</v>
      <v>4</v>
      <v>7</v>
      <v>8</v>
      <v>9</v>
      <v>4</v>
      <v>1</v>
    </spb>
    <spb s="14">
      <v>at close</v>
      <v>from previous close</v>
      <v>from previous close</v>
      <v>GMT</v>
      <v>Delayed 15 minutes</v>
    </spb>
    <spb s="0">
      <v>5</v>
      <v>Name</v>
      <v>LearnMoreOnLink</v>
    </spb>
    <spb s="15">
      <v>12</v>
      <v>2</v>
      <v>12</v>
      <v>3</v>
      <v>12</v>
      <v>12</v>
      <v>12</v>
      <v>4</v>
      <v>4</v>
      <v>5</v>
      <v>13</v>
      <v>12</v>
      <v>12</v>
      <v>12</v>
      <v>4</v>
      <v>7</v>
      <v>8</v>
      <v>9</v>
      <v>4</v>
    </spb>
    <spb s="0">
      <v>6</v>
      <v>Name</v>
      <v>LearnMoreOnLink</v>
    </spb>
    <spb s="16">
      <v>1</v>
      <v>2</v>
      <v>2</v>
      <v>1</v>
      <v>3</v>
      <v>1</v>
      <v>15</v>
      <v>1</v>
      <v>1</v>
      <v>4</v>
      <v>4</v>
      <v>5</v>
      <v>17</v>
      <v>1</v>
      <v>1</v>
      <v>1</v>
      <v>4</v>
      <v>7</v>
      <v>8</v>
      <v>9</v>
      <v>4</v>
      <v>1</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7">
      <v>7</v>
      <v>Name</v>
    </spb>
    <spb s="18">
      <v>1</v>
      <v>1</v>
      <v>1</v>
    </spb>
    <spb s="0">
      <v>8</v>
      <v>Name</v>
      <v>LearnMoreOnLink</v>
    </spb>
    <spb s="19">
      <v>12</v>
      <v>2</v>
      <v>2</v>
      <v>12</v>
      <v>3</v>
      <v>12</v>
      <v>12</v>
      <v>12</v>
      <v>4</v>
      <v>4</v>
      <v>5</v>
      <v>13</v>
      <v>12</v>
      <v>12</v>
      <v>12</v>
      <v>4</v>
      <v>7</v>
      <v>9</v>
      <v>4</v>
    </spb>
    <spb s="6">
      <v>Delayed 15 minutes</v>
      <v>from previous close</v>
      <v>from previous close</v>
      <v>Borsa Italia</v>
      <v>GMT</v>
    </spb>
    <spb s="0">
      <v>9</v>
      <v>Name</v>
      <v>LearnMoreOnLink</v>
    </spb>
    <spb s="20">
      <v>1</v>
      <v>1</v>
      <v>1</v>
    </spb>
    <spb s="21">
      <v>1</v>
      <v>2</v>
      <v>1</v>
      <v>3</v>
      <v>1</v>
      <v>1</v>
      <v>1</v>
      <v>4</v>
      <v>5</v>
      <v>6</v>
      <v>1</v>
      <v>1</v>
      <v>5</v>
      <v>1</v>
      <v>7</v>
      <v>9</v>
    </spb>
    <spb s="22">
      <v>Delayed 15 minutes</v>
      <v>from previous close</v>
      <v>LSE</v>
      <v>from previous close</v>
      <v>GMT</v>
    </spb>
    <spb s="17">
      <v>10</v>
      <v>Name</v>
    </spb>
    <spb s="23">
      <v>1</v>
      <v>1</v>
    </spb>
    <spb s="24">
      <v>1</v>
      <v>1</v>
      <v>3</v>
      <v>1</v>
      <v>1</v>
      <v>1</v>
      <v>5</v>
      <v>1</v>
      <v>1</v>
      <v>1</v>
      <v>7</v>
      <v>9</v>
    </spb>
    <spb s="25">
      <v>GMT</v>
    </spb>
    <spb s="24">
      <v>18</v>
      <v>18</v>
      <v>3</v>
      <v>18</v>
      <v>18</v>
      <v>18</v>
      <v>5</v>
      <v>18</v>
      <v>18</v>
      <v>18</v>
      <v>7</v>
      <v>9</v>
    </spb>
    <spb s="24">
      <v>20</v>
      <v>20</v>
      <v>3</v>
      <v>20</v>
      <v>20</v>
      <v>20</v>
      <v>5</v>
      <v>20</v>
      <v>20</v>
      <v>20</v>
      <v>7</v>
      <v>9</v>
    </spb>
    <spb s="24">
      <v>21</v>
      <v>21</v>
      <v>3</v>
      <v>21</v>
      <v>21</v>
      <v>21</v>
      <v>5</v>
      <v>21</v>
      <v>21</v>
      <v>21</v>
      <v>7</v>
      <v>9</v>
    </spb>
    <spb s="24">
      <v>22</v>
      <v>22</v>
      <v>3</v>
      <v>22</v>
      <v>22</v>
      <v>22</v>
      <v>5</v>
      <v>22</v>
      <v>22</v>
      <v>22</v>
      <v>7</v>
      <v>9</v>
    </spb>
    <spb s="24">
      <v>23</v>
      <v>23</v>
      <v>3</v>
      <v>23</v>
      <v>23</v>
      <v>23</v>
      <v>5</v>
      <v>23</v>
      <v>23</v>
      <v>23</v>
      <v>7</v>
      <v>9</v>
    </spb>
    <spb s="0">
      <v>11</v>
      <v>Name</v>
      <v>LearnMoreOnLink</v>
    </spb>
    <spb s="26">
      <v>1</v>
      <v>1</v>
      <v>3</v>
      <v>1</v>
      <v>1</v>
      <v>1</v>
      <v>5</v>
      <v>1</v>
      <v>1</v>
      <v>1</v>
      <v>9</v>
    </spb>
    <spb s="27">
      <v>from previous close</v>
      <v>from previous close</v>
    </spb>
    <spb s="0">
      <v>12</v>
      <v>Name</v>
      <v>LearnMoreOnLink</v>
    </spb>
    <spb s="28">
      <v>1</v>
      <v>2</v>
      <v>1</v>
      <v>3</v>
      <v>1</v>
      <v>1</v>
      <v>1</v>
      <v>4</v>
      <v>5</v>
      <v>6</v>
      <v>1</v>
      <v>1</v>
      <v>5</v>
      <v>1</v>
      <v>4</v>
      <v>7</v>
      <v>9</v>
      <v>1</v>
      <v>1</v>
      <v>5</v>
    </spb>
    <spb s="29">
      <v>at close</v>
      <v>from previous close</v>
      <v>Source: Nasdaq Last Sale</v>
      <v>from previous close</v>
      <v>GMT</v>
      <v>Real-Time Nasdaq Last Sale</v>
      <v>from close</v>
      <v>from close</v>
    </spb>
  </spbData>
</supportingPropertyBags>
</file>

<file path=xl/richData/rdsupportingpropertybagstructure.xml><?xml version="1.0" encoding="utf-8"?>
<spbStructures xmlns="http://schemas.microsoft.com/office/spreadsheetml/2017/richdata2" count="30">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625">
  <tableColumns count="32">
    <tableColumn id="2" xr3:uid="{8118E0A9-5AF1-7F44-BE09-CF2D0F8A2399}" name="Ticker symbol" totalsRowLabel="Total" dataDxfId="624" totalsRowDxfId="623">
      <calculatedColumnFormula array="1">_xlfn.SINGLE(RTData[suffix])&amp;_FV(RTData[[#This Row],[Company Name]],"Ticker symbol",TRUE)</calculatedColumnFormula>
    </tableColumn>
    <tableColumn id="7" xr3:uid="{499A2502-9862-974B-B3F4-42E9D6C812C8}" name="ExchR" dataDxfId="622" totalsRowDxfId="621">
      <calculatedColumnFormula>RTData[[#This Row],[Currency]]</calculatedColumnFormula>
    </tableColumn>
    <tableColumn id="3" xr3:uid="{5A6CBBC9-8B27-C94D-8965-6BDAEC21DC67}" name="Company Name" dataDxfId="620" totalsRowDxfId="619"/>
    <tableColumn id="53" xr3:uid="{B14728A6-B009-7546-B848-E719B03540DC}" name="Currency" dataDxfId="618" totalsRowDxfId="617">
      <calculatedColumnFormula array="1">_FV(RTData[[#This Row],[Company Name]],"Currency")</calculatedColumnFormula>
    </tableColumn>
    <tableColumn id="20" xr3:uid="{D82CD65F-7990-6441-B746-5B546F13E893}" name="Last trade time" dataDxfId="616">
      <calculatedColumnFormula array="1">_FV(RTData[[#This Row],[Company Name]],"Last trade time",TRUE)</calculatedColumnFormula>
    </tableColumn>
    <tableColumn id="24" xr3:uid="{50AD8F7D-A008-1E4B-8CDC-ED5A311B2F87}" name="Close" dataDxfId="615">
      <calculatedColumnFormula array="1">_FV(RTData[[#This Row],[Company Name]],"Previous close",TRUE)</calculatedColumnFormula>
    </tableColumn>
    <tableColumn id="41" xr3:uid="{5E6391A6-59FD-5740-8C73-F858AA473A29}" name="Open" dataDxfId="614">
      <calculatedColumnFormula array="1">_FV(RTData[[#This Row],[Company Name]],"Open")</calculatedColumnFormula>
    </tableColumn>
    <tableColumn id="42" xr3:uid="{4E05AFBD-23DD-3143-BF73-10371B600ACA}" name="M-Price" dataDxfId="613">
      <calculatedColumnFormula array="1">_FV(RTData[[#This Row],[Company Name]],"Price")</calculatedColumnFormula>
    </tableColumn>
    <tableColumn id="43" xr3:uid="{E688C267-1B9D-F141-8056-E51CA38246AF}" name="Low" dataDxfId="612">
      <calculatedColumnFormula array="1">_FV(RTData[[#This Row],[Company Name]],"Low")</calculatedColumnFormula>
    </tableColumn>
    <tableColumn id="44" xr3:uid="{F544ECB3-E642-0B49-BC8C-3FF19572390B}" name="High" dataDxfId="611" totalsRowDxfId="610">
      <calculatedColumnFormula array="1">_FV(RTData[[#This Row],[Company Name]],"High")</calculatedColumnFormula>
    </tableColumn>
    <tableColumn id="45" xr3:uid="{719B2CAC-13BF-6E48-8695-F62AD7F1022B}" name="P/E" dataDxfId="609">
      <calculatedColumnFormula array="1">IFERROR(_FV(RTData[[#This Row],[Company Name]],"P/E",TRUE),99)</calculatedColumnFormula>
    </tableColumn>
    <tableColumn id="46" xr3:uid="{779A9617-BAD5-A445-AFD5-37567FCA27C4}" name="Change" totalsRowFunction="average" dataDxfId="608" totalsRowDxfId="607">
      <calculatedColumnFormula array="1">_FV(RTData[[#This Row],[Company Name]],"Change")</calculatedColumnFormula>
    </tableColumn>
    <tableColumn id="47" xr3:uid="{B66A6A9C-3452-4E40-8656-B7251B427A3F}" name="Change%" totalsRowFunction="max" dataDxfId="606" totalsRowDxfId="605" dataCellStyle="Percent">
      <calculatedColumnFormula array="1">_FV(RTData[[#This Row],[Company Name]],"Change (%)",TRUE)</calculatedColumnFormula>
    </tableColumn>
    <tableColumn id="48" xr3:uid="{DB75E524-1711-3047-A0FA-27F4B501D06A}" name="52_week_low" dataDxfId="604">
      <calculatedColumnFormula array="1">_FV(RTData[[#This Row],[Company Name]],"52 week low",TRUE)</calculatedColumnFormula>
    </tableColumn>
    <tableColumn id="49" xr3:uid="{AF4DD0CC-0EAF-094F-996C-D692420E9592}" name="52_week_high" dataDxfId="603">
      <calculatedColumnFormula array="1">_FV(RTData[[#This Row],[Company Name]],"52 week high",TRUE)</calculatedColumnFormula>
    </tableColumn>
    <tableColumn id="50" xr3:uid="{B4995C94-74C8-AB40-AEF1-25C01418FF11}" name="Volume" totalsRowFunction="max" dataDxfId="602" totalsRowDxfId="601">
      <calculatedColumnFormula array="1">_FV(RTData[[#This Row],[Company Name]],"Volume")</calculatedColumnFormula>
    </tableColumn>
    <tableColumn id="51" xr3:uid="{D7282A85-9AD4-3A4B-B3FA-A2A6E0F8F1EF}" name="Volume average" totalsRowFunction="average" dataDxfId="600" totalsRowDxfId="599">
      <calculatedColumnFormula array="1">_FV(RTData[[#This Row],[Company Name]],"Volume average",TRUE)</calculatedColumnFormula>
    </tableColumn>
    <tableColumn id="52" xr3:uid="{761404C5-AEDD-5640-8AA0-28CD8FF36D32}" name="Beta" dataDxfId="598">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597" totalsRowDxfId="596" dataCellStyle="Percent">
      <calculatedColumnFormula>IFERROR(RTData[[#This Row],[Volume]]/RTData[[#This Row],[Volume average]],1)</calculatedColumnFormula>
    </tableColumn>
    <tableColumn id="11" xr3:uid="{551C9784-9D61-904F-BD9F-2415ABFADFB4}" name="Column1" dataDxfId="595" dataCellStyle="Percent"/>
    <tableColumn id="8" xr3:uid="{90408EC2-90F5-784C-8E52-9D73F1A46BE0}" name="1YT" dataDxfId="594" totalsRowDxfId="593">
      <calculatedColumnFormula>[2]Sheet2!$E2</calculatedColumnFormula>
    </tableColumn>
    <tableColumn id="9" xr3:uid="{82656052-4D5E-8C41-9A70-30228A467DE8}" name="Ddate" dataDxfId="592" totalsRowDxfId="591">
      <calculatedColumnFormula>[2]Sheet2!$F2</calculatedColumnFormula>
    </tableColumn>
    <tableColumn id="15" xr3:uid="{FA897C27-6E9E-4C44-A46F-4D6AD99895C6}" name="EarningDate" dataDxfId="590" totalsRowDxfId="589">
      <calculatedColumnFormula>[2]Sheet2!$G2</calculatedColumnFormula>
    </tableColumn>
    <tableColumn id="1" xr3:uid="{4849786B-34A5-AF4F-84A7-3D73882815FC}" name="RepDiv" dataDxfId="588">
      <calculatedColumnFormula>[2]Sheet2!$H2</calculatedColumnFormula>
    </tableColumn>
    <tableColumn id="13" xr3:uid="{90E79FCB-F3E0-AA4A-96E9-5A0084FC3877}" name="Broker" dataDxfId="587"/>
    <tableColumn id="12" xr3:uid="{C8725869-ED97-5247-8457-FA16BCBAD72F}" name="Stamp" dataDxfId="586">
      <calculatedColumnFormula array="1">_FV(RTData[[#This Row],[Company Name]],"Expense ratio",TRUE)</calculatedColumnFormula>
    </tableColumn>
    <tableColumn id="14" xr3:uid="{23E778F9-C953-6245-A7F5-663B0E49CA92}" name="Old1YT" dataDxfId="585"/>
    <tableColumn id="16" xr3:uid="{566E9185-0BE5-034F-88E1-D852F05FADC9}" name="YTChange" dataDxfId="584" totalsRowDxfId="583"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582"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581">
      <calculatedColumnFormula array="1">_FV(A98,"Price")</calculatedColumnFormula>
    </tableColumn>
    <tableColumn id="3" xr3:uid="{7735EDB4-8F6C-2B4F-9D87-70384666EE29}" name="52 W High" dataDxfId="580">
      <calculatedColumnFormula array="1">_FV(A98,"52 week high",TRUE)</calculatedColumnFormula>
    </tableColumn>
    <tableColumn id="4" xr3:uid="{2ECF53F1-E986-1E43-881C-9B2531046487}" name="1/RT" dataDxfId="579">
      <calculatedColumnFormula>1/RTExR[[#This Row],[RT]]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848597-5801-DF40-AF5C-3988B8D36386}" name="TableMSG" displayName="TableMSG" ref="A4:I97" totalsRowShown="0" tableBorderDxfId="576">
  <autoFilter ref="A4:I97" xr:uid="{8F010E09-40DE-CB49-9705-081A37BD3E66}"/>
  <tableColumns count="9">
    <tableColumn id="1" xr3:uid="{D248D7C8-FE91-5D4B-93B0-CA802F8BF9F0}" name="MSGSTicker" dataDxfId="575">
      <calculatedColumnFormula>[1]Calc!H3</calculatedColumnFormula>
    </tableColumn>
    <tableColumn id="2" xr3:uid="{DCEA20D1-EEC9-F34D-8887-3170D7506040}" name="Date" dataDxfId="574" dataCellStyle="Comma"/>
    <tableColumn id="3" xr3:uid="{66E8CFC1-6152-2B40-A74D-C51B3D12C26A}" name="Expectation" dataDxfId="573"/>
    <tableColumn id="4" xr3:uid="{DAF82BBB-C5D4-2C4F-B0F3-D3EB85303B5F}" name="Change" dataDxfId="572" dataCellStyle="Percent"/>
    <tableColumn id="5" xr3:uid="{86913868-25DE-D143-935E-08543076F0FC}" name="Agio" dataDxfId="571"/>
    <tableColumn id="6" xr3:uid="{A8E86DB9-D431-B64F-9DE4-7C08E738DBD4}" name="RevenueMA" dataDxfId="570"/>
    <tableColumn id="7" xr3:uid="{518090EA-8F28-9B4A-8A12-CC16C3F84E1E}" name="MarkUP" dataCellStyle="Percent"/>
    <tableColumn id="8" xr3:uid="{2C3D6668-A65F-AA42-9077-0DB8624C7676}" name="Column5"/>
    <tableColumn id="9" xr3:uid="{43FE98D8-979D-8E4C-A91E-E80C6A08278B}" name="Column6"/>
  </tableColumns>
  <tableStyleInfo name="TableStyleMedium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4AD1EF9-84F1-F44E-8DFB-A3186E08D55A}" name="TabConsolid" displayName="TabConsolid" ref="A3:JW36" totalsRowCount="1" headerRowDxfId="569" dataDxfId="568" totalsRowDxfId="566" tableBorderDxfId="567" dataCellStyle="Comma">
  <autoFilter ref="A3:JW35" xr:uid="{82497E80-308B-3747-8E03-4618D1119636}"/>
  <tableColumns count="283">
    <tableColumn id="1" xr3:uid="{33960CB2-E966-014F-92F5-B82FB69412BB}" name="RegIndex" totalsRowFunction="sum" dataDxfId="565" totalsRowDxfId="564">
      <calculatedColumnFormula>[1]Reg!A4</calculatedColumnFormula>
    </tableColumn>
    <tableColumn id="2" xr3:uid="{1D360D2F-3BC9-B74C-B29E-31988784B463}" name="AAPL" totalsRowFunction="sum" dataDxfId="563" totalsRowDxfId="562" dataCellStyle="Comma">
      <calculatedColumnFormula>C4*D4</calculatedColumnFormula>
    </tableColumn>
    <tableColumn id="3" xr3:uid="{5CFDC876-2A78-4441-ADC6-C78423FDB265}" name="AAPL1" totalsRowFunction="sum" dataDxfId="561" totalsRowDxfId="560" dataCellStyle="Comma"/>
    <tableColumn id="4" xr3:uid="{88EF41E9-1908-4247-B995-8E539142CC4A}" name="AAPL2" totalsRowFunction="min" dataDxfId="559" totalsRowDxfId="558" dataCellStyle="Comma" totalsRowCellStyle="Comma"/>
    <tableColumn id="5" xr3:uid="{A5EC2BA3-239F-7244-89B4-CABA9986B8D8}" name="ADEA" totalsRowFunction="sum" dataDxfId="557" totalsRowDxfId="556" dataCellStyle="Comma">
      <calculatedColumnFormula>F4*G4</calculatedColumnFormula>
    </tableColumn>
    <tableColumn id="6" xr3:uid="{498E4941-D2D5-E54B-A8CE-896084CED259}" name="ADEA1" totalsRowFunction="sum" dataDxfId="555" totalsRowDxfId="554" dataCellStyle="Comma"/>
    <tableColumn id="7" xr3:uid="{41A42731-6254-C749-B827-52B2FC3FB2A4}" name="ADEA2" totalsRowFunction="min" dataDxfId="553" totalsRowDxfId="552" dataCellStyle="Comma" totalsRowCellStyle="Comma"/>
    <tableColumn id="8" xr3:uid="{1D961100-B628-DE46-90C9-83EA276B1E30}" name="AET" totalsRowFunction="sum" dataDxfId="551" totalsRowDxfId="550" dataCellStyle="Comma">
      <calculatedColumnFormula>I4*J4</calculatedColumnFormula>
    </tableColumn>
    <tableColumn id="9" xr3:uid="{DF67D6F2-D998-5749-A0D0-A84574D57A3B}" name="AET1" totalsRowFunction="sum" dataDxfId="549" totalsRowDxfId="548" dataCellStyle="Comma"/>
    <tableColumn id="10" xr3:uid="{214EFFC5-24DD-E54B-95C1-EAD457F35416}" name="AET2" totalsRowFunction="min" dataDxfId="547" totalsRowDxfId="546" dataCellStyle="Comma" totalsRowCellStyle="Comma"/>
    <tableColumn id="11" xr3:uid="{609CC397-1BC6-0148-B886-D4DFE1DEC6A0}" name="AMZN" totalsRowFunction="sum" dataDxfId="545" totalsRowDxfId="544" dataCellStyle="Comma">
      <calculatedColumnFormula>L4*M4</calculatedColumnFormula>
    </tableColumn>
    <tableColumn id="12" xr3:uid="{273793FA-9C86-C642-B3E6-76C652038496}" name="AMZN1" totalsRowFunction="sum" dataDxfId="543" totalsRowDxfId="542" dataCellStyle="Comma"/>
    <tableColumn id="13" xr3:uid="{63BC1072-1B2C-9849-99C8-BB2E5F64232C}" name="AMZN2" totalsRowFunction="min" dataDxfId="541" totalsRowDxfId="540" dataCellStyle="Comma" totalsRowCellStyle="Comma"/>
    <tableColumn id="14" xr3:uid="{4936EB44-FD96-3144-9638-3B49A2A51DB6}" name="ALDNE" totalsRowFunction="sum" dataDxfId="539" totalsRowDxfId="538" dataCellStyle="Comma">
      <calculatedColumnFormula>O4*P4</calculatedColumnFormula>
    </tableColumn>
    <tableColumn id="15" xr3:uid="{6AC753DE-4A1B-4845-9925-D347D09D8E7D}" name="ALDNE1" totalsRowFunction="sum" dataDxfId="537" totalsRowDxfId="536" dataCellStyle="Comma"/>
    <tableColumn id="16" xr3:uid="{28EF4831-4746-9F41-B093-DD6F26669C55}" name="ALDNE2" totalsRowFunction="min" dataDxfId="535" totalsRowDxfId="534" dataCellStyle="Comma" totalsRowCellStyle="Comma"/>
    <tableColumn id="279" xr3:uid="{BA161FF8-BD29-A042-B0DB-5489F5562D0A}" name="ASML" totalsRowFunction="sum" dataDxfId="533" totalsRowDxfId="532" dataCellStyle="Comma">
      <calculatedColumnFormula>R4*S4</calculatedColumnFormula>
    </tableColumn>
    <tableColumn id="280" xr3:uid="{4DC957D7-B3BA-3D42-B8FB-1DABC2A61037}" name="ASML1" totalsRowFunction="sum" dataDxfId="531" totalsRowDxfId="530" dataCellStyle="Comma"/>
    <tableColumn id="278" xr3:uid="{66534B1C-4DDC-674F-B01F-51395C394A63}" name="ASML2" totalsRowFunction="min" dataDxfId="529" totalsRowDxfId="528" dataCellStyle="Comma" totalsRowCellStyle="Comma"/>
    <tableColumn id="184" xr3:uid="{D72CFEE6-CF9F-7142-9E28-6FFE0FC646F3}" name="ASML23" dataDxfId="527" totalsRowDxfId="526" dataCellStyle="Comma"/>
    <tableColumn id="183" xr3:uid="{C602D457-F0A3-9844-A966-2743D2C85BA5}" name="ASML22" dataDxfId="525" totalsRowDxfId="524" dataCellStyle="Comma"/>
    <tableColumn id="182" xr3:uid="{F52A27AD-B7FC-BA4B-853C-B6CA877BCA6E}" name="ASML3" dataDxfId="523" totalsRowDxfId="522" dataCellStyle="Comma"/>
    <tableColumn id="290" xr3:uid="{BAEF111A-747D-D948-9704-53701A9298DD}" name="AZN" totalsRowFunction="sum" dataDxfId="521" totalsRowDxfId="520" dataCellStyle="Comma">
      <calculatedColumnFormula>X4*Y4</calculatedColumnFormula>
    </tableColumn>
    <tableColumn id="291" xr3:uid="{0BA9D779-4160-3748-9829-A0AAD859E999}" name="AZN1" totalsRowFunction="sum" dataDxfId="519" totalsRowDxfId="518" dataCellStyle="Comma"/>
    <tableColumn id="292" xr3:uid="{8DF4FFE0-CFC0-994B-BB37-B2BEEB0EB085}" name="AZN2" totalsRowFunction="min" dataDxfId="517" totalsRowDxfId="516" dataCellStyle="Comma" totalsRowCellStyle="Comma"/>
    <tableColumn id="281" xr3:uid="{FBBA5F26-A2C1-4641-894A-F81E6F4F290A}" name="BLDP" totalsRowFunction="sum" dataDxfId="515" totalsRowDxfId="514" dataCellStyle="Comma">
      <calculatedColumnFormula>AA4*AB4</calculatedColumnFormula>
    </tableColumn>
    <tableColumn id="282" xr3:uid="{0711F734-9FE9-0C4A-8687-730A320CF4E2}" name="BLDP1" totalsRowFunction="sum" dataDxfId="513" totalsRowDxfId="512" dataCellStyle="Comma"/>
    <tableColumn id="283" xr3:uid="{C1680C11-9257-5441-A1B7-4A3571D58D33}" name="BLDP2" totalsRowFunction="min" dataDxfId="511" totalsRowDxfId="510" dataCellStyle="Comma" totalsRowCellStyle="Comma"/>
    <tableColumn id="17" xr3:uid="{8E424699-396B-7E45-B2AB-1F50FF6640DC}" name="BMRA" totalsRowFunction="sum" dataDxfId="509" totalsRowDxfId="508" dataCellStyle="Comma">
      <calculatedColumnFormula>AD4*AE4</calculatedColumnFormula>
    </tableColumn>
    <tableColumn id="18" xr3:uid="{575431E7-803D-7E41-9456-E5AB0FCF8DB8}" name="BMRA1" totalsRowFunction="sum" dataDxfId="507" totalsRowDxfId="506" dataCellStyle="Comma"/>
    <tableColumn id="19" xr3:uid="{2E0023E2-35A5-7B4E-8508-B6C34C181B7C}" name="BMRA2" totalsRowFunction="min" dataDxfId="505" totalsRowDxfId="504" dataCellStyle="Comma" totalsRowCellStyle="Comma"/>
    <tableColumn id="20" xr3:uid="{9A3851EF-9564-B448-B860-E7389AC47CBF}" name="C" totalsRowFunction="sum" dataDxfId="503" totalsRowDxfId="502" dataCellStyle="Comma">
      <calculatedColumnFormula>AG4*AH4</calculatedColumnFormula>
    </tableColumn>
    <tableColumn id="21" xr3:uid="{AF538AFF-013F-1740-83BD-45A19B31C460}" name="C1" totalsRowFunction="sum" dataDxfId="501" totalsRowDxfId="500" dataCellStyle="Comma"/>
    <tableColumn id="22" xr3:uid="{DC1285A7-3556-D54A-8F81-2BEA9263E4BE}" name="C2" totalsRowFunction="min" dataDxfId="499" totalsRowDxfId="498" dataCellStyle="Comma" totalsRowCellStyle="Comma"/>
    <tableColumn id="23" xr3:uid="{3B6E5B4E-3480-BD46-977C-691750931851}" name="CSCO" totalsRowFunction="sum" dataDxfId="497" totalsRowDxfId="496" dataCellStyle="Comma">
      <calculatedColumnFormula>AJ4*AK4</calculatedColumnFormula>
    </tableColumn>
    <tableColumn id="24" xr3:uid="{C25443AF-7D57-094D-9AE2-0AAC436D8598}" name="CSCO1" totalsRowFunction="sum" dataDxfId="495" totalsRowDxfId="494" dataCellStyle="Comma"/>
    <tableColumn id="25" xr3:uid="{BF250734-1AC0-9C41-8000-AB21AF9C51F8}" name="CSCO2" totalsRowFunction="min" dataDxfId="493" totalsRowDxfId="492" dataCellStyle="Comma" totalsRowCellStyle="Comma"/>
    <tableColumn id="26" xr3:uid="{C2F1297E-DFFE-DB4F-8EC5-DE4DF2B2645A}" name="CVS" totalsRowFunction="sum" dataDxfId="491" totalsRowDxfId="490" dataCellStyle="Comma">
      <calculatedColumnFormula>AM4*AN4</calculatedColumnFormula>
    </tableColumn>
    <tableColumn id="27" xr3:uid="{E8FD75E0-2070-BE40-8E28-26524E585680}" name="CVS1" totalsRowFunction="sum" dataDxfId="489" totalsRowDxfId="488" dataCellStyle="Comma"/>
    <tableColumn id="28" xr3:uid="{F7AB08DB-22F3-FC41-BE8C-F8C69B2181DC}" name="CVS2" totalsRowFunction="min" dataDxfId="487" totalsRowDxfId="486" dataCellStyle="Comma" totalsRowCellStyle="Comma"/>
    <tableColumn id="29" xr3:uid="{43B6A3AD-3254-0249-BB3C-EB453D6110BF}" name="DDD" totalsRowFunction="sum" dataDxfId="485" totalsRowDxfId="484" dataCellStyle="Comma">
      <calculatedColumnFormula>AP4*AQ4</calculatedColumnFormula>
    </tableColumn>
    <tableColumn id="30" xr3:uid="{2908B942-C340-7C41-82A9-885BC1FE94DC}" name="DDD1" totalsRowFunction="sum" dataDxfId="483" totalsRowDxfId="482" dataCellStyle="Comma"/>
    <tableColumn id="31" xr3:uid="{F8553995-0368-624B-87FB-9499224FA0DB}" name="DDD2" totalsRowFunction="min" dataDxfId="481" totalsRowDxfId="480" dataCellStyle="Comma" totalsRowCellStyle="Comma"/>
    <tableColumn id="32" xr3:uid="{1C4F22BF-9770-DE4A-9B39-D13BA431072A}" name="DIS" totalsRowFunction="sum" dataDxfId="479" totalsRowDxfId="478" dataCellStyle="Comma">
      <calculatedColumnFormula>AS4*AT4</calculatedColumnFormula>
    </tableColumn>
    <tableColumn id="33" xr3:uid="{94C74FF9-F0C3-094D-8FD6-90FF908EDCD4}" name="DIS1" totalsRowFunction="sum" dataDxfId="477" totalsRowDxfId="476" dataCellStyle="Comma"/>
    <tableColumn id="34" xr3:uid="{E1950CBE-E52F-4C45-A66C-D24441972D06}" name="DIS2" totalsRowFunction="min" dataDxfId="475" totalsRowDxfId="474" dataCellStyle="Comma" totalsRowCellStyle="Comma"/>
    <tableColumn id="35" xr3:uid="{45F5A726-7B15-2B42-A616-A159C052A09F}" name="DSY" totalsRowFunction="sum" dataDxfId="473" totalsRowDxfId="472" dataCellStyle="Comma">
      <calculatedColumnFormula>AV4*AW4</calculatedColumnFormula>
    </tableColumn>
    <tableColumn id="36" xr3:uid="{B8EAD4FE-05BF-9B49-9A9C-A155AE3446B6}" name="DSY1" totalsRowFunction="sum" dataDxfId="471" totalsRowDxfId="470" dataCellStyle="Comma"/>
    <tableColumn id="37" xr3:uid="{8087DC7B-7E2B-F44E-ABE0-656B8C5FFC4D}" name="DSY2" totalsRowFunction="min" dataDxfId="469" totalsRowDxfId="468" dataCellStyle="Comma" totalsRowCellStyle="Comma"/>
    <tableColumn id="38" xr3:uid="{E15D752D-B59B-1548-9617-A3D22A8A2CE7}" name="DVA" totalsRowFunction="sum" dataDxfId="467" totalsRowDxfId="466" dataCellStyle="Comma">
      <calculatedColumnFormula>AY4*AZ4</calculatedColumnFormula>
    </tableColumn>
    <tableColumn id="39" xr3:uid="{E0C5427D-8915-2647-9073-BBBA1C47BF43}" name="DVA1" totalsRowFunction="sum" dataDxfId="465" totalsRowDxfId="464" dataCellStyle="Comma"/>
    <tableColumn id="40" xr3:uid="{F91B8774-5ECE-E54B-A236-F63E2B43BB69}" name="DVA2" totalsRowFunction="min" dataDxfId="463" totalsRowDxfId="462" dataCellStyle="Comma" totalsRowCellStyle="Comma"/>
    <tableColumn id="41" xr3:uid="{C651AEE8-3A1D-9940-9193-8048EEF3DBC6}" name="DXC" totalsRowFunction="sum" dataDxfId="461" totalsRowDxfId="460" dataCellStyle="Comma">
      <calculatedColumnFormula>BB4*BC4</calculatedColumnFormula>
    </tableColumn>
    <tableColumn id="42" xr3:uid="{4E9AFF6A-AAF6-5541-8F7A-D281E525EE3B}" name="DXC1" totalsRowFunction="sum" dataDxfId="459" totalsRowDxfId="458" dataCellStyle="Comma"/>
    <tableColumn id="43" xr3:uid="{84D7A30A-FD18-E142-9284-5253B58AFC8D}" name="DXC2" totalsRowFunction="min" dataDxfId="457" totalsRowDxfId="456" dataCellStyle="Comma" totalsRowCellStyle="Comma"/>
    <tableColumn id="44" xr3:uid="{9EF0D39D-D950-A54F-AB37-F53D15C77014}" name="EOAN" totalsRowFunction="sum" dataDxfId="455" totalsRowDxfId="454" dataCellStyle="Comma">
      <calculatedColumnFormula>BE4*BF4</calculatedColumnFormula>
    </tableColumn>
    <tableColumn id="45" xr3:uid="{3457CF7B-1ACA-E942-AC3C-DFAEA9461F5D}" name="EOAN1" totalsRowFunction="sum" dataDxfId="453" totalsRowDxfId="452" dataCellStyle="Comma"/>
    <tableColumn id="46" xr3:uid="{FCC3E753-97E5-3D41-9CEA-78833724A75E}" name="EOAN2" totalsRowFunction="min" dataDxfId="451" totalsRowDxfId="450" dataCellStyle="Comma" totalsRowCellStyle="Comma"/>
    <tableColumn id="47" xr3:uid="{F2AF1E51-FF05-FE44-953C-44F694788DBF}" name="EPIX" totalsRowFunction="sum" dataDxfId="449" totalsRowDxfId="448" dataCellStyle="Comma">
      <calculatedColumnFormula>BH4*BI4</calculatedColumnFormula>
    </tableColumn>
    <tableColumn id="48" xr3:uid="{E2DEB917-D3D5-0A41-BE16-39D827041893}" name="EPIX1" totalsRowFunction="sum" dataDxfId="447" totalsRowDxfId="446" dataCellStyle="Comma"/>
    <tableColumn id="49" xr3:uid="{349D7C9C-922C-DE4F-B684-7DBFA452BB5B}" name="EPIX2" totalsRowFunction="min" dataDxfId="445" totalsRowDxfId="444" dataCellStyle="Comma" totalsRowCellStyle="Comma"/>
    <tableColumn id="50" xr3:uid="{82E5BAD6-EA0F-C941-ADD9-74C7189DFEE8}" name="GM" totalsRowFunction="sum" dataDxfId="443" totalsRowDxfId="442" dataCellStyle="Comma">
      <calculatedColumnFormula>BK4*BL4</calculatedColumnFormula>
    </tableColumn>
    <tableColumn id="51" xr3:uid="{D8BBF2CA-FA8B-6F46-AEF8-DBB17C6850CC}" name="GM1" totalsRowFunction="sum" dataDxfId="441" totalsRowDxfId="440" dataCellStyle="Comma"/>
    <tableColumn id="52" xr3:uid="{CF0FB107-A731-4146-A249-0C7581FABE42}" name="GM2" totalsRowFunction="min" dataDxfId="439" totalsRowDxfId="438" dataCellStyle="Comma" totalsRowCellStyle="Comma"/>
    <tableColumn id="53" xr3:uid="{BF317168-181B-5B44-949A-14B2EB4DC525}" name="HPE" totalsRowFunction="sum" dataDxfId="437" totalsRowDxfId="436" dataCellStyle="Comma">
      <calculatedColumnFormula>BN4*BO4</calculatedColumnFormula>
    </tableColumn>
    <tableColumn id="54" xr3:uid="{433CB0C7-DF49-B149-86CA-8D1626A0A981}" name="HPE1" totalsRowFunction="sum" dataDxfId="435" totalsRowDxfId="434" dataCellStyle="Comma"/>
    <tableColumn id="55" xr3:uid="{3F451925-2771-3E4E-940A-42C4C87F8C07}" name="HPE2" totalsRowFunction="min" dataDxfId="433" totalsRowDxfId="432" dataCellStyle="Comma" totalsRowCellStyle="Comma"/>
    <tableColumn id="284" xr3:uid="{69E27C69-D7C2-9646-8A53-6EC98FB8AA45}" name="HPQ" totalsRowFunction="sum" dataDxfId="431" totalsRowDxfId="430" dataCellStyle="Comma">
      <calculatedColumnFormula>BQ4*BR4</calculatedColumnFormula>
    </tableColumn>
    <tableColumn id="285" xr3:uid="{CB3E9D6F-CA1B-AD48-A8B5-3971F6B0FE0C}" name="HPQ1" totalsRowFunction="sum" dataDxfId="429" totalsRowDxfId="428" dataCellStyle="Comma"/>
    <tableColumn id="286" xr3:uid="{0F57E944-E3B2-9244-80A4-EA9A144159EC}" name="HPQ2" totalsRowFunction="min" dataDxfId="427" totalsRowDxfId="426" dataCellStyle="Comma" totalsRowCellStyle="Comma"/>
    <tableColumn id="56" xr3:uid="{37EF4BFA-8817-8F4A-9A5A-2DCF7F134AB9}" name="IAG" totalsRowFunction="sum" dataDxfId="425" totalsRowDxfId="424" dataCellStyle="Comma">
      <calculatedColumnFormula>BT4*BU4</calculatedColumnFormula>
    </tableColumn>
    <tableColumn id="57" xr3:uid="{038CF5D9-3FEC-0741-803F-0C3028C45E70}" name="IAG1" totalsRowFunction="sum" dataDxfId="423" totalsRowDxfId="422" dataCellStyle="Comma"/>
    <tableColumn id="58" xr3:uid="{81B84837-E69E-CB4B-9FC5-B09EA10EAEFD}" name="IAG2" totalsRowFunction="min" dataDxfId="421" totalsRowDxfId="420" dataCellStyle="Comma" totalsRowCellStyle="Comma"/>
    <tableColumn id="59" xr3:uid="{A521F13F-1F6E-FD45-8B04-77B155312349}" name="KR" totalsRowFunction="sum" dataDxfId="419" totalsRowDxfId="418" dataCellStyle="Comma">
      <calculatedColumnFormula>BW4*BX4</calculatedColumnFormula>
    </tableColumn>
    <tableColumn id="60" xr3:uid="{FB3D668B-65F8-F242-971B-3F7455B9E9C5}" name="KR1" totalsRowFunction="sum" dataDxfId="417" totalsRowDxfId="416" dataCellStyle="Comma"/>
    <tableColumn id="61" xr3:uid="{DED7B841-7579-EA45-8F7C-88D26B6EB710}" name="KR2" totalsRowFunction="min" dataDxfId="415" totalsRowDxfId="414" dataCellStyle="Comma" totalsRowCellStyle="Comma"/>
    <tableColumn id="62" xr3:uid="{279C3E2D-02FF-AC42-AA72-2C4641B2E894}" name="LNSR" totalsRowFunction="sum" dataDxfId="413" totalsRowDxfId="412" dataCellStyle="Comma">
      <calculatedColumnFormula>BZ4*CA4</calculatedColumnFormula>
    </tableColumn>
    <tableColumn id="63" xr3:uid="{1D73F652-33F1-C94D-93AF-A09E8BC879C6}" name="LNSR1" totalsRowFunction="sum" dataDxfId="411" totalsRowDxfId="410" dataCellStyle="Comma"/>
    <tableColumn id="64" xr3:uid="{5F417427-45AB-9846-B4D9-BCD3C61A0AD9}" name="LNSR2" totalsRowFunction="min" dataDxfId="409" totalsRowDxfId="408" dataCellStyle="Comma" totalsRowCellStyle="Comma"/>
    <tableColumn id="65" xr3:uid="{D5E4616C-3C96-F441-B150-9E7D487505F4}" name="LUMN" totalsRowFunction="sum" dataDxfId="407" totalsRowDxfId="406" dataCellStyle="Comma">
      <calculatedColumnFormula>CC4*CD4</calculatedColumnFormula>
    </tableColumn>
    <tableColumn id="66" xr3:uid="{B3DDE774-0A1A-A249-974D-00F94BD3E4B0}" name="LUMN1" totalsRowFunction="sum" dataDxfId="405" totalsRowDxfId="404" dataCellStyle="Comma"/>
    <tableColumn id="67" xr3:uid="{AD17386F-98D1-7B4D-A624-8AF8713F2C6F}" name="LUMN2" totalsRowFunction="min" dataDxfId="403" totalsRowDxfId="402" dataCellStyle="Comma" totalsRowCellStyle="Comma"/>
    <tableColumn id="68" xr3:uid="{075C465E-D07F-3E41-AD29-0391273B7245}" name="MRNA" totalsRowFunction="sum" dataDxfId="401" totalsRowDxfId="400" dataCellStyle="Comma">
      <calculatedColumnFormula>CF4*CG4</calculatedColumnFormula>
    </tableColumn>
    <tableColumn id="69" xr3:uid="{108976A4-9B87-2044-86BF-7CC25E962D0A}" name="MRNA1" totalsRowFunction="sum" dataDxfId="399" totalsRowDxfId="398" dataCellStyle="Comma"/>
    <tableColumn id="70" xr3:uid="{186683DE-535A-A142-979F-180B4B14ADA5}" name="MRNA2" totalsRowFunction="min" dataDxfId="397" totalsRowDxfId="396" dataCellStyle="Comma" totalsRowCellStyle="Comma"/>
    <tableColumn id="71" xr3:uid="{BC66EE1A-7BC1-104A-9E6B-414EF7DF0132}" name="MSFT" totalsRowFunction="sum" dataDxfId="395" totalsRowDxfId="394" dataCellStyle="Comma">
      <calculatedColumnFormula>CI4*CJ4</calculatedColumnFormula>
    </tableColumn>
    <tableColumn id="72" xr3:uid="{848DDCCA-F6DB-764B-AC64-55BC637FCE26}" name="MSFT1" totalsRowFunction="sum" dataDxfId="393" totalsRowDxfId="392" dataCellStyle="Comma"/>
    <tableColumn id="73" xr3:uid="{42F93A48-35B9-5148-AC85-A5C2693B2D25}" name="MSFT2" totalsRowFunction="min" dataDxfId="391" totalsRowDxfId="390" dataCellStyle="Comma" totalsRowCellStyle="Comma"/>
    <tableColumn id="74" xr3:uid="{9D748E7A-5F42-FA42-BEE6-B5EA6CB0B50B}" name="NEE" totalsRowFunction="sum" dataDxfId="389" totalsRowDxfId="388" dataCellStyle="Comma">
      <calculatedColumnFormula>CL4*CM4</calculatedColumnFormula>
    </tableColumn>
    <tableColumn id="75" xr3:uid="{F14B6135-A69E-FA4B-8B4F-6D2E94263F2B}" name="NEE1" totalsRowFunction="sum" dataDxfId="387" totalsRowDxfId="386" dataCellStyle="Comma"/>
    <tableColumn id="76" xr3:uid="{91288EAE-1699-AE45-901D-626680E29596}" name="NEE2" totalsRowFunction="min" dataDxfId="385" totalsRowDxfId="384" dataCellStyle="Comma" totalsRowCellStyle="Comma"/>
    <tableColumn id="77" xr3:uid="{F0BDA65C-4062-D344-8C7B-3E2C36D5341A}" name="NEM" totalsRowFunction="sum" dataDxfId="383" totalsRowDxfId="382" dataCellStyle="Comma">
      <calculatedColumnFormula>CO4*CP4</calculatedColumnFormula>
    </tableColumn>
    <tableColumn id="78" xr3:uid="{4BB4FBAD-8718-2141-AB32-0FBE9F3C7730}" name="NEM1" totalsRowFunction="sum" dataDxfId="381" totalsRowDxfId="380" dataCellStyle="Comma"/>
    <tableColumn id="79" xr3:uid="{461DE5DE-AC7F-2D4C-B48A-D026CD8A0C7F}" name="NEM2" totalsRowFunction="min" dataDxfId="379" totalsRowDxfId="378" dataCellStyle="Comma" totalsRowCellStyle="Comma"/>
    <tableColumn id="80" xr3:uid="{767DE947-B0A8-564F-B971-71AC18B1D358}" name="NFLX" totalsRowFunction="sum" dataDxfId="377" totalsRowDxfId="376" dataCellStyle="Comma">
      <calculatedColumnFormula>CR4*CS4</calculatedColumnFormula>
    </tableColumn>
    <tableColumn id="81" xr3:uid="{7135437A-53F8-9F46-A8AC-D79CDD7CAF2F}" name="NFLX1" totalsRowFunction="sum" dataDxfId="375" totalsRowDxfId="374" dataCellStyle="Comma"/>
    <tableColumn id="82" xr3:uid="{F09FA87A-1C33-B84B-9389-0EEAD575FEB5}" name="NFLX2" totalsRowFunction="min" dataDxfId="373" totalsRowDxfId="372" dataCellStyle="Comma" totalsRowCellStyle="Comma"/>
    <tableColumn id="83" xr3:uid="{FC351C6C-61AA-684E-9225-351CBFF510F9}" name="NOTE" totalsRowFunction="sum" dataDxfId="371" totalsRowDxfId="370" dataCellStyle="Comma">
      <calculatedColumnFormula>CU4*CV4</calculatedColumnFormula>
    </tableColumn>
    <tableColumn id="84" xr3:uid="{C2AF73A2-E6E7-154E-B18D-4275EB54F85A}" name="NOTE1" totalsRowFunction="sum" dataDxfId="369" totalsRowDxfId="368" dataCellStyle="Comma"/>
    <tableColumn id="85" xr3:uid="{193A16E5-97C9-6341-A57C-4F81AD20C896}" name="NOTE2" totalsRowFunction="min" dataDxfId="367" totalsRowDxfId="366" dataCellStyle="Comma" totalsRowCellStyle="Comma"/>
    <tableColumn id="86" xr3:uid="{4F7758C8-629D-5540-B2C4-9DAEB6168EF2}" name="PAAS" totalsRowFunction="sum" dataDxfId="365" totalsRowDxfId="364" dataCellStyle="Comma">
      <calculatedColumnFormula>CX4*CY4</calculatedColumnFormula>
    </tableColumn>
    <tableColumn id="87" xr3:uid="{4A0CF417-82E1-0E40-BA92-A2A9D2C0095F}" name="PAAS1" totalsRowFunction="sum" dataDxfId="363" totalsRowDxfId="362" dataCellStyle="Comma"/>
    <tableColumn id="88" xr3:uid="{56AB8CAF-F3D4-0E4A-BD42-3A6CED504B4A}" name="PAAS2" totalsRowFunction="min" dataDxfId="361" totalsRowDxfId="360" dataCellStyle="Comma" totalsRowCellStyle="Comma"/>
    <tableColumn id="89" xr3:uid="{77F7C2DE-1D65-E944-8888-3CFD30B77C2C}" name="PROF" totalsRowFunction="sum" dataDxfId="359" totalsRowDxfId="358" dataCellStyle="Comma">
      <calculatedColumnFormula>DA4*DB4</calculatedColumnFormula>
    </tableColumn>
    <tableColumn id="90" xr3:uid="{DBD3C246-B108-8949-87CA-96DD0756864E}" name="PROF1" totalsRowFunction="sum" dataDxfId="357" totalsRowDxfId="356" dataCellStyle="Comma"/>
    <tableColumn id="91" xr3:uid="{17CF9242-A84A-D446-8305-5FC833898CEA}" name="PROF2" totalsRowFunction="min" dataDxfId="355" totalsRowDxfId="354" dataCellStyle="Comma" totalsRowCellStyle="Comma"/>
    <tableColumn id="92" xr3:uid="{AFE36B51-F1D6-B040-B57D-88C7A8782AB9}" name="POET" totalsRowFunction="sum" dataDxfId="353" totalsRowDxfId="352" dataCellStyle="Comma">
      <calculatedColumnFormula>DD4*DE4</calculatedColumnFormula>
    </tableColumn>
    <tableColumn id="93" xr3:uid="{796B2E6D-5DF6-DD43-893E-D598BA50344C}" name="POET1" totalsRowFunction="sum" dataDxfId="351" totalsRowDxfId="350" dataCellStyle="Comma"/>
    <tableColumn id="94" xr3:uid="{BAF6005C-FB76-0341-B344-7D29FB9613E1}" name="POET2" totalsRowFunction="min" dataDxfId="349" totalsRowDxfId="348" dataCellStyle="Comma" totalsRowCellStyle="Comma"/>
    <tableColumn id="95" xr3:uid="{1D5E3358-8692-FC4F-85B7-023E1D71D073}" name="PW" totalsRowFunction="sum" dataDxfId="347" totalsRowDxfId="346" dataCellStyle="Comma">
      <calculatedColumnFormula>DG4*DH4</calculatedColumnFormula>
    </tableColumn>
    <tableColumn id="96" xr3:uid="{B2FB27F8-3A83-4A44-AAFE-591BA7BE9ABA}" name="PW1" totalsRowFunction="sum" dataDxfId="345" totalsRowDxfId="344" dataCellStyle="Comma"/>
    <tableColumn id="97" xr3:uid="{83475737-A0C5-1C4D-8BF2-6AE36B4A63BE}" name="PW2" totalsRowFunction="min" dataDxfId="343" totalsRowDxfId="342" dataCellStyle="Comma" totalsRowCellStyle="Comma"/>
    <tableColumn id="98" xr3:uid="{DB90DFD0-B793-014D-9707-0FF12970971D}" name="RIGL" totalsRowFunction="sum" dataDxfId="341" totalsRowDxfId="340" dataCellStyle="Comma">
      <calculatedColumnFormula>DJ4*DK4</calculatedColumnFormula>
    </tableColumn>
    <tableColumn id="99" xr3:uid="{C4EBB85D-CD76-4249-9105-D345A18E0001}" name="RIGL1" totalsRowFunction="sum" dataDxfId="339" totalsRowDxfId="338" dataCellStyle="Comma"/>
    <tableColumn id="100" xr3:uid="{5CF95DE9-9FB1-F54F-A6B4-5CB47BB1D4E2}" name="RIGL2" totalsRowFunction="min" dataDxfId="337" totalsRowDxfId="336" dataCellStyle="Comma" totalsRowCellStyle="Comma"/>
    <tableColumn id="101" xr3:uid="{B6708F28-D805-8541-B57F-ABB52DB693CE}" name="RWE" totalsRowFunction="sum" dataDxfId="335" totalsRowDxfId="334" dataCellStyle="Comma">
      <calculatedColumnFormula>DM4*DN4</calculatedColumnFormula>
    </tableColumn>
    <tableColumn id="102" xr3:uid="{17FA264A-8C38-2E46-9D62-4D15201A648E}" name="RWE1" totalsRowFunction="sum" dataDxfId="333" totalsRowDxfId="332" dataCellStyle="Comma"/>
    <tableColumn id="103" xr3:uid="{78F54D04-DA60-FF46-AB98-C26087522726}" name="RWE2" totalsRowFunction="min" dataDxfId="331" totalsRowDxfId="330" dataCellStyle="Comma" totalsRowCellStyle="Comma"/>
    <tableColumn id="104" xr3:uid="{A6770EAD-98F5-504A-BBD3-62F3F93188B8}" name="SAP" totalsRowFunction="sum" dataDxfId="329" totalsRowDxfId="328" dataCellStyle="Comma">
      <calculatedColumnFormula>DP4*DQ4</calculatedColumnFormula>
    </tableColumn>
    <tableColumn id="105" xr3:uid="{4D9FC9C6-E970-8B40-B2BD-219FE78D13A2}" name="SAP1" totalsRowFunction="sum" dataDxfId="327" totalsRowDxfId="326" dataCellStyle="Comma"/>
    <tableColumn id="106" xr3:uid="{51B8B10B-8A48-1747-9D3A-88CFF66FC41C}" name="SAP2" totalsRowFunction="min" dataDxfId="325" totalsRowDxfId="324" dataCellStyle="Comma" totalsRowCellStyle="Comma"/>
    <tableColumn id="107" xr3:uid="{97BAF581-27B9-294F-A371-024F3ED6AFCD}" name="SHECY" totalsRowFunction="sum" dataDxfId="323" totalsRowDxfId="322" dataCellStyle="Comma">
      <calculatedColumnFormula>DS4*DT4</calculatedColumnFormula>
    </tableColumn>
    <tableColumn id="108" xr3:uid="{7B982B00-B45B-2C48-A048-96E73AA110CD}" name="SHECY1" totalsRowFunction="sum" dataDxfId="321" totalsRowDxfId="320" dataCellStyle="Comma"/>
    <tableColumn id="109" xr3:uid="{C7F697C2-D9A5-FF4F-BA74-E05E1CB3AA61}" name="SHECY2" totalsRowFunction="min" dataDxfId="319" totalsRowDxfId="318" dataCellStyle="Comma" totalsRowCellStyle="Comma"/>
    <tableColumn id="110" xr3:uid="{9EAC0783-F52D-9A44-BCA3-4FBEC584BD4B}" name="SSYS" totalsRowFunction="sum" dataDxfId="317" totalsRowDxfId="316" dataCellStyle="Comma">
      <calculatedColumnFormula>DV4*DW4</calculatedColumnFormula>
    </tableColumn>
    <tableColumn id="111" xr3:uid="{71DB3548-80DA-D745-B2DD-3B69267AFD19}" name="SSYS1" totalsRowFunction="sum" dataDxfId="315" totalsRowDxfId="314" dataCellStyle="Comma"/>
    <tableColumn id="112" xr3:uid="{187D11FE-FA95-7144-94F0-4B8A47E6213F}" name="SSYS2" totalsRowFunction="min" dataDxfId="313" totalsRowDxfId="312" dataCellStyle="Comma" totalsRowCellStyle="Comma"/>
    <tableColumn id="113" xr3:uid="{64F2E9EE-0DD2-E64B-961F-6E4EC9FE1A2C}" name="TSLA" totalsRowFunction="sum" dataDxfId="311" totalsRowDxfId="310" dataCellStyle="Comma">
      <calculatedColumnFormula>DY4*DZ4</calculatedColumnFormula>
    </tableColumn>
    <tableColumn id="114" xr3:uid="{912F594F-1145-404A-8FFB-5C649B1CE6A5}" name="TSLA1" totalsRowFunction="sum" dataDxfId="309" totalsRowDxfId="308" dataCellStyle="Comma"/>
    <tableColumn id="115" xr3:uid="{473BFC17-1E00-1D4F-A300-AA7F9E477AFC}" name="TSLA2" totalsRowFunction="min" dataDxfId="307" totalsRowDxfId="306" dataCellStyle="Comma" totalsRowCellStyle="Comma"/>
    <tableColumn id="116" xr3:uid="{C28DCCDA-ADB8-0741-980D-278E6AFB7C55}" name="TSM" totalsRowFunction="sum" dataDxfId="305" totalsRowDxfId="304" dataCellStyle="Comma">
      <calculatedColumnFormula>EB4*EC4</calculatedColumnFormula>
    </tableColumn>
    <tableColumn id="117" xr3:uid="{C2F8146F-CD04-0944-8F31-0F3983A7E58F}" name="TSM1" totalsRowFunction="sum" dataDxfId="303" totalsRowDxfId="302" dataCellStyle="Comma"/>
    <tableColumn id="118" xr3:uid="{74222717-A683-B146-93AE-A0F5E22E9328}" name="TSM2" totalsRowFunction="min" dataDxfId="301" totalsRowDxfId="300" dataCellStyle="Comma" totalsRowCellStyle="Comma"/>
    <tableColumn id="119" xr3:uid="{0901EBB1-C32A-9C44-BA18-C8E7C3D14020}" name="UN0" totalsRowFunction="sum" dataDxfId="299" totalsRowDxfId="298" dataCellStyle="Comma">
      <calculatedColumnFormula>EE4*EF4</calculatedColumnFormula>
    </tableColumn>
    <tableColumn id="120" xr3:uid="{401B1658-5B72-6143-9A5D-640D48E323B7}" name="UN01" totalsRowFunction="sum" dataDxfId="297" totalsRowDxfId="296" dataCellStyle="Comma"/>
    <tableColumn id="121" xr3:uid="{80103D46-8179-3E4B-83C1-85FD5FEBFD92}" name="UN02" totalsRowFunction="min" dataDxfId="295" totalsRowDxfId="294" dataCellStyle="Comma" totalsRowCellStyle="Comma"/>
    <tableColumn id="122" xr3:uid="{5518D28A-00D5-2B44-A90C-268152335746}" name="UNIT" totalsRowFunction="sum" dataDxfId="293" totalsRowDxfId="292" dataCellStyle="Comma">
      <calculatedColumnFormula>EH4*EI4</calculatedColumnFormula>
    </tableColumn>
    <tableColumn id="123" xr3:uid="{0DA54F50-BE03-1F43-AE75-7390556D7240}" name="UNIT1" totalsRowFunction="sum" dataDxfId="291" totalsRowDxfId="290" dataCellStyle="Comma"/>
    <tableColumn id="124" xr3:uid="{F8F3337B-D053-CF43-B8CD-350E3344D9D8}" name="UNIT2" totalsRowFunction="min" dataDxfId="289" totalsRowDxfId="288" dataCellStyle="Comma" totalsRowCellStyle="Comma"/>
    <tableColumn id="125" xr3:uid="{90F6E564-1D49-A645-8CE3-E0400EE9FB05}" name="AVGO" totalsRowFunction="sum" dataDxfId="287" totalsRowDxfId="286" dataCellStyle="Comma">
      <calculatedColumnFormula>EK4*EL4</calculatedColumnFormula>
    </tableColumn>
    <tableColumn id="126" xr3:uid="{057A49F6-157E-4342-92E9-FBAC0064E7B1}" name="AVGO1" totalsRowFunction="sum" dataDxfId="285" totalsRowDxfId="284" dataCellStyle="Comma"/>
    <tableColumn id="127" xr3:uid="{1B54CB3F-91AD-F644-A5FD-1AA84AAC73F6}" name="AVGO2" totalsRowFunction="min" dataDxfId="283" totalsRowDxfId="282" dataCellStyle="Comma" totalsRowCellStyle="Comma"/>
    <tableColumn id="128" xr3:uid="{18C225C9-9A39-FD48-8722-25B3D3AE935C}" name="VLVLY" totalsRowFunction="sum" dataDxfId="281" totalsRowDxfId="280" dataCellStyle="Comma">
      <calculatedColumnFormula>EN4*EO4</calculatedColumnFormula>
    </tableColumn>
    <tableColumn id="129" xr3:uid="{53B1CB62-A672-8648-9042-8CBE01071A93}" name="VLVLY1" totalsRowFunction="sum" dataDxfId="279" totalsRowDxfId="278" dataCellStyle="Comma"/>
    <tableColumn id="130" xr3:uid="{0BB6943F-DEA5-3C4D-BA40-7BB08F517BD1}" name="VLVLY2" totalsRowFunction="min" dataDxfId="277" totalsRowDxfId="276" dataCellStyle="Comma" totalsRowCellStyle="Comma"/>
    <tableColumn id="131" xr3:uid="{4562306C-EA26-E042-A1C8-2466DF2D65B7}" name="VONN" totalsRowFunction="sum" dataDxfId="275" totalsRowDxfId="274" dataCellStyle="Comma">
      <calculatedColumnFormula>EQ4*ER4</calculatedColumnFormula>
    </tableColumn>
    <tableColumn id="132" xr3:uid="{AC744B6D-1CEC-D441-8728-3ADA66010589}" name="VONN1" totalsRowFunction="sum" dataDxfId="273" totalsRowDxfId="272" dataCellStyle="Comma"/>
    <tableColumn id="133" xr3:uid="{31DE1FC5-6841-4B4D-B287-2200B6933FC2}" name="VONN2" totalsRowFunction="min" dataDxfId="271" totalsRowDxfId="270" dataCellStyle="Comma" totalsRowCellStyle="Comma"/>
    <tableColumn id="134" xr3:uid="{C1678599-0616-8245-B045-DE71244B06F1}" name="VTRS" totalsRowFunction="sum" dataDxfId="269" totalsRowDxfId="268" dataCellStyle="Comma">
      <calculatedColumnFormula>ET4*EU4</calculatedColumnFormula>
    </tableColumn>
    <tableColumn id="135" xr3:uid="{02EFA591-8538-5E44-B3AF-E417AE333F46}" name="VTRS1" totalsRowFunction="sum" dataDxfId="267" totalsRowDxfId="266" dataCellStyle="Comma"/>
    <tableColumn id="136" xr3:uid="{19E9AEAC-16F3-6849-B7CE-BD409C980C42}" name="VTRS2" totalsRowFunction="min" dataDxfId="265" totalsRowDxfId="264" dataCellStyle="Comma" totalsRowCellStyle="Comma"/>
    <tableColumn id="137" xr3:uid="{78B8C722-B003-6E4A-8D5A-8D841132F662}" name="WBA" totalsRowFunction="sum" dataDxfId="263" totalsRowDxfId="262" dataCellStyle="Comma">
      <calculatedColumnFormula>EW4*EX4</calculatedColumnFormula>
    </tableColumn>
    <tableColumn id="138" xr3:uid="{08B93B5A-9A57-0840-B50E-5D6D65CAC221}" name="WBA1" totalsRowFunction="sum" dataDxfId="261" totalsRowDxfId="260" dataCellStyle="Comma"/>
    <tableColumn id="139" xr3:uid="{16277A0F-DCCB-2148-91CF-ABC2FA5F33BF}" name="WBA2" totalsRowFunction="min" dataDxfId="259" totalsRowDxfId="258" dataCellStyle="Comma" totalsRowCellStyle="Comma"/>
    <tableColumn id="140" xr3:uid="{8877FF1C-DCF6-A944-A79B-F80091E798FF}" name="XOM" totalsRowFunction="sum" dataDxfId="257" totalsRowDxfId="256" dataCellStyle="Comma">
      <calculatedColumnFormula>EZ4*FA4</calculatedColumnFormula>
    </tableColumn>
    <tableColumn id="141" xr3:uid="{8BEE4DBA-E385-4746-A5C9-470D629F6AC1}" name="XOM1" totalsRowFunction="sum" dataDxfId="255" totalsRowDxfId="254" dataCellStyle="Comma"/>
    <tableColumn id="142" xr3:uid="{BCE5B0E2-2B20-8149-B924-359BFC93A257}" name="XOM2" totalsRowFunction="min" dataDxfId="253" totalsRowDxfId="252" dataCellStyle="Comma" totalsRowCellStyle="Comma"/>
    <tableColumn id="143" xr3:uid="{AC5F37A6-45EB-FE4C-B2B5-CC5B38E5DF8A}" name="XPER" totalsRowFunction="sum" dataDxfId="251" totalsRowDxfId="250" dataCellStyle="Comma">
      <calculatedColumnFormula>FC4*FD4</calculatedColumnFormula>
    </tableColumn>
    <tableColumn id="144" xr3:uid="{D974D0AE-096D-0C4D-9E78-2A2FB6C29079}" name="XPER1" totalsRowFunction="sum" dataDxfId="249" totalsRowDxfId="248" dataCellStyle="Comma"/>
    <tableColumn id="145" xr3:uid="{94AB83F3-F4D2-D442-BEBA-7706B62E818E}" name="XPER2" totalsRowFunction="min" dataDxfId="247" totalsRowDxfId="246" dataCellStyle="Comma" totalsRowCellStyle="Comma"/>
    <tableColumn id="146" xr3:uid="{CC00EA36-850C-9247-A869-DCF217560A8E}" name="MVEALDNE" totalsRowFunction="sum" dataDxfId="245" totalsRowDxfId="244" dataCellStyle="Comma">
      <calculatedColumnFormula>FF4*FG4</calculatedColumnFormula>
    </tableColumn>
    <tableColumn id="147" xr3:uid="{D8D23A69-677A-544A-9726-C621A7268A6C}" name="MVEALDNE1" totalsRowFunction="sum" dataDxfId="243" totalsRowDxfId="242" dataCellStyle="Comma"/>
    <tableColumn id="148" xr3:uid="{A87E8509-E2E9-7644-AD88-D5B05EAD7335}" name="MVEALDNE2" totalsRowFunction="min" dataDxfId="241" totalsRowDxfId="240" dataCellStyle="Comma" totalsRowCellStyle="Comma"/>
    <tableColumn id="149" xr3:uid="{5BEDAC17-EF8B-624D-93A0-2287AB12F1A4}" name="MVEDDD" totalsRowFunction="sum" dataDxfId="239" totalsRowDxfId="238" dataCellStyle="Comma">
      <calculatedColumnFormula>FI4*FJ4</calculatedColumnFormula>
    </tableColumn>
    <tableColumn id="150" xr3:uid="{D7606647-8C37-8642-8B82-A4420F32FC8E}" name="MVEDDD1" totalsRowFunction="sum" dataDxfId="237" totalsRowDxfId="236" dataCellStyle="Comma"/>
    <tableColumn id="151" xr3:uid="{08A196FC-FA50-AF40-9340-D5F5F70C403D}" name="MVEDDD2" totalsRowFunction="min" dataDxfId="235" totalsRowDxfId="234" dataCellStyle="Comma" totalsRowCellStyle="Comma"/>
    <tableColumn id="152" xr3:uid="{00D26595-4E77-954E-81F4-19093490E1D7}" name="MVEDSY" totalsRowFunction="sum" dataDxfId="233" totalsRowDxfId="232" dataCellStyle="Comma">
      <calculatedColumnFormula>FL4*FM4</calculatedColumnFormula>
    </tableColumn>
    <tableColumn id="153" xr3:uid="{F3B8A133-6637-3B42-B853-37ADF456D002}" name="MVEDSY1" totalsRowFunction="sum" dataDxfId="231" totalsRowDxfId="230" dataCellStyle="Comma"/>
    <tableColumn id="154" xr3:uid="{C0A6D1F9-3BCB-8B49-B58B-56062019C215}" name="MVEDSY2" totalsRowFunction="min" dataDxfId="229" totalsRowDxfId="228" dataCellStyle="Comma" totalsRowCellStyle="Comma"/>
    <tableColumn id="155" xr3:uid="{8A0154A8-7CE1-8141-8F1A-6FC6333F9F4B}" name="MVEEOAN" totalsRowFunction="sum" dataDxfId="227" totalsRowDxfId="226" dataCellStyle="Comma">
      <calculatedColumnFormula>FO4*FP4</calculatedColumnFormula>
    </tableColumn>
    <tableColumn id="156" xr3:uid="{6E59740C-0927-924C-A4AD-61AC465DFEB7}" name="MVEEOAN1" totalsRowFunction="sum" dataDxfId="225" totalsRowDxfId="224" dataCellStyle="Comma"/>
    <tableColumn id="157" xr3:uid="{2D064CF8-04BD-4448-8B40-523093E37B65}" name="MVEEOAN2" totalsRowFunction="min" dataDxfId="223" totalsRowDxfId="222" dataCellStyle="Comma" totalsRowCellStyle="Comma"/>
    <tableColumn id="158" xr3:uid="{6DDD358B-8956-8248-957B-AD486C1ECFF6}" name="MVEENI" totalsRowFunction="sum" dataDxfId="221" totalsRowDxfId="220" dataCellStyle="Comma">
      <calculatedColumnFormula>FR4*FS4</calculatedColumnFormula>
    </tableColumn>
    <tableColumn id="159" xr3:uid="{2F894C0B-56EE-564B-9B22-7CD064EE8B51}" name="MVEENI1" totalsRowFunction="sum" dataDxfId="219" totalsRowDxfId="218" dataCellStyle="Comma"/>
    <tableColumn id="160" xr3:uid="{52303A38-88E8-584B-926B-240712D2B528}" name="MVEENI2" totalsRowFunction="min" dataDxfId="217" totalsRowDxfId="216" dataCellStyle="Comma" totalsRowCellStyle="Comma"/>
    <tableColumn id="161" xr3:uid="{2552C033-AE97-D944-8662-F7FC8D61E3FD}" name="MVEEPIX" totalsRowFunction="sum" dataDxfId="215" totalsRowDxfId="214" dataCellStyle="Comma">
      <calculatedColumnFormula>FU4*FV4</calculatedColumnFormula>
    </tableColumn>
    <tableColumn id="162" xr3:uid="{FC754CB8-8978-FE42-974D-50915465429F}" name="MVEEPIX1" totalsRowFunction="sum" dataDxfId="213" totalsRowDxfId="212" dataCellStyle="Comma"/>
    <tableColumn id="163" xr3:uid="{231B8ECB-D7EB-F747-B9E5-2B9A470DAB79}" name="MVEEPIX2" totalsRowFunction="min" dataDxfId="211" totalsRowDxfId="210" dataCellStyle="Comma" totalsRowCellStyle="Comma"/>
    <tableColumn id="164" xr3:uid="{15949676-3E79-D844-B518-DFE698A52F5C}" name="MVEGLE" totalsRowFunction="sum" dataDxfId="209" totalsRowDxfId="208" dataCellStyle="Comma">
      <calculatedColumnFormula>FX4*FY4</calculatedColumnFormula>
    </tableColumn>
    <tableColumn id="165" xr3:uid="{EA8F1B07-6042-1E4D-8D13-13F360C365F9}" name="MVEGLE1" totalsRowFunction="sum" dataDxfId="207" totalsRowDxfId="206" dataCellStyle="Comma"/>
    <tableColumn id="166" xr3:uid="{AD4E1A4E-5CE3-F943-B94D-21265EF2AC4C}" name="MVEGLE2" totalsRowFunction="min" dataDxfId="205" totalsRowDxfId="204" dataCellStyle="Comma" totalsRowCellStyle="Comma"/>
    <tableColumn id="167" xr3:uid="{D0817D23-B75D-9344-9044-9B750FF81CA1}" name="MVEORA" totalsRowFunction="sum" dataDxfId="203" totalsRowDxfId="202" dataCellStyle="Comma">
      <calculatedColumnFormula>GA4*GB4</calculatedColumnFormula>
    </tableColumn>
    <tableColumn id="168" xr3:uid="{7CD3C561-CB44-844D-83CE-DC1221D1D262}" name="MVEORA1" totalsRowFunction="sum" dataDxfId="201" totalsRowDxfId="200" dataCellStyle="Comma"/>
    <tableColumn id="169" xr3:uid="{3E2AE2DA-E3D9-2643-A6CB-EDBF6BFEAD49}" name="MVEORA2" totalsRowFunction="min" dataDxfId="199" totalsRowDxfId="198" dataCellStyle="Comma" totalsRowCellStyle="Comma"/>
    <tableColumn id="170" xr3:uid="{47AB82E2-0029-994A-BCAF-735937B9C15F}" name="MVERWE" totalsRowFunction="sum" dataDxfId="197" totalsRowDxfId="196" dataCellStyle="Comma">
      <calculatedColumnFormula>GD4*GE4</calculatedColumnFormula>
    </tableColumn>
    <tableColumn id="171" xr3:uid="{0AE2487B-4560-B445-BB20-C420DFBD9607}" name="MVERWE1" totalsRowFunction="sum" dataDxfId="195" totalsRowDxfId="194" dataCellStyle="Comma"/>
    <tableColumn id="172" xr3:uid="{49C8DEEF-4A34-B84C-AE18-36D9D8CE0C85}" name="MVERWE2" totalsRowFunction="min" dataDxfId="193" totalsRowDxfId="192" dataCellStyle="Comma" totalsRowCellStyle="Comma"/>
    <tableColumn id="173" xr3:uid="{281E0B65-B1DE-7A4A-BA81-B111AB88CB78}" name="MVESAP" totalsRowFunction="sum" dataDxfId="191" totalsRowDxfId="190" dataCellStyle="Comma">
      <calculatedColumnFormula>GG4*GH4</calculatedColumnFormula>
    </tableColumn>
    <tableColumn id="174" xr3:uid="{88761A69-194C-0746-A93B-FF06592D8F8F}" name="MVESAP1" totalsRowFunction="sum" dataDxfId="189" totalsRowDxfId="188" dataCellStyle="Comma"/>
    <tableColumn id="175" xr3:uid="{6D726605-B7D4-C947-B3BB-637A9FAED031}" name="MVESAP2" totalsRowFunction="min" dataDxfId="187" totalsRowDxfId="186" dataCellStyle="Comma" totalsRowCellStyle="Comma"/>
    <tableColumn id="176" xr3:uid="{A100434D-EA28-0B45-ABEE-C41BD5F7BB02}" name="MVEUN0" totalsRowFunction="sum" dataDxfId="185" totalsRowDxfId="184" dataCellStyle="Comma">
      <calculatedColumnFormula>GJ4*GK4</calculatedColumnFormula>
    </tableColumn>
    <tableColumn id="177" xr3:uid="{9E7BF7FE-8C99-A44A-8F0B-D561D1E6B1F5}" name="MVEUN01" totalsRowFunction="sum" dataDxfId="183" totalsRowDxfId="182" dataCellStyle="Comma"/>
    <tableColumn id="178" xr3:uid="{76C636C8-EFA7-1C49-84EA-64F10D84AE9A}" name="MVEUN02" totalsRowFunction="min" dataDxfId="181" totalsRowDxfId="180" dataCellStyle="Comma" totalsRowCellStyle="Comma"/>
    <tableColumn id="293" xr3:uid="{355C0BBE-A3AA-EE45-B4A0-82B42D36AD39}" name="SAFAAPL" totalsRowFunction="sum" dataDxfId="179" totalsRowDxfId="178" dataCellStyle="Comma">
      <calculatedColumnFormula>GM4*GN4</calculatedColumnFormula>
    </tableColumn>
    <tableColumn id="294" xr3:uid="{75C965A4-4D64-954F-8D00-FFCB7802D390}" name="SAFAAPL1" totalsRowFunction="sum" dataDxfId="177" totalsRowDxfId="176" dataCellStyle="Comma"/>
    <tableColumn id="295" xr3:uid="{A2C5A392-5EB9-A040-8112-B424167BB828}" name="SAFAAPL2" totalsRowFunction="min" dataDxfId="175" totalsRowDxfId="174" dataCellStyle="Comma" totalsRowCellStyle="Comma"/>
    <tableColumn id="194" xr3:uid="{D5C281BF-9E7D-FA4B-B898-77921FAA3B4C}" name="SAFAMZN" totalsRowFunction="sum" dataDxfId="173" totalsRowDxfId="172" dataCellStyle="Comma">
      <calculatedColumnFormula>GP4*GQ4</calculatedColumnFormula>
    </tableColumn>
    <tableColumn id="195" xr3:uid="{096D0ABC-07F4-754B-AFA8-C310FFBDFD13}" name="SAFAMZN1" totalsRowFunction="sum" dataDxfId="171" totalsRowDxfId="170" dataCellStyle="Comma"/>
    <tableColumn id="196" xr3:uid="{42C3E450-B1B6-4749-A2D3-DFE4068A8B69}" name="SAFAMZN2" totalsRowFunction="min" dataDxfId="169" totalsRowDxfId="168" dataCellStyle="Comma" totalsRowCellStyle="Comma"/>
    <tableColumn id="197" xr3:uid="{DA8D56A9-EB87-E745-BB60-68EE1B73AAA3}" name="SAFASML" totalsRowFunction="sum" dataDxfId="167" totalsRowDxfId="166" dataCellStyle="Comma">
      <calculatedColumnFormula>GS4*GT4</calculatedColumnFormula>
    </tableColumn>
    <tableColumn id="198" xr3:uid="{31339F60-763A-EF4E-830D-344C7454A5E5}" name="SAFASML1" totalsRowFunction="sum" dataDxfId="165" totalsRowDxfId="164" dataCellStyle="Comma"/>
    <tableColumn id="199" xr3:uid="{AFB8DA12-F9D7-5946-A732-34A3BE31A15C}" name="SAFASML2" totalsRowFunction="min" dataDxfId="163" totalsRowDxfId="162" dataCellStyle="Comma" totalsRowCellStyle="Comma"/>
    <tableColumn id="200" xr3:uid="{0D5328E3-17E9-F847-99D9-012510FD63CF}" name="SAFDDD" totalsRowFunction="sum" dataDxfId="161" totalsRowDxfId="160" dataCellStyle="Comma">
      <calculatedColumnFormula>GV4*GW4</calculatedColumnFormula>
    </tableColumn>
    <tableColumn id="201" xr3:uid="{EACA5905-1DE5-1D4E-AF65-1B701788C76F}" name="SAFDDD1" totalsRowFunction="sum" dataDxfId="159" totalsRowDxfId="158" dataCellStyle="Comma"/>
    <tableColumn id="296" xr3:uid="{140DB8CB-0F07-7140-9842-B8279F80AEE3}" name="SAFDDD2" totalsRowFunction="min" dataDxfId="157" totalsRowDxfId="156" dataCellStyle="Comma" totalsRowCellStyle="Comma"/>
    <tableColumn id="297" xr3:uid="{D2ED426E-E614-8A45-B4F9-11BDACE17342}" name="SAFDIS" totalsRowFunction="sum" dataDxfId="155" totalsRowDxfId="154" dataCellStyle="Comma">
      <calculatedColumnFormula>GY4*GZ4</calculatedColumnFormula>
    </tableColumn>
    <tableColumn id="298" xr3:uid="{8E41568A-156F-F74D-8AA9-55A407CD21E9}" name="SAFDIS1" totalsRowFunction="sum" dataDxfId="153" totalsRowDxfId="152" dataCellStyle="Comma"/>
    <tableColumn id="202" xr3:uid="{39F493BD-168C-D74C-96CF-5F63DCAEDCF5}" name="SAFDIS2" totalsRowFunction="min" dataDxfId="151" totalsRowDxfId="150" dataCellStyle="Comma" totalsRowCellStyle="Comma"/>
    <tableColumn id="299" xr3:uid="{43FDDA5F-6BF6-494C-BCE5-3F78EC38FCB5}" name="SAFGM" totalsRowFunction="sum" dataDxfId="149" totalsRowDxfId="148" dataCellStyle="Comma">
      <calculatedColumnFormula>HB4*HC4</calculatedColumnFormula>
    </tableColumn>
    <tableColumn id="300" xr3:uid="{8A297456-5980-F648-96E6-89EE12F200F5}" name="SAFGM1" totalsRowFunction="sum" dataDxfId="147" totalsRowDxfId="146" dataCellStyle="Comma"/>
    <tableColumn id="301" xr3:uid="{A76CCC92-45D2-4641-9706-94B8EF6234A2}" name="SAFGM2" totalsRowFunction="min" dataDxfId="145" totalsRowDxfId="144" dataCellStyle="Comma" totalsRowCellStyle="Comma"/>
    <tableColumn id="203" xr3:uid="{DCE2DFA9-0967-B44B-A331-201C66120E60}" name="SAFIAG" totalsRowFunction="sum" dataDxfId="143" totalsRowDxfId="142" dataCellStyle="Comma">
      <calculatedColumnFormula>HE4*HF4</calculatedColumnFormula>
    </tableColumn>
    <tableColumn id="204" xr3:uid="{0ADD8281-874A-5F4A-BF37-6BAC5ADF3E87}" name="SAFIAG1" totalsRowFunction="sum" dataDxfId="141" totalsRowDxfId="140" dataCellStyle="Comma"/>
    <tableColumn id="205" xr3:uid="{A49643F7-060D-1447-90FE-30030F7AD036}" name="SAFIAG2" totalsRowFunction="min" dataDxfId="139" totalsRowDxfId="138" dataCellStyle="Comma" totalsRowCellStyle="Comma"/>
    <tableColumn id="206" xr3:uid="{063A3E74-EC3C-8245-AA31-906502465FE7}" name="SAFMRNA" totalsRowFunction="sum" dataDxfId="137" totalsRowDxfId="136" dataCellStyle="Comma">
      <calculatedColumnFormula>HH4*HI4</calculatedColumnFormula>
    </tableColumn>
    <tableColumn id="207" xr3:uid="{1ACF6430-841D-DE48-A45F-9EEEBC7DDD31}" name="SAFMRNA1" totalsRowFunction="sum" dataDxfId="135" totalsRowDxfId="134" dataCellStyle="Comma"/>
    <tableColumn id="208" xr3:uid="{F7D7A14E-98EA-E849-80C7-0215AE7E73C4}" name="SAFMRNA2" totalsRowFunction="min" dataDxfId="133" totalsRowDxfId="132" dataCellStyle="Comma" totalsRowCellStyle="Comma"/>
    <tableColumn id="209" xr3:uid="{2C66852A-F034-F245-AAAE-FD4DB5211184}" name="BLNK" totalsRowFunction="sum" dataDxfId="131" totalsRowDxfId="130" dataCellStyle="Comma">
      <calculatedColumnFormula>HK4*HL4</calculatedColumnFormula>
    </tableColumn>
    <tableColumn id="210" xr3:uid="{EC92AAB7-FB35-1046-B1B8-EC266DF29AF6}" name="BLNK1" totalsRowFunction="sum" dataDxfId="129" totalsRowDxfId="128" dataCellStyle="Comma"/>
    <tableColumn id="211" xr3:uid="{C518F1F4-90E9-564D-ABAA-CA9B3577D172}" name="BLNK2" totalsRowFunction="min" dataDxfId="127" totalsRowDxfId="126" dataCellStyle="Comma" totalsRowCellStyle="Comma"/>
    <tableColumn id="212" xr3:uid="{A7DA3CFF-700D-4746-9C77-2F97DA8F5D89}" name="ENI" totalsRowFunction="sum" dataDxfId="125" totalsRowDxfId="124" dataCellStyle="Comma">
      <calculatedColumnFormula>HN4*HO4</calculatedColumnFormula>
    </tableColumn>
    <tableColumn id="213" xr3:uid="{4E473110-06B6-8944-981D-A0875462CCE8}" name="ENI1" totalsRowFunction="sum" dataDxfId="123" totalsRowDxfId="122" dataCellStyle="Comma"/>
    <tableColumn id="214" xr3:uid="{07D48690-0D17-D945-B2A8-97A42729972C}" name="ENI2" totalsRowFunction="min" dataDxfId="121" totalsRowDxfId="120" dataCellStyle="Comma" totalsRowCellStyle="Comma"/>
    <tableColumn id="215" xr3:uid="{26A23CF1-626D-9B42-BEED-50E95ED94AD5}" name="EZJ" totalsRowFunction="sum" dataDxfId="119" totalsRowDxfId="118" dataCellStyle="Comma">
      <calculatedColumnFormula>HQ4*HR4</calculatedColumnFormula>
    </tableColumn>
    <tableColumn id="216" xr3:uid="{CE90F5E2-B482-7844-9DC6-BBC130767163}" name="EZJ1" totalsRowFunction="sum" dataDxfId="117" totalsRowDxfId="116" dataCellStyle="Comma"/>
    <tableColumn id="217" xr3:uid="{3480F167-111D-F94C-853E-FA4CD0FD66A0}" name="EZJ2" totalsRowFunction="min" dataDxfId="115" totalsRowDxfId="114" dataCellStyle="Comma" totalsRowCellStyle="Comma"/>
    <tableColumn id="218" xr3:uid="{E5CEE3C8-1C19-D746-863A-C36FE264E18F}" name="F" totalsRowFunction="sum" dataDxfId="113" totalsRowDxfId="112" dataCellStyle="Comma">
      <calculatedColumnFormula>HT4*HU4</calculatedColumnFormula>
    </tableColumn>
    <tableColumn id="219" xr3:uid="{08A44E9A-5C64-5047-9A4B-B3CD8EF0D15B}" name="F1" totalsRowFunction="sum" dataDxfId="111" totalsRowDxfId="110" dataCellStyle="Comma"/>
    <tableColumn id="220" xr3:uid="{030BF821-FB98-A64A-BCE8-A2C1114A249D}" name="F2" totalsRowFunction="min" dataDxfId="109" totalsRowDxfId="108" dataCellStyle="Comma" totalsRowCellStyle="Comma"/>
    <tableColumn id="221" xr3:uid="{90D19A12-8398-C940-8AA6-7A305670690C}" name="GLE" totalsRowFunction="sum" dataDxfId="107" totalsRowDxfId="106" dataCellStyle="Comma">
      <calculatedColumnFormula>HW4*HX4</calculatedColumnFormula>
    </tableColumn>
    <tableColumn id="222" xr3:uid="{5C5F7676-8535-B84D-8A30-67A39C1F644E}" name="GLE1" totalsRowFunction="sum" dataDxfId="105" totalsRowDxfId="104" dataCellStyle="Comma"/>
    <tableColumn id="223" xr3:uid="{116EA170-40CC-4747-A155-13618E51BF7C}" name="GLE2" totalsRowFunction="min" dataDxfId="103" totalsRowDxfId="102" dataCellStyle="Comma" totalsRowCellStyle="Comma"/>
    <tableColumn id="302" xr3:uid="{C9F18012-A33C-D540-8ACE-BC223A448275}" name="GNRC" totalsRowFunction="sum" dataDxfId="101" totalsRowDxfId="100" dataCellStyle="Comma">
      <calculatedColumnFormula>HZ4*IA4</calculatedColumnFormula>
    </tableColumn>
    <tableColumn id="303" xr3:uid="{2A6956C6-1AD1-A042-BA0A-356D51A7C372}" name="GNRC1" totalsRowFunction="sum" dataDxfId="99" totalsRowDxfId="98" dataCellStyle="Comma"/>
    <tableColumn id="304" xr3:uid="{72BEB8EB-80EB-004D-844E-63DF118C8312}" name="GNRC2" totalsRowFunction="min" dataDxfId="97" totalsRowDxfId="96" dataCellStyle="Comma" totalsRowCellStyle="Comma"/>
    <tableColumn id="305" xr3:uid="{AA02E0F8-BB0C-F549-BFBB-3DD143D0A554}" name="GS" totalsRowFunction="sum" dataDxfId="95" totalsRowDxfId="94" dataCellStyle="Comma">
      <calculatedColumnFormula>IC4*ID4</calculatedColumnFormula>
    </tableColumn>
    <tableColumn id="306" xr3:uid="{7FFD5798-3EC1-5B4F-BC28-9F98153C358A}" name="GS1" totalsRowFunction="sum" dataDxfId="93" totalsRowDxfId="92" dataCellStyle="Comma"/>
    <tableColumn id="307" xr3:uid="{BA69B203-4954-4641-828D-F504F343AAA0}" name="GS2" totalsRowFunction="min" dataDxfId="91" totalsRowDxfId="90" dataCellStyle="Comma" totalsRowCellStyle="Comma"/>
    <tableColumn id="308" xr3:uid="{9311DF81-C645-954F-BE13-D8E80C967765}" name="LAZR" totalsRowFunction="sum" dataDxfId="89" totalsRowDxfId="88" dataCellStyle="Comma">
      <calculatedColumnFormula>IF4*IG4</calculatedColumnFormula>
    </tableColumn>
    <tableColumn id="309" xr3:uid="{1DCA0E5C-F46E-C442-BF17-231E422C436B}" name="LAZR1" totalsRowFunction="sum" dataDxfId="87" totalsRowDxfId="86" dataCellStyle="Comma"/>
    <tableColumn id="310" xr3:uid="{5B721FEF-DC79-1A4E-87B2-6F6751A8C5FB}" name="LAZR2" totalsRowFunction="min" dataDxfId="85" totalsRowDxfId="84" dataCellStyle="Comma" totalsRowCellStyle="Comma"/>
    <tableColumn id="311" xr3:uid="{BCAB8D3E-89FB-9745-BDD3-303CAFE40D00}" name="LUV" totalsRowFunction="sum" dataDxfId="83" totalsRowDxfId="82" dataCellStyle="Comma">
      <calculatedColumnFormula>II4*IJ4</calculatedColumnFormula>
    </tableColumn>
    <tableColumn id="312" xr3:uid="{5FB4AA94-F2AF-9646-8B63-1F30702DD0C3}" name="LUV1" totalsRowFunction="sum" dataDxfId="81" totalsRowDxfId="80" dataCellStyle="Comma"/>
    <tableColumn id="313" xr3:uid="{DC3D55B4-20FF-CC4E-8AE7-F28BB537E330}" name="LUV2" totalsRowFunction="min" dataDxfId="79" totalsRowDxfId="78" dataCellStyle="Comma" totalsRowCellStyle="Comma"/>
    <tableColumn id="314" xr3:uid="{BCE4EA37-D1AA-2141-9F57-2E9684F67DD6}" name="MA" totalsRowFunction="sum" dataDxfId="77" totalsRowDxfId="76" dataCellStyle="Comma">
      <calculatedColumnFormula>IL4*IM4</calculatedColumnFormula>
    </tableColumn>
    <tableColumn id="315" xr3:uid="{C0D021C1-69A2-0241-BEE9-1C158F73A4FA}" name="MA1" totalsRowFunction="sum" dataDxfId="75" totalsRowDxfId="74" dataCellStyle="Comma"/>
    <tableColumn id="316" xr3:uid="{14BC53C8-F1A7-5141-A56E-D7C0D21D3F9E}" name="MA2" totalsRowFunction="min" dataDxfId="73" totalsRowDxfId="72" dataCellStyle="Comma" totalsRowCellStyle="Comma"/>
    <tableColumn id="317" xr3:uid="{CF77F9FD-A4BA-7C4C-B956-AA8BA42387AA}" name="NVAX" totalsRowFunction="sum" dataDxfId="71" totalsRowDxfId="70" dataCellStyle="Comma">
      <calculatedColumnFormula>IO4*IP4</calculatedColumnFormula>
    </tableColumn>
    <tableColumn id="318" xr3:uid="{37B4420D-D726-C34E-BB05-0E9C71C659B3}" name="NVAX1" totalsRowFunction="sum" dataDxfId="69" totalsRowDxfId="68" dataCellStyle="Comma"/>
    <tableColumn id="319" xr3:uid="{3744BA38-7173-AD4D-9E08-7BB49ACB0F4B}" name="NVAX2" totalsRowFunction="min" dataDxfId="67" totalsRowDxfId="66" dataCellStyle="Comma" totalsRowCellStyle="Comma"/>
    <tableColumn id="320" xr3:uid="{6D6D9F8B-5C5C-6143-8F6C-6553E839FE07}" name="NVS" totalsRowFunction="sum" dataDxfId="65" totalsRowDxfId="64" dataCellStyle="Comma">
      <calculatedColumnFormula>IR4*IS4</calculatedColumnFormula>
    </tableColumn>
    <tableColumn id="321" xr3:uid="{A0EA5C9D-1AF5-0A40-959F-B72043D75D14}" name="NVS1" totalsRowFunction="sum" dataDxfId="63" totalsRowDxfId="62" dataCellStyle="Comma"/>
    <tableColumn id="322" xr3:uid="{C52A1BFE-EC98-094F-A6F5-DDC88259DCCB}" name="NVS2" totalsRowFunction="min" dataDxfId="61" totalsRowDxfId="60" dataCellStyle="Comma" totalsRowCellStyle="Comma"/>
    <tableColumn id="323" xr3:uid="{DB445CFC-F9DD-F045-BE44-85B852E67938}" name="ORA" totalsRowFunction="sum" dataDxfId="59" totalsRowDxfId="58" dataCellStyle="Comma">
      <calculatedColumnFormula>IU4*IV4</calculatedColumnFormula>
    </tableColumn>
    <tableColumn id="324" xr3:uid="{C83CEEE4-0EAF-D24F-9C6E-28C1414591B8}" name="ORA1" totalsRowFunction="sum" dataDxfId="57" totalsRowDxfId="56" dataCellStyle="Comma"/>
    <tableColumn id="325" xr3:uid="{BB136A20-C895-1A47-B3E3-C8A1A2AC1D2E}" name="ORA2" totalsRowFunction="min" dataDxfId="55" totalsRowDxfId="54" dataCellStyle="Comma" totalsRowCellStyle="Comma"/>
    <tableColumn id="326" xr3:uid="{7ADB006D-78C3-6B41-A185-8130D821F1BA}" name="OXY" totalsRowFunction="sum" dataDxfId="53" totalsRowDxfId="52" dataCellStyle="Comma">
      <calculatedColumnFormula>IX4*IY4</calculatedColumnFormula>
    </tableColumn>
    <tableColumn id="327" xr3:uid="{8AFEF757-F34B-5F4D-8AEE-1DAC82AFD593}" name="OXY1" totalsRowFunction="sum" dataDxfId="51" totalsRowDxfId="50" dataCellStyle="Comma"/>
    <tableColumn id="328" xr3:uid="{12752888-6713-3B4C-AB59-DA7374D21A5C}" name="OXY2" totalsRowFunction="min" dataDxfId="49" totalsRowDxfId="48" dataCellStyle="Comma" totalsRowCellStyle="Comma"/>
    <tableColumn id="329" xr3:uid="{FB898D0B-AD6A-CB4D-A360-0A0C97AD493F}" name="PFE" totalsRowFunction="sum" dataDxfId="47" totalsRowDxfId="46" dataCellStyle="Comma">
      <calculatedColumnFormula>JA4*JB4</calculatedColumnFormula>
    </tableColumn>
    <tableColumn id="330" xr3:uid="{5B42F510-EA4F-5447-9390-760689D14CA3}" name="PFE1" totalsRowFunction="sum" dataDxfId="45" totalsRowDxfId="44" dataCellStyle="Comma"/>
    <tableColumn id="331" xr3:uid="{BE6444AD-A25F-B541-9741-135A41B4775F}" name="PFE2" totalsRowFunction="min" dataDxfId="43" totalsRowDxfId="42" dataCellStyle="Comma" totalsRowCellStyle="Comma"/>
    <tableColumn id="332" xr3:uid="{17CF3558-3A6E-064A-A188-D993E0384BF1}" name="RIG" totalsRowFunction="sum" dataDxfId="41" totalsRowDxfId="40" dataCellStyle="Comma">
      <calculatedColumnFormula>JD4*JE4</calculatedColumnFormula>
    </tableColumn>
    <tableColumn id="333" xr3:uid="{1A45FDAA-3932-0B48-8F62-7142F164E5BB}" name="RIG1" totalsRowFunction="sum" dataDxfId="39" totalsRowDxfId="38" dataCellStyle="Comma"/>
    <tableColumn id="334" xr3:uid="{CA5537A5-1A99-CF4D-8B50-258790D0A53F}" name="RIG2" totalsRowFunction="min" dataDxfId="37" totalsRowDxfId="36" dataCellStyle="Comma" totalsRowCellStyle="Comma"/>
    <tableColumn id="335" xr3:uid="{120EB001-6A2F-104D-934B-C108A131A82E}" name="RRC" totalsRowFunction="sum" dataDxfId="35" totalsRowDxfId="34" dataCellStyle="Comma">
      <calculatedColumnFormula>JG4*JH4</calculatedColumnFormula>
    </tableColumn>
    <tableColumn id="336" xr3:uid="{722E8BC9-FEC5-A64E-9CD6-C5EB816941D1}" name="RRC1" totalsRowFunction="sum" dataDxfId="33" totalsRowDxfId="32" dataCellStyle="Comma"/>
    <tableColumn id="337" xr3:uid="{23E232FC-30C5-2344-AFC5-C4CE011FACB6}" name="RRC2" totalsRowFunction="min" dataDxfId="31" totalsRowDxfId="30" dataCellStyle="Comma" totalsRowCellStyle="Comma"/>
    <tableColumn id="338" xr3:uid="{024E1B5C-9EBC-6243-9874-62FCB21C7AC4}" name="XYZ" totalsRowFunction="sum" dataDxfId="29" totalsRowDxfId="28" dataCellStyle="Comma">
      <calculatedColumnFormula>JJ4*JK4</calculatedColumnFormula>
    </tableColumn>
    <tableColumn id="339" xr3:uid="{D73E5BF7-13C6-B946-A39C-2E4BEE448031}" name="XYZ1" totalsRowFunction="sum" dataDxfId="27" totalsRowDxfId="26" dataCellStyle="Comma"/>
    <tableColumn id="340" xr3:uid="{D5809378-8349-EA46-BB5E-AA1EFC987BE1}" name="XYZ2" totalsRowFunction="min" dataDxfId="25" totalsRowDxfId="24" dataCellStyle="Comma" totalsRowCellStyle="Comma"/>
    <tableColumn id="224" xr3:uid="{3CFBF1E4-89AB-9343-9CF8-F9828D34EEBB}" name="THC" totalsRowFunction="sum" dataDxfId="23" totalsRowDxfId="22" dataCellStyle="Comma">
      <calculatedColumnFormula>JM4*JN4</calculatedColumnFormula>
    </tableColumn>
    <tableColumn id="225" xr3:uid="{F3E8CEDA-FB49-8B4F-BE49-2D1EAA352819}" name="THC1" totalsRowFunction="sum" dataDxfId="21" totalsRowDxfId="20" dataCellStyle="Comma"/>
    <tableColumn id="226" xr3:uid="{E1E5B5B7-06DD-1E4B-8B47-ADD599550C95}" name="THC2" totalsRowFunction="min" dataDxfId="19" totalsRowDxfId="18" dataCellStyle="Comma" totalsRowCellStyle="Comma"/>
    <tableColumn id="227" xr3:uid="{6A0D4B8F-B250-D242-B6C2-54D388E9BFD0}" name="X" totalsRowFunction="sum" dataDxfId="17" totalsRowDxfId="16" dataCellStyle="Comma">
      <calculatedColumnFormula>JP4*JQ4</calculatedColumnFormula>
    </tableColumn>
    <tableColumn id="228" xr3:uid="{DBE03662-A59D-0144-9C67-53007BC63523}" name="X1" totalsRowFunction="sum" dataDxfId="15" totalsRowDxfId="14" dataCellStyle="Comma"/>
    <tableColumn id="229" xr3:uid="{B6FA170C-8F4E-5141-8A1C-4AFB0CF30549}" name="X2" totalsRowFunction="min" dataDxfId="13" totalsRowDxfId="12" dataCellStyle="Comma" totalsRowCellStyle="Comma"/>
    <tableColumn id="230" xr3:uid="{47E3AED3-9366-9D49-99F5-C472B26C9673}" name="JBEOAN" totalsRowFunction="sum" dataDxfId="11" totalsRowDxfId="10" dataCellStyle="Comma">
      <calculatedColumnFormula>JS4*JT4</calculatedColumnFormula>
    </tableColumn>
    <tableColumn id="231" xr3:uid="{83AAE868-C620-B749-966A-967E2C3EC8B5}" name="JBEOAN1" totalsRowFunction="sum" dataDxfId="9" totalsRowDxfId="8" dataCellStyle="Comma"/>
    <tableColumn id="232" xr3:uid="{D60104C1-2C05-F44D-9D67-52F95CC69479}" name="JBEOAN2" totalsRowFunction="min" dataDxfId="7" totalsRowDxfId="6" dataCellStyle="Comma" totalsRowCellStyle="Comma"/>
    <tableColumn id="179" xr3:uid="{64147A3D-16B4-BF44-9A91-D543A32A8A07}" name="LOCK" totalsRowFunction="sum" dataDxfId="5" totalsRowDxfId="4" dataCellStyle="Comma">
      <calculatedColumnFormula array="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calculatedColumnFormula>
    </tableColumn>
    <tableColumn id="180" xr3:uid="{CF77DC33-6E43-2B45-9B8F-A797D0F7756C}" name="LOCK1" totalsRowFunction="sum" dataDxfId="3" totalsRowDxfId="2" dataCellStyle="Comma"/>
    <tableColumn id="181" xr3:uid="{6DB17F7E-0B97-C948-8704-F87F232E5B0E}" name="LOCK2" totalsRowFunction="min" dataDxfId="1" totalsRowDxfId="0" dataCellStyle="Comma" totalsRowCellStyle="Comma"/>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threadedComments/threadedComment3.xml><?xml version="1.0" encoding="utf-8"?>
<ThreadedComments xmlns="http://schemas.microsoft.com/office/spreadsheetml/2018/threadedcomments" xmlns:x="http://schemas.openxmlformats.org/spreadsheetml/2006/main">
  <threadedComment ref="D2" dT="2025-09-19T17:11:07.26" personId="{88C89EF0-7557-4E46-A245-51121A75A417}" id="{52798177-69C8-5849-A1FF-8D7B2E57A90F}">
    <text>When the formulas below are copied to certain row they will calculate current dynamic values for the row position.
Data in the columns will be made back static by executing  VBA macro MakeStatic.</text>
  </threadedComment>
</ThreadedComments>
</file>

<file path=xl/threadedComments/threadedComment4.xml><?xml version="1.0" encoding="utf-8"?>
<ThreadedComments xmlns="http://schemas.microsoft.com/office/spreadsheetml/2018/threadedcomments" xmlns:x="http://schemas.openxmlformats.org/spreadsheetml/2006/main">
  <threadedComment ref="A1" dT="2025-01-25T17:41:11.91" personId="{88C89EF0-7557-4E46-A245-51121A75A417}" id="{7C6879E1-601E-BA41-B43E-185928FFACA1}">
    <text>Old trade data comes from the GITTRAPPER.xlsm.
New trades have to be entered in Entries worksheet and formulas in NewReg work sheet put the values into this trade  register.</text>
  </threadedComment>
  <threadedComment ref="E3" dT="2025-01-26T16:08:48.85" personId="{88C89EF0-7557-4E46-A245-51121A75A417}" id="{71CD9E4D-32E3-DB45-BF3E-51E54F68471E}">
    <text xml:space="preserve">If 
Ticker&lt;&gt; ticker: “”;
Entry=previous: “”;
And
previous #,P are numbers;
Status=Booked: enter data.
</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1.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 Id="rId4" Type="http://schemas.microsoft.com/office/2017/10/relationships/threadedComment" Target="../threadedComments/threadedComment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T62" activePane="bottomRight" state="frozen"/>
      <selection pane="topRight" activeCell="B1" sqref="B1"/>
      <selection pane="bottomLeft" activeCell="A3" sqref="A3"/>
      <selection pane="bottomRight" activeCell="T67" sqref="T67"/>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45923.845625462498</v>
      </c>
      <c r="B1" s="2" t="s">
        <v>0</v>
      </c>
      <c r="C1" s="2"/>
      <c r="D1" s="3"/>
      <c r="E1" s="4" t="s">
        <v>0</v>
      </c>
      <c r="F1" s="5">
        <f ca="1">NOW()</f>
        <v>45923.929164120367</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0.84645336041984087</v>
      </c>
      <c r="C3" s="16" t="e" vm="1">
        <v>#VALUE!</v>
      </c>
      <c r="D3" s="17" t="str" cm="1">
        <f t="array" aca="1" ref="D3" ca="1">_FV(RTData[[#This Row],[Company Name]],"Currency")</f>
        <v>USD</v>
      </c>
      <c r="E3" s="18" cm="1">
        <f t="array" aca="1" ref="E3" ca="1">_FV(RTData[[#This Row],[Company Name]],"Last trade time",TRUE)</f>
        <v>45923.84554741875</v>
      </c>
      <c r="F3" s="19" cm="1">
        <f t="array" aca="1" ref="F3" ca="1">_FV(RTData[[#This Row],[Company Name]],"Previous close",TRUE)</f>
        <v>256.08</v>
      </c>
      <c r="G3" s="19" cm="1">
        <f t="array" aca="1" ref="G3" ca="1">_FV(RTData[[#This Row],[Company Name]],"Open")</f>
        <v>255.875</v>
      </c>
      <c r="H3" s="19" cm="1">
        <f t="array" aca="1" ref="H3" ca="1">_FV(RTData[[#This Row],[Company Name]],"Price")</f>
        <v>254.43</v>
      </c>
      <c r="I3" s="19" cm="1">
        <f t="array" aca="1" ref="I3" ca="1">_FV(RTData[[#This Row],[Company Name]],"Low")</f>
        <v>253.58</v>
      </c>
      <c r="J3" s="19" cm="1">
        <f t="array" aca="1" ref="J3" ca="1">_FV(RTData[[#This Row],[Company Name]],"High")</f>
        <v>257.33999999999997</v>
      </c>
      <c r="K3" s="20" cm="1">
        <f t="array" aca="1" ref="K3" ca="1">IFERROR(_FV(RTData[[#This Row],[Company Name]],"P/E",TRUE),99)</f>
        <v>35.319800000000001</v>
      </c>
      <c r="L3" s="21" cm="1">
        <f t="array" aca="1" ref="L3" ca="1">_FV(RTData[[#This Row],[Company Name]],"Change")</f>
        <v>-1.65</v>
      </c>
      <c r="M3" s="22" cm="1">
        <f t="array" aca="1" ref="M3" ca="1">_FV(RTData[[#This Row],[Company Name]],"Change (%)",TRUE)</f>
        <v>-6.4429999999999999E-3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59999830</v>
      </c>
      <c r="Q3" s="23" cm="1">
        <f t="array" aca="1" ref="Q3" ca="1">_FV(RTData[[#This Row],[Company Name]],"Volume average",TRUE)</f>
        <v>54815993</v>
      </c>
      <c r="R3" s="19" cm="1">
        <f t="array" aca="1" ref="R3" ca="1">_FV(RTData[[#This Row],[Company Name]],"Beta")</f>
        <v>1.0958000000000001</v>
      </c>
      <c r="T3" t="s">
        <v>20</v>
      </c>
      <c r="U3" t="str" cm="1">
        <f t="array" aca="1" ref="U3" ca="1">_FV(RTData[[#This Row],[Company Name]],"Exchange abbreviation",TRUE)</f>
        <v>XNAS</v>
      </c>
      <c r="V3" s="24">
        <f ca="1">IFERROR(RTData[[#This Row],[Volume]]/RTData[[#This Row],[Volume average]],1)</f>
        <v>1.0945679666881161</v>
      </c>
      <c r="W3" s="24"/>
      <c r="X3" s="103">
        <f>[2]Sheet2!$E2</f>
        <v>235.52553</v>
      </c>
      <c r="Y3" s="149">
        <f>[2]Sheet2!$F2</f>
        <v>45880</v>
      </c>
      <c r="Z3" s="149" t="str">
        <f>[2]Sheet2!$G2</f>
        <v>Oct 30, 2025</v>
      </c>
      <c r="AA3" s="150">
        <f>[2]Sheet2!$H2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0.84645336041984087</v>
      </c>
      <c r="C4" s="25" t="e" vm="2">
        <v>#VALUE!</v>
      </c>
      <c r="D4" s="17" t="str" cm="1">
        <f t="array" aca="1" ref="D4" ca="1">_FV(RTData[[#This Row],[Company Name]],"Currency")</f>
        <v>USD</v>
      </c>
      <c r="E4" s="18" cm="1">
        <f t="array" aca="1" ref="E4" ca="1">_FV(RTData[[#This Row],[Company Name]],"Last trade time",TRUE)</f>
        <v>45923.843379200778</v>
      </c>
      <c r="F4" s="19" cm="1">
        <f t="array" aca="1" ref="F4" ca="1">_FV(RTData[[#This Row],[Company Name]],"Previous close",TRUE)</f>
        <v>16.95</v>
      </c>
      <c r="G4" s="19" cm="1">
        <f t="array" aca="1" ref="G4" ca="1">_FV(RTData[[#This Row],[Company Name]],"Open")</f>
        <v>16.989999999999998</v>
      </c>
      <c r="H4" s="19" cm="1">
        <f t="array" aca="1" ref="H4" ca="1">_FV(RTData[[#This Row],[Company Name]],"Price")</f>
        <v>16.87</v>
      </c>
      <c r="I4" s="19" cm="1">
        <f t="array" aca="1" ref="I4" ca="1">_FV(RTData[[#This Row],[Company Name]],"Low")</f>
        <v>16.82</v>
      </c>
      <c r="J4" s="19" cm="1">
        <f t="array" aca="1" ref="J4" ca="1">_FV(RTData[[#This Row],[Company Name]],"High")</f>
        <v>17.315000000000001</v>
      </c>
      <c r="K4" s="20" cm="1">
        <f t="array" aca="1" ref="K4" ca="1">IFERROR(_FV(RTData[[#This Row],[Company Name]],"P/E",TRUE),99)</f>
        <v>22.8597</v>
      </c>
      <c r="L4" s="21" cm="1">
        <f t="array" aca="1" ref="L4" ca="1">_FV(RTData[[#This Row],[Company Name]],"Change")</f>
        <v>-0.08</v>
      </c>
      <c r="M4" s="22" cm="1">
        <f t="array" aca="1" ref="M4" ca="1">_FV(RTData[[#This Row],[Company Name]],"Change (%)",TRUE)</f>
        <v>-4.7199999999999994E-3</v>
      </c>
      <c r="N4" s="19" cm="1">
        <f t="array" aca="1" ref="N4" ca="1">_FV(RTData[[#This Row],[Company Name]],"52 week low",TRUE)</f>
        <v>10.59</v>
      </c>
      <c r="O4" s="19" cm="1">
        <f t="array" aca="1" ref="O4" ca="1">_FV(RTData[[#This Row],[Company Name]],"52 week high",TRUE)</f>
        <v>17.46</v>
      </c>
      <c r="P4" s="23" cm="1">
        <f t="array" aca="1" ref="P4" ca="1">_FV(RTData[[#This Row],[Company Name]],"Volume")</f>
        <v>476431</v>
      </c>
      <c r="Q4" s="23" cm="1">
        <f t="array" aca="1" ref="Q4" ca="1">_FV(RTData[[#This Row],[Company Name]],"Volume average",TRUE)</f>
        <v>517626</v>
      </c>
      <c r="R4" s="19" cm="1">
        <f t="array" aca="1" ref="R4" ca="1">_FV(RTData[[#This Row],[Company Name]],"Beta")</f>
        <v>2.5333000000000001</v>
      </c>
      <c r="T4" t="s">
        <v>20</v>
      </c>
      <c r="U4" t="str" cm="1">
        <f t="array" aca="1" ref="U4" ca="1">_FV(RTData[[#This Row],[Company Name]],"Exchange abbreviation",TRUE)</f>
        <v>XNAS</v>
      </c>
      <c r="V4" s="24">
        <f ca="1">IFERROR(RTData[[#This Row],[Volume]]/RTData[[#This Row],[Volume average]],1)</f>
        <v>0.92041551235834362</v>
      </c>
      <c r="W4" s="24"/>
      <c r="X4" s="103">
        <f>[2]Sheet2!$E3</f>
        <v>20.66667</v>
      </c>
      <c r="Y4" s="149">
        <f>[2]Sheet2!$F3</f>
        <v>45895</v>
      </c>
      <c r="Z4" s="149">
        <f>[2]Sheet2!$G3</f>
        <v>0</v>
      </c>
      <c r="AA4" s="150">
        <f>[2]Sheet2!$H3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1.1450818733539449E-2</v>
      </c>
      <c r="C5" s="25" t="e" vm="3">
        <v>#VALUE!</v>
      </c>
      <c r="D5" s="17" t="str" cm="1">
        <f t="array" aca="1" ref="D5" ca="1">_FV(RTData[[#This Row],[Company Name]],"Currency")</f>
        <v>GBp</v>
      </c>
      <c r="E5" s="18" cm="1">
        <f t="array" aca="1" ref="E5" ca="1">_FV(RTData[[#This Row],[Company Name]],"Last trade time",TRUE)</f>
        <v>45923.649439721878</v>
      </c>
      <c r="F5" s="19" cm="1">
        <f t="array" aca="1" ref="F5" ca="1">_FV(RTData[[#This Row],[Company Name]],"Previous close",TRUE)</f>
        <v>47.5</v>
      </c>
      <c r="G5" s="19" cm="1">
        <f t="array" aca="1" ref="G5" ca="1">_FV(RTData[[#This Row],[Company Name]],"Open")</f>
        <v>49</v>
      </c>
      <c r="H5" s="19" cm="1">
        <f t="array" aca="1" ref="H5" ca="1">_FV(RTData[[#This Row],[Company Name]],"Price")</f>
        <v>49.6</v>
      </c>
      <c r="I5" s="19" cm="1">
        <f t="array" aca="1" ref="I5" ca="1">_FV(RTData[[#This Row],[Company Name]],"Low")</f>
        <v>48.4</v>
      </c>
      <c r="J5" s="19" cm="1">
        <f t="array" aca="1" ref="J5" ca="1">_FV(RTData[[#This Row],[Company Name]],"High")</f>
        <v>50.6</v>
      </c>
      <c r="K5" s="20" cm="1">
        <f t="array" aca="1" ref="K5" ca="1">IFERROR(_FV(RTData[[#This Row],[Company Name]],"P/E",TRUE),99)</f>
        <v>4.3056000000000001</v>
      </c>
      <c r="L5" s="21" cm="1">
        <f t="array" aca="1" ref="L5" ca="1">_FV(RTData[[#This Row],[Company Name]],"Change")</f>
        <v>2.1</v>
      </c>
      <c r="M5" s="22" cm="1">
        <f t="array" aca="1" ref="M5" ca="1">_FV(RTData[[#This Row],[Company Name]],"Change (%)",TRUE)</f>
        <v>4.4211E-2</v>
      </c>
      <c r="N5" s="26" cm="1">
        <f t="array" aca="1" ref="N5" ca="1">_FV(RTData[[#This Row],[Company Name]],"52 week low",TRUE)</f>
        <v>33.064999999999998</v>
      </c>
      <c r="O5" s="26" cm="1">
        <f t="array" aca="1" ref="O5" ca="1">_FV(RTData[[#This Row],[Company Name]],"52 week high",TRUE)</f>
        <v>56.2</v>
      </c>
      <c r="P5" s="23" cm="1">
        <f t="array" aca="1" ref="P5" ca="1">_FV(RTData[[#This Row],[Company Name]],"Volume")</f>
        <v>589199</v>
      </c>
      <c r="Q5" s="23" cm="1">
        <f t="array" aca="1" ref="Q5" ca="1">_FV(RTData[[#This Row],[Company Name]],"Volume average",TRUE)</f>
        <v>667120</v>
      </c>
      <c r="R5" s="19" cm="1">
        <f t="array" aca="1" ref="R5" ca="1">_FV(RTData[[#This Row],[Company Name]],"Beta")</f>
        <v>1.1588000000000001</v>
      </c>
      <c r="T5" t="s">
        <v>20</v>
      </c>
      <c r="U5" t="str" cm="1">
        <f t="array" aca="1" ref="U5" ca="1">_FV(RTData[[#This Row],[Company Name]],"Exchange abbreviation",TRUE)</f>
        <v>XLON</v>
      </c>
      <c r="V5" s="24">
        <f ca="1">IFERROR(RTData[[#This Row],[Volume]]/RTData[[#This Row],[Volume average]],1)</f>
        <v>0.88319792541072073</v>
      </c>
      <c r="W5" s="24"/>
      <c r="X5" s="103">
        <v>95.06</v>
      </c>
      <c r="Y5" s="149">
        <f>[2]Sheet2!$F4</f>
        <v>0</v>
      </c>
      <c r="Z5" s="149">
        <f>[2]Sheet2!$G4</f>
        <v>0</v>
      </c>
      <c r="AA5" s="150">
        <f>[2]Sheet2!$H4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0.84645336041984087</v>
      </c>
      <c r="C6" s="25" t="e" vm="4">
        <v>#VALUE!</v>
      </c>
      <c r="D6" s="17" t="str" cm="1">
        <f t="array" aca="1" ref="D6" ca="1">_FV(RTData[[#This Row],[Company Name]],"Currency")</f>
        <v>USD</v>
      </c>
      <c r="E6" s="18" cm="1">
        <f t="array" aca="1" ref="E6" ca="1">_FV(RTData[[#This Row],[Company Name]],"Last trade time",TRUE)</f>
        <v>45923.845619305466</v>
      </c>
      <c r="F6" s="19" cm="1">
        <f t="array" aca="1" ref="F6" ca="1">_FV(RTData[[#This Row],[Company Name]],"Previous close",TRUE)</f>
        <v>227.63</v>
      </c>
      <c r="G6" s="19" cm="1">
        <f t="array" aca="1" ref="G6" ca="1">_FV(RTData[[#This Row],[Company Name]],"Open")</f>
        <v>227.83</v>
      </c>
      <c r="H6" s="19" cm="1">
        <f t="array" aca="1" ref="H6" ca="1">_FV(RTData[[#This Row],[Company Name]],"Price")</f>
        <v>220.71</v>
      </c>
      <c r="I6" s="19" cm="1">
        <f t="array" aca="1" ref="I6" ca="1">_FV(RTData[[#This Row],[Company Name]],"Low")</f>
        <v>220.07</v>
      </c>
      <c r="J6" s="19" cm="1">
        <f t="array" aca="1" ref="J6" ca="1">_FV(RTData[[#This Row],[Company Name]],"High")</f>
        <v>227.86</v>
      </c>
      <c r="K6" s="20" cm="1">
        <f t="array" aca="1" ref="K6" ca="1">IFERROR(_FV(RTData[[#This Row],[Company Name]],"P/E",TRUE),99)</f>
        <v>34.735799999999998</v>
      </c>
      <c r="L6" s="21" cm="1">
        <f t="array" aca="1" ref="L6" ca="1">_FV(RTData[[#This Row],[Company Name]],"Change")</f>
        <v>-6.92</v>
      </c>
      <c r="M6" s="22" cm="1">
        <f t="array" aca="1" ref="M6" ca="1">_FV(RTData[[#This Row],[Company Name]],"Change (%)",TRUE)</f>
        <v>-3.04E-2</v>
      </c>
      <c r="N6" s="19" cm="1">
        <f t="array" aca="1" ref="N6" ca="1">_FV(RTData[[#This Row],[Company Name]],"52 week low",TRUE)</f>
        <v>161.38</v>
      </c>
      <c r="O6" s="19" cm="1">
        <f t="array" aca="1" ref="O6" ca="1">_FV(RTData[[#This Row],[Company Name]],"52 week high",TRUE)</f>
        <v>242.52</v>
      </c>
      <c r="P6" s="23" cm="1">
        <f t="array" aca="1" ref="P6" ca="1">_FV(RTData[[#This Row],[Company Name]],"Volume")</f>
        <v>70487678</v>
      </c>
      <c r="Q6" s="23" cm="1">
        <f t="array" aca="1" ref="Q6" ca="1">_FV(RTData[[#This Row],[Company Name]],"Volume average",TRUE)</f>
        <v>37967009</v>
      </c>
      <c r="R6" s="19" cm="1">
        <f t="array" aca="1" ref="R6" ca="1">_FV(RTData[[#This Row],[Company Name]],"Beta")</f>
        <v>1.2875000000000001</v>
      </c>
      <c r="T6" t="s">
        <v>20</v>
      </c>
      <c r="U6" t="str" cm="1">
        <f t="array" aca="1" ref="U6" ca="1">_FV(RTData[[#This Row],[Company Name]],"Exchange abbreviation",TRUE)</f>
        <v>XNAS</v>
      </c>
      <c r="V6" s="24">
        <f ca="1">IFERROR(RTData[[#This Row],[Volume]]/RTData[[#This Row],[Volume average]],1)</f>
        <v>1.8565507227603839</v>
      </c>
      <c r="W6" s="24"/>
      <c r="X6" s="103">
        <f>[2]Sheet2!$E5</f>
        <v>263.18033000000003</v>
      </c>
      <c r="Y6" s="149">
        <f>[2]Sheet2!$F5</f>
        <v>0</v>
      </c>
      <c r="Z6" s="149" t="str">
        <f>[2]Sheet2!$G5</f>
        <v>Oct 30, 2025</v>
      </c>
      <c r="AA6" s="150">
        <f>[2]Sheet2!$H5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45923.666666666664</v>
      </c>
      <c r="F7" s="29" cm="1">
        <f t="array" aca="1" ref="F7" ca="1">_FV(RTData[[#This Row],[Company Name]],"Previous close",TRUE)</f>
        <v>0.86799999999999999</v>
      </c>
      <c r="G7" s="19" cm="1">
        <f t="array" aca="1" ref="G7" ca="1">_FV(RTData[[#This Row],[Company Name]],"Open")</f>
        <v>0.86799999999999999</v>
      </c>
      <c r="H7" s="29" cm="1">
        <f t="array" aca="1" ref="H7" ca="1">_FV(RTData[[#This Row],[Company Name]],"Price")</f>
        <v>0.78400000000000003</v>
      </c>
      <c r="I7" s="29" cm="1">
        <f t="array" aca="1" ref="I7" ca="1">_FV(RTData[[#This Row],[Company Name]],"Low")</f>
        <v>0.78400000000000003</v>
      </c>
      <c r="J7" s="29" cm="1">
        <f t="array" aca="1" ref="J7" ca="1">_FV(RTData[[#This Row],[Company Name]],"High")</f>
        <v>0.86799999999999999</v>
      </c>
      <c r="K7" s="20" cm="1">
        <f t="array" aca="1" ref="K7" ca="1">IFERROR(_FV(RTData[[#This Row],[Company Name]],"P/E",TRUE),99)</f>
        <v>0</v>
      </c>
      <c r="L7" s="21" cm="1">
        <f t="array" aca="1" ref="L7" ca="1">_FV(RTData[[#This Row],[Company Name]],"Change")</f>
        <v>-8.4000000000000005E-2</v>
      </c>
      <c r="M7" s="22" cm="1">
        <f t="array" aca="1" ref="M7" ca="1">_FV(RTData[[#This Row],[Company Name]],"Change (%)",TRUE)</f>
        <v>-9.6773999999999999E-2</v>
      </c>
      <c r="N7" s="29" cm="1">
        <f t="array" aca="1" ref="N7" ca="1">_FV(RTData[[#This Row],[Company Name]],"52 week low",TRUE)</f>
        <v>0.65</v>
      </c>
      <c r="O7" s="29" cm="1">
        <f t="array" aca="1" ref="O7" ca="1">_FV(RTData[[#This Row],[Company Name]],"52 week high",TRUE)</f>
        <v>1.76</v>
      </c>
      <c r="P7" s="23" cm="1">
        <f t="array" aca="1" ref="P7" ca="1">_FV(RTData[[#This Row],[Company Name]],"Volume")</f>
        <v>9494</v>
      </c>
      <c r="Q7" s="23" cm="1">
        <f t="array" aca="1" ref="Q7" ca="1">_FV(RTData[[#This Row],[Company Name]],"Volume average",TRUE)</f>
        <v>4180</v>
      </c>
      <c r="R7" s="19" cm="1">
        <f t="array" aca="1" ref="R7" ca="1">_FV(RTData[[#This Row],[Company Name]],"Beta")</f>
        <v>0.99</v>
      </c>
      <c r="T7" t="s">
        <v>20</v>
      </c>
      <c r="U7" t="str" cm="1">
        <f t="array" aca="1" ref="U7" ca="1">_FV(RTData[[#This Row],[Company Name]],"Exchange abbreviation",TRUE)</f>
        <v>XPAR</v>
      </c>
      <c r="V7" s="24">
        <f ca="1">IFERROR(RTData[[#This Row],[Volume]]/RTData[[#This Row],[Volume average]],1)</f>
        <v>2.271291866028708</v>
      </c>
      <c r="W7" s="24"/>
      <c r="X7" s="103">
        <f>[2]Sheet2!$E6</f>
        <v>1.5333300000000001</v>
      </c>
      <c r="Y7" s="149">
        <f>[2]Sheet2!$F6</f>
        <v>0</v>
      </c>
      <c r="Z7" s="149">
        <f>[2]Sheet2!$G6</f>
        <v>0</v>
      </c>
      <c r="AA7" s="150">
        <f>[2]Sheet2!$H6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45923.666666666664</v>
      </c>
      <c r="F8" s="29" cm="1">
        <f t="array" aca="1" ref="F8" ca="1">_FV(RTData[[#This Row],[Company Name]],"Previous close",TRUE)</f>
        <v>810.8</v>
      </c>
      <c r="G8" s="29" cm="1">
        <f t="array" aca="1" ref="G8" ca="1">_FV(RTData[[#This Row],[Company Name]],"Open")</f>
        <v>803.6</v>
      </c>
      <c r="H8" s="29" cm="1">
        <f t="array" aca="1" ref="H8" ca="1">_FV(RTData[[#This Row],[Company Name]],"Price")</f>
        <v>819.8</v>
      </c>
      <c r="I8" s="29" cm="1">
        <f t="array" aca="1" ref="I8" ca="1">_FV(RTData[[#This Row],[Company Name]],"Low")</f>
        <v>796</v>
      </c>
      <c r="J8" s="29" cm="1">
        <f t="array" aca="1" ref="J8" ca="1">_FV(RTData[[#This Row],[Company Name]],"High")</f>
        <v>829.1</v>
      </c>
      <c r="K8" s="20" cm="1">
        <f t="array" aca="1" ref="K8" ca="1">IFERROR(_FV(RTData[[#This Row],[Company Name]],"P/E",TRUE),99)</f>
        <v>31.477399999999999</v>
      </c>
      <c r="L8" s="21" cm="1">
        <f t="array" aca="1" ref="L8" ca="1">_FV(RTData[[#This Row],[Company Name]],"Change")</f>
        <v>9</v>
      </c>
      <c r="M8" s="22" cm="1">
        <f t="array" aca="1" ref="M8" ca="1">_FV(RTData[[#This Row],[Company Name]],"Change (%)",TRUE)</f>
        <v>1.11E-2</v>
      </c>
      <c r="N8" s="29" cm="1">
        <f t="array" aca="1" ref="N8" ca="1">_FV(RTData[[#This Row],[Company Name]],"52 week low",TRUE)</f>
        <v>508.4</v>
      </c>
      <c r="O8" s="29" cm="1">
        <f t="array" aca="1" ref="O8" ca="1">_FV(RTData[[#This Row],[Company Name]],"52 week high",TRUE)</f>
        <v>829.1</v>
      </c>
      <c r="P8" s="23" cm="1">
        <f t="array" aca="1" ref="P8" ca="1">_FV(RTData[[#This Row],[Company Name]],"Volume")</f>
        <v>715673</v>
      </c>
      <c r="Q8" s="23" cm="1">
        <f t="array" aca="1" ref="Q8" ca="1">_FV(RTData[[#This Row],[Company Name]],"Volume average",TRUE)</f>
        <v>806010</v>
      </c>
      <c r="R8" s="19" cm="1">
        <f t="array" aca="1" ref="R8" ca="1">_FV(RTData[[#This Row],[Company Name]],"Beta")</f>
        <v>1.9211</v>
      </c>
      <c r="T8" t="s">
        <v>20</v>
      </c>
      <c r="U8" t="str" cm="1">
        <f t="array" aca="1" ref="U8" ca="1">_FV(RTData[[#This Row],[Company Name]],"Exchange abbreviation",TRUE)</f>
        <v>XAMS</v>
      </c>
      <c r="V8" s="24">
        <f ca="1">IFERROR(RTData[[#This Row],[Volume]]/RTData[[#This Row],[Volume average]],1)</f>
        <v>0.88792074540018118</v>
      </c>
      <c r="W8" s="24"/>
      <c r="X8" s="103">
        <f>[2]Sheet2!$E7</f>
        <v>758</v>
      </c>
      <c r="Y8" s="149">
        <f>[2]Sheet2!$F7</f>
        <v>45866</v>
      </c>
      <c r="Z8" s="149">
        <f>[2]Sheet2!$G7</f>
        <v>0</v>
      </c>
      <c r="AA8" s="150">
        <f>[2]Sheet2!$H7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0.84645336041984087</v>
      </c>
      <c r="C9" s="25" t="e" vm="7">
        <v>#VALUE!</v>
      </c>
      <c r="D9" s="30" t="str" cm="1">
        <f t="array" aca="1" ref="D9" ca="1">_FV(RTData[[#This Row],[Company Name]],"Currency")</f>
        <v>USD</v>
      </c>
      <c r="E9" s="31" cm="1">
        <f t="array" aca="1" ref="E9" ca="1">_FV(RTData[[#This Row],[Company Name]],"Last trade time",TRUE)</f>
        <v>45923.843872835154</v>
      </c>
      <c r="F9" s="19" cm="1">
        <f t="array" aca="1" ref="F9" ca="1">_FV(RTData[[#This Row],[Company Name]],"Previous close",TRUE)</f>
        <v>77.5</v>
      </c>
      <c r="G9" s="19" cm="1">
        <f t="array" aca="1" ref="G9" ca="1">_FV(RTData[[#This Row],[Company Name]],"Open")</f>
        <v>76.61</v>
      </c>
      <c r="H9" s="19" cm="1">
        <f t="array" aca="1" ref="H9" ca="1">_FV(RTData[[#This Row],[Company Name]],"Price")</f>
        <v>75.97</v>
      </c>
      <c r="I9" s="32" cm="1">
        <f t="array" aca="1" ref="I9" ca="1">_FV(RTData[[#This Row],[Company Name]],"Low")</f>
        <v>75.904499999999999</v>
      </c>
      <c r="J9" s="32" cm="1">
        <f t="array" aca="1" ref="J9" ca="1">_FV(RTData[[#This Row],[Company Name]],"High")</f>
        <v>76.86</v>
      </c>
      <c r="K9" s="20" cm="1">
        <f t="array" aca="1" ref="K9" ca="1">IFERROR(_FV(RTData[[#This Row],[Company Name]],"P/E",TRUE),99)</f>
        <v>29.177800000000001</v>
      </c>
      <c r="L9" s="33" cm="1">
        <f t="array" aca="1" ref="L9" ca="1">_FV(RTData[[#This Row],[Company Name]],"Change")</f>
        <v>-1.53</v>
      </c>
      <c r="M9" s="34" cm="1">
        <f t="array" aca="1" ref="M9" ca="1">_FV(RTData[[#This Row],[Company Name]],"Change (%)",TRUE)</f>
        <v>-1.9741999999999999E-2</v>
      </c>
      <c r="N9" s="32" cm="1">
        <f t="array" aca="1" ref="N9" ca="1">_FV(RTData[[#This Row],[Company Name]],"52 week low",TRUE)</f>
        <v>61.24</v>
      </c>
      <c r="O9" s="32" cm="1">
        <f t="array" aca="1" ref="O9" ca="1">_FV(RTData[[#This Row],[Company Name]],"52 week high",TRUE)</f>
        <v>82.41</v>
      </c>
      <c r="P9" s="35" cm="1">
        <f t="array" aca="1" ref="P9" ca="1">_FV(RTData[[#This Row],[Company Name]],"Volume")</f>
        <v>3908126</v>
      </c>
      <c r="Q9" s="35" cm="1">
        <f t="array" aca="1" ref="Q9" ca="1">_FV(RTData[[#This Row],[Company Name]],"Volume average",TRUE)</f>
        <v>3666506</v>
      </c>
      <c r="R9" s="32" cm="1">
        <f t="array" aca="1" ref="R9" ca="1">_FV(RTData[[#This Row],[Company Name]],"Beta")</f>
        <v>0.3705</v>
      </c>
      <c r="T9" t="s">
        <v>20</v>
      </c>
      <c r="U9" s="36" t="str" cm="1">
        <f t="array" aca="1" ref="U9" ca="1">_FV(RTData[[#This Row],[Company Name]],"Exchange abbreviation",TRUE)</f>
        <v>XNAS</v>
      </c>
      <c r="V9" s="140">
        <f ca="1">IFERROR(RTData[[#This Row],[Volume]]/RTData[[#This Row],[Volume average]],1)</f>
        <v>1.0658992512217353</v>
      </c>
      <c r="W9" s="140"/>
      <c r="X9" s="103">
        <f>[2]Sheet2!$E8</f>
        <v>87.27</v>
      </c>
      <c r="Y9" s="149">
        <f>[2]Sheet2!$F8</f>
        <v>45877</v>
      </c>
      <c r="Z9" s="149" t="str">
        <f>[2]Sheet2!$G8</f>
        <v>Jul 29, 2025</v>
      </c>
      <c r="AA9" s="150">
        <f>[2]Sheet2!$H8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0.84645336041984087</v>
      </c>
      <c r="C10" s="25" t="e" vm="8">
        <v>#VALUE!</v>
      </c>
      <c r="D10" s="17" t="str" cm="1">
        <f t="array" aca="1" ref="D10" ca="1">_FV(RTData[[#This Row],[Company Name]],"Currency")</f>
        <v>USD</v>
      </c>
      <c r="E10" s="18" cm="1">
        <f t="array" aca="1" ref="E10" ca="1">_FV(RTData[[#This Row],[Company Name]],"Last trade time",TRUE)</f>
        <v>45923.845498425784</v>
      </c>
      <c r="F10" s="19" cm="1">
        <f t="array" aca="1" ref="F10" ca="1">_FV(RTData[[#This Row],[Company Name]],"Previous close",TRUE)</f>
        <v>2.88</v>
      </c>
      <c r="G10" s="19" cm="1">
        <f t="array" aca="1" ref="G10" ca="1">_FV(RTData[[#This Row],[Company Name]],"Open")</f>
        <v>3.13</v>
      </c>
      <c r="H10" s="19" cm="1">
        <f t="array" aca="1" ref="H10" ca="1">_FV(RTData[[#This Row],[Company Name]],"Price")</f>
        <v>2.92</v>
      </c>
      <c r="I10" s="19" cm="1">
        <f t="array" aca="1" ref="I10" ca="1">_FV(RTData[[#This Row],[Company Name]],"Low")</f>
        <v>2.9</v>
      </c>
      <c r="J10" s="19" cm="1">
        <f t="array" aca="1" ref="J10" ca="1">_FV(RTData[[#This Row],[Company Name]],"High")</f>
        <v>3.17</v>
      </c>
      <c r="K10" s="20" cm="1">
        <f t="array" aca="1" ref="K10" ca="1">IFERROR(_FV(RTData[[#This Row],[Company Name]],"P/E",TRUE),99)</f>
        <v>0</v>
      </c>
      <c r="L10" s="21" cm="1">
        <f t="array" aca="1" ref="L10" ca="1">_FV(RTData[[#This Row],[Company Name]],"Change")</f>
        <v>0.04</v>
      </c>
      <c r="M10" s="22" cm="1">
        <f t="array" aca="1" ref="M10" ca="1">_FV(RTData[[#This Row],[Company Name]],"Change (%)",TRUE)</f>
        <v>1.3889E-2</v>
      </c>
      <c r="N10" s="19" cm="1">
        <f t="array" aca="1" ref="N10" ca="1">_FV(RTData[[#This Row],[Company Name]],"52 week low",TRUE)</f>
        <v>1</v>
      </c>
      <c r="O10" s="19" cm="1">
        <f t="array" aca="1" ref="O10" ca="1">_FV(RTData[[#This Row],[Company Name]],"52 week high",TRUE)</f>
        <v>3.17</v>
      </c>
      <c r="P10" s="23" cm="1">
        <f t="array" aca="1" ref="P10" ca="1">_FV(RTData[[#This Row],[Company Name]],"Volume")</f>
        <v>16486394</v>
      </c>
      <c r="Q10" s="23" cm="1">
        <f t="array" aca="1" ref="Q10" ca="1">_FV(RTData[[#This Row],[Company Name]],"Volume average",TRUE)</f>
        <v>4839804</v>
      </c>
      <c r="R10" s="19" cm="1">
        <f t="array" aca="1" ref="R10" ca="1">_FV(RTData[[#This Row],[Company Name]],"Beta")</f>
        <v>1.9372</v>
      </c>
      <c r="T10" t="s">
        <v>20</v>
      </c>
      <c r="U10" t="str" cm="1">
        <f t="array" aca="1" ref="U10" ca="1">_FV(RTData[[#This Row],[Company Name]],"Exchange abbreviation",TRUE)</f>
        <v>XNAS</v>
      </c>
      <c r="V10" s="24">
        <f ca="1">IFERROR(RTData[[#This Row],[Volume]]/RTData[[#This Row],[Volume average]],1)</f>
        <v>3.4064176979067748</v>
      </c>
      <c r="W10" s="24"/>
      <c r="X10" s="103">
        <f>[2]Sheet2!$E9</f>
        <v>2.3158300000000001</v>
      </c>
      <c r="Y10" s="149">
        <f>[2]Sheet2!$F9</f>
        <v>0</v>
      </c>
      <c r="Z10" s="149" t="str">
        <f>[2]Sheet2!$G9</f>
        <v>Nov 4, 2025</v>
      </c>
      <c r="AA10" s="150">
        <f>[2]Sheet2!$H9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0.84645336041984087</v>
      </c>
      <c r="C11" s="25" t="e" vm="9">
        <v>#VALUE!</v>
      </c>
      <c r="D11" s="17" t="str" cm="1">
        <f t="array" aca="1" ref="D11" ca="1">_FV(RTData[[#This Row],[Company Name]],"Currency")</f>
        <v>USD</v>
      </c>
      <c r="E11" s="18" cm="1">
        <f t="array" aca="1" ref="E11" ca="1">_FV(RTData[[#This Row],[Company Name]],"Last trade time",TRUE)</f>
        <v>45923.84032598359</v>
      </c>
      <c r="F11" s="19" cm="1">
        <f t="array" aca="1" ref="F11" ca="1">_FV(RTData[[#This Row],[Company Name]],"Previous close",TRUE)</f>
        <v>2.84</v>
      </c>
      <c r="G11" s="19" cm="1">
        <f t="array" aca="1" ref="G11" ca="1">_FV(RTData[[#This Row],[Company Name]],"Open")</f>
        <v>2.85</v>
      </c>
      <c r="H11" s="19" cm="1">
        <f t="array" aca="1" ref="H11" ca="1">_FV(RTData[[#This Row],[Company Name]],"Price")</f>
        <v>2.85</v>
      </c>
      <c r="I11" s="19" cm="1">
        <f t="array" aca="1" ref="I11" ca="1">_FV(RTData[[#This Row],[Company Name]],"Low")</f>
        <v>2.82</v>
      </c>
      <c r="J11" s="19" cm="1">
        <f t="array" aca="1" ref="J11" ca="1">_FV(RTData[[#This Row],[Company Name]],"High")</f>
        <v>2.9</v>
      </c>
      <c r="K11" s="20" cm="1">
        <f t="array" aca="1" ref="K11" ca="1">IFERROR(_FV(RTData[[#This Row],[Company Name]],"P/E",TRUE),99)</f>
        <v>0</v>
      </c>
      <c r="L11" s="21" cm="1">
        <f t="array" aca="1" ref="L11" ca="1">_FV(RTData[[#This Row],[Company Name]],"Change")</f>
        <v>0.01</v>
      </c>
      <c r="M11" s="22" cm="1">
        <f t="array" aca="1" ref="M11" ca="1">_FV(RTData[[#This Row],[Company Name]],"Change (%)",TRUE)</f>
        <v>3.5210000000000003E-3</v>
      </c>
      <c r="N11" s="19" cm="1">
        <f t="array" aca="1" ref="N11" ca="1">_FV(RTData[[#This Row],[Company Name]],"52 week low",TRUE)</f>
        <v>2.08</v>
      </c>
      <c r="O11" s="19" cm="1">
        <f t="array" aca="1" ref="O11" ca="1">_FV(RTData[[#This Row],[Company Name]],"52 week high",TRUE)</f>
        <v>10.16</v>
      </c>
      <c r="P11" s="23" cm="1">
        <f t="array" aca="1" ref="P11" ca="1">_FV(RTData[[#This Row],[Company Name]],"Volume")</f>
        <v>17616</v>
      </c>
      <c r="Q11" s="23" cm="1">
        <f t="array" aca="1" ref="Q11" ca="1">_FV(RTData[[#This Row],[Company Name]],"Volume average",TRUE)</f>
        <v>359634</v>
      </c>
      <c r="R11" s="19" cm="1">
        <f t="array" aca="1" ref="R11" ca="1">_FV(RTData[[#This Row],[Company Name]],"Beta")</f>
        <v>0.33510000000000001</v>
      </c>
      <c r="T11" t="s">
        <v>20</v>
      </c>
      <c r="U11" t="str" cm="1">
        <f t="array" aca="1" ref="U11" ca="1">_FV(RTData[[#This Row],[Company Name]],"Exchange abbreviation",TRUE)</f>
        <v>XNAS</v>
      </c>
      <c r="V11" s="24">
        <f ca="1">IFERROR(RTData[[#This Row],[Volume]]/RTData[[#This Row],[Volume average]],1)</f>
        <v>4.8983132851732593E-2</v>
      </c>
      <c r="W11" s="24"/>
      <c r="X11" s="103">
        <f>[2]Sheet2!$E10</f>
        <v>0</v>
      </c>
      <c r="Y11" s="149">
        <f>[2]Sheet2!$F10</f>
        <v>0</v>
      </c>
      <c r="Z11" s="149" t="str">
        <f>[2]Sheet2!$G10</f>
        <v>Aug 26, 2025 - Sep 1, 2025</v>
      </c>
      <c r="AA11" s="150">
        <f>[2]Sheet2!$H10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0.84645336041984087</v>
      </c>
      <c r="C12" s="25" t="e" vm="10">
        <v>#VALUE!</v>
      </c>
      <c r="D12" s="17" t="str" cm="1">
        <f t="array" aca="1" ref="D12" ca="1">_FV(RTData[[#This Row],[Company Name]],"Currency")</f>
        <v>USD</v>
      </c>
      <c r="E12" s="18" cm="1">
        <f t="array" aca="1" ref="E12" ca="1">_FV(RTData[[#This Row],[Company Name]],"Last trade time",TRUE)</f>
        <v>45923.844034397654</v>
      </c>
      <c r="F12" s="19" cm="1">
        <f t="array" aca="1" ref="F12" ca="1">_FV(RTData[[#This Row],[Company Name]],"Previous close",TRUE)</f>
        <v>103.49</v>
      </c>
      <c r="G12" s="19" cm="1">
        <f t="array" aca="1" ref="G12" ca="1">_FV(RTData[[#This Row],[Company Name]],"Open")</f>
        <v>103.53</v>
      </c>
      <c r="H12" s="19" cm="1">
        <f t="array" aca="1" ref="H12" ca="1">_FV(RTData[[#This Row],[Company Name]],"Price")</f>
        <v>103.05</v>
      </c>
      <c r="I12" s="19" cm="1">
        <f t="array" aca="1" ref="I12" ca="1">_FV(RTData[[#This Row],[Company Name]],"Low")</f>
        <v>102.41</v>
      </c>
      <c r="J12" s="19" cm="1">
        <f t="array" aca="1" ref="J12" ca="1">_FV(RTData[[#This Row],[Company Name]],"High")</f>
        <v>105.59</v>
      </c>
      <c r="K12" s="20" cm="1">
        <f t="array" aca="1" ref="K12" ca="1">IFERROR(_FV(RTData[[#This Row],[Company Name]],"P/E",TRUE),99)</f>
        <v>15.2989</v>
      </c>
      <c r="L12" s="21" cm="1">
        <f t="array" aca="1" ref="L12" ca="1">_FV(RTData[[#This Row],[Company Name]],"Change")</f>
        <v>-0.44</v>
      </c>
      <c r="M12" s="22" cm="1">
        <f t="array" aca="1" ref="M12" ca="1">_FV(RTData[[#This Row],[Company Name]],"Change (%)",TRUE)</f>
        <v>-4.2520000000000006E-3</v>
      </c>
      <c r="N12" s="19" cm="1">
        <f t="array" aca="1" ref="N12" ca="1">_FV(RTData[[#This Row],[Company Name]],"52 week low",TRUE)</f>
        <v>55.51</v>
      </c>
      <c r="O12" s="19" cm="1">
        <f t="array" aca="1" ref="O12" ca="1">_FV(RTData[[#This Row],[Company Name]],"52 week high",TRUE)</f>
        <v>105.59</v>
      </c>
      <c r="P12" s="23" cm="1">
        <f t="array" aca="1" ref="P12" ca="1">_FV(RTData[[#This Row],[Company Name]],"Volume")</f>
        <v>15283585</v>
      </c>
      <c r="Q12" s="23" cm="1">
        <f t="array" aca="1" ref="Q12" ca="1">_FV(RTData[[#This Row],[Company Name]],"Volume average",TRUE)</f>
        <v>13233780</v>
      </c>
      <c r="R12" s="19" cm="1">
        <f t="array" aca="1" ref="R12" ca="1">_FV(RTData[[#This Row],[Company Name]],"Beta")</f>
        <v>1.3613</v>
      </c>
      <c r="T12" t="s">
        <v>20</v>
      </c>
      <c r="U12" t="str" cm="1">
        <f t="array" aca="1" ref="U12" ca="1">_FV(RTData[[#This Row],[Company Name]],"Exchange abbreviation",TRUE)</f>
        <v>XNYS</v>
      </c>
      <c r="V12" s="24">
        <f ca="1">IFERROR(RTData[[#This Row],[Volume]]/RTData[[#This Row],[Volume average]],1)</f>
        <v>1.1548918751860768</v>
      </c>
      <c r="W12" s="24"/>
      <c r="X12" s="103">
        <v>99.45</v>
      </c>
      <c r="Y12" s="149">
        <f>[2]Sheet2!$F11</f>
        <v>45873</v>
      </c>
      <c r="Z12" s="149" t="str">
        <f>[2]Sheet2!$G11</f>
        <v>Oct 14, 2025</v>
      </c>
      <c r="AA12" s="150">
        <f>[2]Sheet2!$H11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0.84645336041984087</v>
      </c>
      <c r="C13" s="25" t="e" vm="11">
        <v>#VALUE!</v>
      </c>
      <c r="D13" s="17" t="str" cm="1">
        <f t="array" aca="1" ref="D13" ca="1">_FV(RTData[[#This Row],[Company Name]],"Currency")</f>
        <v>USD</v>
      </c>
      <c r="E13" s="18" cm="1">
        <f t="array" aca="1" ref="E13" ca="1">_FV(RTData[[#This Row],[Company Name]],"Last trade time",TRUE)</f>
        <v>45923.845571539059</v>
      </c>
      <c r="F13" s="19" cm="1">
        <f t="array" aca="1" ref="F13" ca="1">_FV(RTData[[#This Row],[Company Name]],"Previous close",TRUE)</f>
        <v>67.75</v>
      </c>
      <c r="G13" s="19" cm="1">
        <f t="array" aca="1" ref="G13" ca="1">_FV(RTData[[#This Row],[Company Name]],"Open")</f>
        <v>67.58</v>
      </c>
      <c r="H13" s="19" cm="1">
        <f t="array" aca="1" ref="H13" ca="1">_FV(RTData[[#This Row],[Company Name]],"Price")</f>
        <v>67.540000000000006</v>
      </c>
      <c r="I13" s="19" cm="1">
        <f t="array" aca="1" ref="I13" ca="1">_FV(RTData[[#This Row],[Company Name]],"Low")</f>
        <v>67.069999999999993</v>
      </c>
      <c r="J13" s="19" cm="1">
        <f t="array" aca="1" ref="J13" ca="1">_FV(RTData[[#This Row],[Company Name]],"High")</f>
        <v>68.22</v>
      </c>
      <c r="K13" s="20" cm="1">
        <f t="array" aca="1" ref="K13" ca="1">IFERROR(_FV(RTData[[#This Row],[Company Name]],"P/E",TRUE),99)</f>
        <v>28.640599999999999</v>
      </c>
      <c r="L13" s="21" cm="1">
        <f t="array" aca="1" ref="L13" ca="1">_FV(RTData[[#This Row],[Company Name]],"Change")</f>
        <v>-0.21</v>
      </c>
      <c r="M13" s="22" cm="1">
        <f t="array" aca="1" ref="M13" ca="1">_FV(RTData[[#This Row],[Company Name]],"Change (%)",TRUE)</f>
        <v>-3.0999999999999999E-3</v>
      </c>
      <c r="N13" s="19" cm="1">
        <f t="array" aca="1" ref="N13" ca="1">_FV(RTData[[#This Row],[Company Name]],"52 week low",TRUE)</f>
        <v>51.89</v>
      </c>
      <c r="O13" s="19" cm="1">
        <f t="array" aca="1" ref="O13" ca="1">_FV(RTData[[#This Row],[Company Name]],"52 week high",TRUE)</f>
        <v>72.55</v>
      </c>
      <c r="P13" s="23" cm="1">
        <f t="array" aca="1" ref="P13" ca="1">_FV(RTData[[#This Row],[Company Name]],"Volume")</f>
        <v>17680427</v>
      </c>
      <c r="Q13" s="23" cm="1">
        <f t="array" aca="1" ref="Q13" ca="1">_FV(RTData[[#This Row],[Company Name]],"Volume average",TRUE)</f>
        <v>18181180</v>
      </c>
      <c r="R13" s="19" cm="1">
        <f t="array" aca="1" ref="R13" ca="1">_FV(RTData[[#This Row],[Company Name]],"Beta")</f>
        <v>0.96409999999999996</v>
      </c>
      <c r="T13" t="s">
        <v>20</v>
      </c>
      <c r="U13" t="str" cm="1">
        <f t="array" aca="1" ref="U13" ca="1">_FV(RTData[[#This Row],[Company Name]],"Exchange abbreviation",TRUE)</f>
        <v>XNAS</v>
      </c>
      <c r="V13" s="24">
        <f ca="1">IFERROR(RTData[[#This Row],[Volume]]/RTData[[#This Row],[Volume average]],1)</f>
        <v>0.97245761826240096</v>
      </c>
      <c r="W13" s="24"/>
      <c r="X13" s="103">
        <f>[2]Sheet2!$E12</f>
        <v>75.814760000000007</v>
      </c>
      <c r="Y13" s="149">
        <f>[2]Sheet2!$F12</f>
        <v>45933</v>
      </c>
      <c r="Z13" s="149" t="str">
        <f>[2]Sheet2!$G12</f>
        <v>Nov 12, 2025</v>
      </c>
      <c r="AA13" s="150">
        <f>[2]Sheet2!$H12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0.84645336041984087</v>
      </c>
      <c r="C14" s="25" t="e" vm="12">
        <v>#VALUE!</v>
      </c>
      <c r="D14" s="17" t="str" cm="1">
        <f t="array" aca="1" ref="D14" ca="1">_FV(RTData[[#This Row],[Company Name]],"Currency")</f>
        <v>USD</v>
      </c>
      <c r="E14" s="18" cm="1">
        <f t="array" aca="1" ref="E14" ca="1">_FV(RTData[[#This Row],[Company Name]],"Last trade time",TRUE)</f>
        <v>45923.84385225625</v>
      </c>
      <c r="F14" s="19" cm="1">
        <f t="array" aca="1" ref="F14" ca="1">_FV(RTData[[#This Row],[Company Name]],"Previous close",TRUE)</f>
        <v>75.13</v>
      </c>
      <c r="G14" s="19" cm="1">
        <f t="array" aca="1" ref="G14" ca="1">_FV(RTData[[#This Row],[Company Name]],"Open")</f>
        <v>75.09</v>
      </c>
      <c r="H14" s="19" cm="1">
        <f t="array" aca="1" ref="H14" ca="1">_FV(RTData[[#This Row],[Company Name]],"Price")</f>
        <v>76.5</v>
      </c>
      <c r="I14" s="19" cm="1">
        <f t="array" aca="1" ref="I14" ca="1">_FV(RTData[[#This Row],[Company Name]],"Low")</f>
        <v>74.909499999999994</v>
      </c>
      <c r="J14" s="19" cm="1">
        <f t="array" aca="1" ref="J14" ca="1">_FV(RTData[[#This Row],[Company Name]],"High")</f>
        <v>76.92</v>
      </c>
      <c r="K14" s="20" cm="1">
        <f t="array" aca="1" ref="K14" ca="1">IFERROR(_FV(RTData[[#This Row],[Company Name]],"P/E",TRUE),99)</f>
        <v>20.967500000000001</v>
      </c>
      <c r="L14" s="21" cm="1">
        <f t="array" aca="1" ref="L14" ca="1">_FV(RTData[[#This Row],[Company Name]],"Change")</f>
        <v>1.37</v>
      </c>
      <c r="M14" s="22" cm="1">
        <f t="array" aca="1" ref="M14" ca="1">_FV(RTData[[#This Row],[Company Name]],"Change (%)",TRUE)</f>
        <v>1.8234999999999998E-2</v>
      </c>
      <c r="N14" s="19" cm="1">
        <f t="array" aca="1" ref="N14" ca="1">_FV(RTData[[#This Row],[Company Name]],"52 week low",TRUE)</f>
        <v>43.56</v>
      </c>
      <c r="O14" s="19" cm="1">
        <f t="array" aca="1" ref="O14" ca="1">_FV(RTData[[#This Row],[Company Name]],"52 week high",TRUE)</f>
        <v>76.92</v>
      </c>
      <c r="P14" s="23" cm="1">
        <f t="array" aca="1" ref="P14" ca="1">_FV(RTData[[#This Row],[Company Name]],"Volume")</f>
        <v>5554714</v>
      </c>
      <c r="Q14" s="23" cm="1">
        <f t="array" aca="1" ref="Q14" ca="1">_FV(RTData[[#This Row],[Company Name]],"Volume average",TRUE)</f>
        <v>7232070</v>
      </c>
      <c r="R14" s="19" cm="1">
        <f t="array" aca="1" ref="R14" ca="1">_FV(RTData[[#This Row],[Company Name]],"Beta")</f>
        <v>0.60909999999999997</v>
      </c>
      <c r="T14" t="s">
        <v>20</v>
      </c>
      <c r="U14" t="str" cm="1">
        <f t="array" aca="1" ref="U14" ca="1">_FV(RTData[[#This Row],[Company Name]],"Exchange abbreviation",TRUE)</f>
        <v>XNYS</v>
      </c>
      <c r="V14" s="24">
        <f ca="1">IFERROR(RTData[[#This Row],[Volume]]/RTData[[#This Row],[Volume average]],1)</f>
        <v>0.76806695731650831</v>
      </c>
      <c r="W14" s="24"/>
      <c r="X14" s="103">
        <f>[2]Sheet2!$E13</f>
        <v>82.072500000000005</v>
      </c>
      <c r="Y14" s="149">
        <f>[2]Sheet2!$F13</f>
        <v>45860</v>
      </c>
      <c r="Z14" s="149" t="str">
        <f>[2]Sheet2!$G13</f>
        <v>Jul 31, 2025</v>
      </c>
      <c r="AA14" s="150">
        <f>[2]Sheet2!$H13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0.84645336041984087</v>
      </c>
      <c r="C15" s="25" t="e" vm="13">
        <v>#VALUE!</v>
      </c>
      <c r="D15" s="17" t="str" cm="1">
        <f t="array" aca="1" ref="D15" ca="1">_FV(RTData[[#This Row],[Company Name]],"Currency")</f>
        <v>USD</v>
      </c>
      <c r="E15" s="18" cm="1">
        <f t="array" aca="1" ref="E15" ca="1">_FV(RTData[[#This Row],[Company Name]],"Last trade time",TRUE)</f>
        <v>45923.844473043748</v>
      </c>
      <c r="F15" s="19" cm="1">
        <f t="array" aca="1" ref="F15" ca="1">_FV(RTData[[#This Row],[Company Name]],"Previous close",TRUE)</f>
        <v>2.5</v>
      </c>
      <c r="G15" s="19" cm="1">
        <f t="array" aca="1" ref="G15" ca="1">_FV(RTData[[#This Row],[Company Name]],"Open")</f>
        <v>2.6</v>
      </c>
      <c r="H15" s="19" cm="1">
        <f t="array" aca="1" ref="H15" ca="1">_FV(RTData[[#This Row],[Company Name]],"Price")</f>
        <v>2.81</v>
      </c>
      <c r="I15" s="19" cm="1">
        <f t="array" aca="1" ref="I15" ca="1">_FV(RTData[[#This Row],[Company Name]],"Low")</f>
        <v>2.59</v>
      </c>
      <c r="J15" s="19" cm="1">
        <f t="array" aca="1" ref="J15" ca="1">_FV(RTData[[#This Row],[Company Name]],"High")</f>
        <v>3.03</v>
      </c>
      <c r="K15" s="20" cm="1">
        <f t="array" ref="K15">IFERROR(_FV(RTData[[#This Row],[Company Name]],"P/E",TRUE),99)</f>
        <v>99</v>
      </c>
      <c r="L15" s="21" cm="1">
        <f t="array" aca="1" ref="L15" ca="1">_FV(RTData[[#This Row],[Company Name]],"Change")</f>
        <v>0.31</v>
      </c>
      <c r="M15" s="22" cm="1">
        <f t="array" aca="1" ref="M15" ca="1">_FV(RTData[[#This Row],[Company Name]],"Change (%)",TRUE)</f>
        <v>0.124</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10865788</v>
      </c>
      <c r="Q15" s="23" cm="1">
        <f t="array" aca="1" ref="Q15" ca="1">_FV(RTData[[#This Row],[Company Name]],"Volume average",TRUE)</f>
        <v>3751077</v>
      </c>
      <c r="R15" s="19" cm="1">
        <f t="array" aca="1" ref="R15" ca="1">_FV(RTData[[#This Row],[Company Name]],"Beta")</f>
        <v>2.0832999999999999</v>
      </c>
      <c r="T15" t="s">
        <v>20</v>
      </c>
      <c r="U15" t="str" cm="1">
        <f t="array" aca="1" ref="U15" ca="1">_FV(RTData[[#This Row],[Company Name]],"Exchange abbreviation",TRUE)</f>
        <v>XNYS</v>
      </c>
      <c r="V15" s="24">
        <f ca="1">IFERROR(RTData[[#This Row],[Volume]]/RTData[[#This Row],[Volume average]],1)</f>
        <v>2.8967115311149305</v>
      </c>
      <c r="W15" s="24"/>
      <c r="X15" s="103">
        <f>[2]Sheet2!$E14</f>
        <v>3.25</v>
      </c>
      <c r="Y15" s="149">
        <f>[2]Sheet2!$F14</f>
        <v>0</v>
      </c>
      <c r="Z15" s="149" t="str">
        <f>[2]Sheet2!$G14</f>
        <v>Nov 10, 2025</v>
      </c>
      <c r="AA15" s="150">
        <f>[2]Sheet2!$H14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0.84645336041984087</v>
      </c>
      <c r="C16" s="25" t="e" vm="14">
        <v>#VALUE!</v>
      </c>
      <c r="D16" s="17" t="str" cm="1">
        <f t="array" aca="1" ref="D16" ca="1">_FV(RTData[[#This Row],[Company Name]],"Currency")</f>
        <v>USD</v>
      </c>
      <c r="E16" s="18" cm="1">
        <f t="array" aca="1" ref="E16" ca="1">_FV(RTData[[#This Row],[Company Name]],"Last trade time",TRUE)</f>
        <v>45923.845514003908</v>
      </c>
      <c r="F16" s="19" cm="1">
        <f t="array" aca="1" ref="F16" ca="1">_FV(RTData[[#This Row],[Company Name]],"Previous close",TRUE)</f>
        <v>112.56</v>
      </c>
      <c r="G16" s="19" cm="1">
        <f t="array" aca="1" ref="G16" ca="1">_FV(RTData[[#This Row],[Company Name]],"Open")</f>
        <v>112.72</v>
      </c>
      <c r="H16" s="19" cm="1">
        <f t="array" aca="1" ref="H16" ca="1">_FV(RTData[[#This Row],[Company Name]],"Price")</f>
        <v>112.27</v>
      </c>
      <c r="I16" s="19" cm="1">
        <f t="array" aca="1" ref="I16" ca="1">_FV(RTData[[#This Row],[Company Name]],"Low")</f>
        <v>111.6</v>
      </c>
      <c r="J16" s="19" cm="1">
        <f t="array" aca="1" ref="J16" ca="1">_FV(RTData[[#This Row],[Company Name]],"High")</f>
        <v>113.62</v>
      </c>
      <c r="K16" s="20" cm="1">
        <f t="array" aca="1" ref="K16" ca="1">IFERROR(_FV(RTData[[#This Row],[Company Name]],"P/E",TRUE),99)</f>
        <v>17.647099999999998</v>
      </c>
      <c r="L16" s="21" cm="1">
        <f t="array" aca="1" ref="L16" ca="1">_FV(RTData[[#This Row],[Company Name]],"Change")</f>
        <v>-0.28999999999999998</v>
      </c>
      <c r="M16" s="22" cm="1">
        <f t="array" aca="1" ref="M16" ca="1">_FV(RTData[[#This Row],[Company Name]],"Change (%)",TRUE)</f>
        <v>-2.5760000000000002E-3</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12960312</v>
      </c>
      <c r="Q16" s="23" cm="1">
        <f t="array" aca="1" ref="Q16" ca="1">_FV(RTData[[#This Row],[Company Name]],"Volume average",TRUE)</f>
        <v>7590381</v>
      </c>
      <c r="R16" s="19" cm="1">
        <f t="array" aca="1" ref="R16" ca="1">_FV(RTData[[#This Row],[Company Name]],"Beta")</f>
        <v>1.5379</v>
      </c>
      <c r="T16" t="s">
        <v>20</v>
      </c>
      <c r="U16" t="str" cm="1">
        <f t="array" aca="1" ref="U16" ca="1">_FV(RTData[[#This Row],[Company Name]],"Exchange abbreviation",TRUE)</f>
        <v>XNYS</v>
      </c>
      <c r="V16" s="24">
        <f ca="1">IFERROR(RTData[[#This Row],[Volume]]/RTData[[#This Row],[Volume average]],1)</f>
        <v>1.7074652774346901</v>
      </c>
      <c r="W16" s="24"/>
      <c r="X16" s="103">
        <f>[2]Sheet2!$E15</f>
        <v>132.22594000000001</v>
      </c>
      <c r="Y16" s="149">
        <f>[2]Sheet2!$F15</f>
        <v>45832</v>
      </c>
      <c r="Z16" s="149" t="str">
        <f>[2]Sheet2!$G15</f>
        <v>Aug 6, 2025</v>
      </c>
      <c r="AA16" s="150">
        <f>[2]Sheet2!$H15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45923.666666666664</v>
      </c>
      <c r="F17" s="29" cm="1">
        <f t="array" aca="1" ref="F17" ca="1">_FV(RTData[[#This Row],[Company Name]],"Previous close",TRUE)</f>
        <v>27.99</v>
      </c>
      <c r="G17" s="29" cm="1">
        <f t="array" aca="1" ref="G17" ca="1">_FV(RTData[[#This Row],[Company Name]],"Open")</f>
        <v>28.03</v>
      </c>
      <c r="H17" s="29" cm="1">
        <f t="array" aca="1" ref="H17" ca="1">_FV(RTData[[#This Row],[Company Name]],"Price")</f>
        <v>27.98</v>
      </c>
      <c r="I17" s="29" cm="1">
        <f t="array" aca="1" ref="I17" ca="1">_FV(RTData[[#This Row],[Company Name]],"Low")</f>
        <v>27.96</v>
      </c>
      <c r="J17" s="29" cm="1">
        <f t="array" aca="1" ref="J17" ca="1">_FV(RTData[[#This Row],[Company Name]],"High")</f>
        <v>28.32</v>
      </c>
      <c r="K17" s="20" cm="1">
        <f t="array" aca="1" ref="K17" ca="1">IFERROR(_FV(RTData[[#This Row],[Company Name]],"P/E",TRUE),99)</f>
        <v>32.161299999999997</v>
      </c>
      <c r="L17" s="21" cm="1">
        <f t="array" aca="1" ref="L17" ca="1">_FV(RTData[[#This Row],[Company Name]],"Change")</f>
        <v>-0.01</v>
      </c>
      <c r="M17" s="22" cm="1">
        <f t="array" aca="1" ref="M17" ca="1">_FV(RTData[[#This Row],[Company Name]],"Change (%)",TRUE)</f>
        <v>-3.5729999999999996E-4</v>
      </c>
      <c r="N17" s="29" cm="1">
        <f t="array" aca="1" ref="N17" ca="1">_FV(RTData[[#This Row],[Company Name]],"52 week low",TRUE)</f>
        <v>26.25</v>
      </c>
      <c r="O17" s="29" cm="1">
        <f t="array" aca="1" ref="O17" ca="1">_FV(RTData[[#This Row],[Company Name]],"52 week high",TRUE)</f>
        <v>41.17</v>
      </c>
      <c r="P17" s="23" cm="1">
        <f t="array" aca="1" ref="P17" ca="1">_FV(RTData[[#This Row],[Company Name]],"Volume")</f>
        <v>1191057</v>
      </c>
      <c r="Q17" s="23" cm="1">
        <f t="array" aca="1" ref="Q17" ca="1">_FV(RTData[[#This Row],[Company Name]],"Volume average",TRUE)</f>
        <v>1897450</v>
      </c>
      <c r="R17" s="29" cm="1">
        <f t="array" aca="1" ref="R17" ca="1">_FV(RTData[[#This Row],[Company Name]],"Beta")</f>
        <v>0.68940000000000001</v>
      </c>
      <c r="T17" t="s">
        <v>20</v>
      </c>
      <c r="U17" t="str" cm="1">
        <f t="array" aca="1" ref="U17" ca="1">_FV(RTData[[#This Row],[Company Name]],"Exchange abbreviation",TRUE)</f>
        <v>XPAR</v>
      </c>
      <c r="V17" s="24">
        <f ca="1">IFERROR(RTData[[#This Row],[Volume]]/RTData[[#This Row],[Volume average]],1)</f>
        <v>0.62771456428364381</v>
      </c>
      <c r="W17" s="24"/>
      <c r="X17" s="103">
        <v>35.56</v>
      </c>
      <c r="Y17" s="149">
        <f>[2]Sheet2!$F16</f>
        <v>45803</v>
      </c>
      <c r="Z17" s="149">
        <f>[2]Sheet2!$G16</f>
        <v>0</v>
      </c>
      <c r="AA17" s="150">
        <f>[2]Sheet2!$H16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0.84645336041984087</v>
      </c>
      <c r="C18" s="25" t="e" vm="16">
        <v>#VALUE!</v>
      </c>
      <c r="D18" s="17" t="str" cm="1">
        <f t="array" aca="1" ref="D18" ca="1">_FV(RTData[[#This Row],[Company Name]],"Currency")</f>
        <v>USD</v>
      </c>
      <c r="E18" s="18" cm="1">
        <f t="array" aca="1" ref="E18" ca="1">_FV(RTData[[#This Row],[Company Name]],"Last trade time",TRUE)</f>
        <v>45923.84387732578</v>
      </c>
      <c r="F18" s="19" cm="1">
        <f t="array" aca="1" ref="F18" ca="1">_FV(RTData[[#This Row],[Company Name]],"Previous close",TRUE)</f>
        <v>131.15</v>
      </c>
      <c r="G18" s="19" cm="1">
        <f t="array" aca="1" ref="G18" ca="1">_FV(RTData[[#This Row],[Company Name]],"Open")</f>
        <v>131.22</v>
      </c>
      <c r="H18" s="19" cm="1">
        <f t="array" aca="1" ref="H18" ca="1">_FV(RTData[[#This Row],[Company Name]],"Price")</f>
        <v>132.82499999999999</v>
      </c>
      <c r="I18" s="19" cm="1">
        <f t="array" aca="1" ref="I18" ca="1">_FV(RTData[[#This Row],[Company Name]],"Low")</f>
        <v>131.22</v>
      </c>
      <c r="J18" s="19" cm="1">
        <f t="array" aca="1" ref="J18" ca="1">_FV(RTData[[#This Row],[Company Name]],"High")</f>
        <v>134.01</v>
      </c>
      <c r="K18" s="20" cm="1">
        <f t="array" aca="1" ref="K18" ca="1">IFERROR(_FV(RTData[[#This Row],[Company Name]],"P/E",TRUE),99)</f>
        <v>12.886799999999999</v>
      </c>
      <c r="L18" s="21" cm="1">
        <f t="array" aca="1" ref="L18" ca="1">_FV(RTData[[#This Row],[Company Name]],"Change")</f>
        <v>1.675</v>
      </c>
      <c r="M18" s="22" cm="1">
        <f t="array" aca="1" ref="M18" ca="1">_FV(RTData[[#This Row],[Company Name]],"Change (%)",TRUE)</f>
        <v>1.2771999999999999E-2</v>
      </c>
      <c r="N18" s="19" cm="1">
        <f t="array" aca="1" ref="N18" ca="1">_FV(RTData[[#This Row],[Company Name]],"52 week low",TRUE)</f>
        <v>126.07</v>
      </c>
      <c r="O18" s="19" cm="1">
        <f t="array" aca="1" ref="O18" ca="1">_FV(RTData[[#This Row],[Company Name]],"52 week high",TRUE)</f>
        <v>179.6</v>
      </c>
      <c r="P18" s="23" cm="1">
        <f t="array" aca="1" ref="P18" ca="1">_FV(RTData[[#This Row],[Company Name]],"Volume")</f>
        <v>677491</v>
      </c>
      <c r="Q18" s="23" cm="1">
        <f t="array" aca="1" ref="Q18" ca="1">_FV(RTData[[#This Row],[Company Name]],"Volume average",TRUE)</f>
        <v>823843</v>
      </c>
      <c r="R18" s="19" cm="1">
        <f t="array" aca="1" ref="R18" ca="1">_FV(RTData[[#This Row],[Company Name]],"Beta")</f>
        <v>1.1213</v>
      </c>
      <c r="T18" t="s">
        <v>20</v>
      </c>
      <c r="U18" t="str" cm="1">
        <f t="array" aca="1" ref="U18" ca="1">_FV(RTData[[#This Row],[Company Name]],"Exchange abbreviation",TRUE)</f>
        <v>XNYS</v>
      </c>
      <c r="V18" s="24">
        <f ca="1">IFERROR(RTData[[#This Row],[Volume]]/RTData[[#This Row],[Volume average]],1)</f>
        <v>0.8223545020106986</v>
      </c>
      <c r="W18" s="24"/>
      <c r="X18" s="103">
        <f>[2]Sheet2!$E17</f>
        <v>153.5</v>
      </c>
      <c r="Y18" s="149">
        <f>[2]Sheet2!$F17</f>
        <v>0</v>
      </c>
      <c r="Z18" s="149" t="str">
        <f>[2]Sheet2!$G17</f>
        <v>Oct 28, 2025</v>
      </c>
      <c r="AA18" s="150">
        <f>[2]Sheet2!$H17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0.84645336041984087</v>
      </c>
      <c r="C19" s="25" t="e" vm="17">
        <v>#VALUE!</v>
      </c>
      <c r="D19" s="17" t="str" cm="1">
        <f t="array" aca="1" ref="D19" ca="1">_FV(RTData[[#This Row],[Company Name]],"Currency")</f>
        <v>USD</v>
      </c>
      <c r="E19" s="18" cm="1">
        <f t="array" aca="1" ref="E19" ca="1">_FV(RTData[[#This Row],[Company Name]],"Last trade time",TRUE)</f>
        <v>45923.840326573438</v>
      </c>
      <c r="F19" s="19" cm="1">
        <f t="array" aca="1" ref="F19" ca="1">_FV(RTData[[#This Row],[Company Name]],"Previous close",TRUE)</f>
        <v>14.31</v>
      </c>
      <c r="G19" s="19" cm="1">
        <f t="array" aca="1" ref="G19" ca="1">_FV(RTData[[#This Row],[Company Name]],"Open")</f>
        <v>14.36</v>
      </c>
      <c r="H19" s="19" cm="1">
        <f t="array" aca="1" ref="H19" ca="1">_FV(RTData[[#This Row],[Company Name]],"Price")</f>
        <v>13.68</v>
      </c>
      <c r="I19" s="19" cm="1">
        <f t="array" aca="1" ref="I19" ca="1">_FV(RTData[[#This Row],[Company Name]],"Low")</f>
        <v>13.67</v>
      </c>
      <c r="J19" s="19" cm="1">
        <f t="array" aca="1" ref="J19" ca="1">_FV(RTData[[#This Row],[Company Name]],"High")</f>
        <v>14.36</v>
      </c>
      <c r="K19" s="20" cm="1">
        <f t="array" aca="1" ref="K19" ca="1">IFERROR(_FV(RTData[[#This Row],[Company Name]],"P/E",TRUE),99)</f>
        <v>6.9873000000000003</v>
      </c>
      <c r="L19" s="21" cm="1">
        <f t="array" aca="1" ref="L19" ca="1">_FV(RTData[[#This Row],[Company Name]],"Change")</f>
        <v>-0.63</v>
      </c>
      <c r="M19" s="22" cm="1">
        <f t="array" aca="1" ref="M19" ca="1">_FV(RTData[[#This Row],[Company Name]],"Change (%)",TRUE)</f>
        <v>-4.4025000000000002E-2</v>
      </c>
      <c r="N19" s="19" cm="1">
        <f t="array" aca="1" ref="N19" ca="1">_FV(RTData[[#This Row],[Company Name]],"52 week low",TRUE)</f>
        <v>12.24</v>
      </c>
      <c r="O19" s="19" cm="1">
        <f t="array" aca="1" ref="O19" ca="1">_FV(RTData[[#This Row],[Company Name]],"52 week high",TRUE)</f>
        <v>24.83</v>
      </c>
      <c r="P19" s="23" cm="1">
        <f t="array" aca="1" ref="P19" ca="1">_FV(RTData[[#This Row],[Company Name]],"Volume")</f>
        <v>1988963</v>
      </c>
      <c r="Q19" s="23" cm="1">
        <f t="array" aca="1" ref="Q19" ca="1">_FV(RTData[[#This Row],[Company Name]],"Volume average",TRUE)</f>
        <v>1715225</v>
      </c>
      <c r="R19" s="19" cm="1">
        <f t="array" aca="1" ref="R19" ca="1">_FV(RTData[[#This Row],[Company Name]],"Beta")</f>
        <v>1.1346000000000001</v>
      </c>
      <c r="T19" t="s">
        <v>20</v>
      </c>
      <c r="U19" t="str" cm="1">
        <f t="array" aca="1" ref="U19" ca="1">_FV(RTData[[#This Row],[Company Name]],"Exchange abbreviation",TRUE)</f>
        <v>XNYS</v>
      </c>
      <c r="V19" s="24">
        <f ca="1">IFERROR(RTData[[#This Row],[Volume]]/RTData[[#This Row],[Volume average]],1)</f>
        <v>1.1595930563045664</v>
      </c>
      <c r="W19" s="24"/>
      <c r="X19" s="103">
        <f>[2]Sheet2!$E18</f>
        <v>15.125</v>
      </c>
      <c r="Y19" s="149">
        <f>[2]Sheet2!$F18</f>
        <v>43914</v>
      </c>
      <c r="Z19" s="149" t="str">
        <f>[2]Sheet2!$G18</f>
        <v>Jul 31, 2025</v>
      </c>
      <c r="AA19" s="150">
        <f>[2]Sheet2!$H18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45923.770833333336</v>
      </c>
      <c r="F20" s="29" cm="1">
        <f t="array" aca="1" ref="F20" ca="1">_FV(RTData[[#This Row],[Company Name]],"Previous close",TRUE)</f>
        <v>15.635</v>
      </c>
      <c r="G20" s="29" cm="1">
        <f t="array" aca="1" ref="G20" ca="1">_FV(RTData[[#This Row],[Company Name]],"Open")</f>
        <v>15.744999999999999</v>
      </c>
      <c r="H20" s="29" cm="1">
        <f t="array" aca="1" ref="H20" ca="1">_FV(RTData[[#This Row],[Company Name]],"Price")</f>
        <v>15.67</v>
      </c>
      <c r="I20" s="29" cm="1">
        <f t="array" aca="1" ref="I20" ca="1">_FV(RTData[[#This Row],[Company Name]],"Low")</f>
        <v>15.67</v>
      </c>
      <c r="J20" s="29" cm="1">
        <f t="array" aca="1" ref="J20" ca="1">_FV(RTData[[#This Row],[Company Name]],"High")</f>
        <v>15.904999999999999</v>
      </c>
      <c r="K20" s="20" cm="1">
        <f t="array" aca="1" ref="K20" ca="1">IFERROR(_FV(RTData[[#This Row],[Company Name]],"P/E",TRUE),99)</f>
        <v>12.9482</v>
      </c>
      <c r="L20" s="21" cm="1">
        <f t="array" aca="1" ref="L20" ca="1">_FV(RTData[[#This Row],[Company Name]],"Change")</f>
        <v>3.5000000000000003E-2</v>
      </c>
      <c r="M20" s="22" cm="1">
        <f t="array" aca="1" ref="M20" ca="1">_FV(RTData[[#This Row],[Company Name]],"Change (%)",TRUE)</f>
        <v>2.2389999999999997E-3</v>
      </c>
      <c r="N20" s="29" cm="1">
        <f t="array" aca="1" ref="N20" ca="1">_FV(RTData[[#This Row],[Company Name]],"52 week low",TRUE)</f>
        <v>10.435</v>
      </c>
      <c r="O20" s="29" cm="1">
        <f t="array" aca="1" ref="O20" ca="1">_FV(RTData[[#This Row],[Company Name]],"52 week high",TRUE)</f>
        <v>16.55</v>
      </c>
      <c r="P20" s="23" cm="1">
        <f t="array" aca="1" ref="P20" ca="1">_FV(RTData[[#This Row],[Company Name]],"Volume")</f>
        <v>2910064</v>
      </c>
      <c r="Q20" s="23" cm="1">
        <f t="array" aca="1" ref="Q20" ca="1">_FV(RTData[[#This Row],[Company Name]],"Volume average",TRUE)</f>
        <v>4752370</v>
      </c>
      <c r="R20" s="29" cm="1">
        <f t="array" aca="1" ref="R20" ca="1">_FV(RTData[[#This Row],[Company Name]],"Beta")</f>
        <v>0.70750000000000002</v>
      </c>
      <c r="T20" t="s">
        <v>20</v>
      </c>
      <c r="U20" t="str" cm="1">
        <f t="array" aca="1" ref="U20" ca="1">_FV(RTData[[#This Row],[Company Name]],"Exchange abbreviation",TRUE)</f>
        <v>XETR</v>
      </c>
      <c r="V20" s="24">
        <f ca="1">IFERROR(RTData[[#This Row],[Volume]]/RTData[[#This Row],[Volume average]],1)</f>
        <v>0.61233952743578468</v>
      </c>
      <c r="W20" s="24"/>
      <c r="X20" s="103">
        <v>16.89</v>
      </c>
      <c r="Y20" s="149">
        <f>[2]Sheet2!$F19</f>
        <v>45793</v>
      </c>
      <c r="Z20" s="149">
        <f>[2]Sheet2!$G19</f>
        <v>0</v>
      </c>
      <c r="AA20" s="150">
        <f>[2]Sheet2!$H19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0.84645336041984087</v>
      </c>
      <c r="C21" s="25" t="e" vm="19">
        <v>#VALUE!</v>
      </c>
      <c r="D21" s="17" t="str" cm="1">
        <f t="array" aca="1" ref="D21" ca="1">_FV(RTData[[#This Row],[Company Name]],"Currency")</f>
        <v>USD</v>
      </c>
      <c r="E21" s="18" cm="1">
        <f t="array" aca="1" ref="E21" ca="1">_FV(RTData[[#This Row],[Company Name]],"Last trade time",TRUE)</f>
        <v>45923.843514710155</v>
      </c>
      <c r="F21" s="19" cm="1">
        <f t="array" aca="1" ref="F21" ca="1">_FV(RTData[[#This Row],[Company Name]],"Previous close",TRUE)</f>
        <v>0.217</v>
      </c>
      <c r="G21" s="19" cm="1">
        <f t="array" aca="1" ref="G21" ca="1">_FV(RTData[[#This Row],[Company Name]],"Open")</f>
        <v>0.2185</v>
      </c>
      <c r="H21" s="19" cm="1">
        <f t="array" aca="1" ref="H21" ca="1">_FV(RTData[[#This Row],[Company Name]],"Price")</f>
        <v>0.20630000000000001</v>
      </c>
      <c r="I21" s="19" cm="1">
        <f t="array" aca="1" ref="I21" ca="1">_FV(RTData[[#This Row],[Company Name]],"Low")</f>
        <v>0.2</v>
      </c>
      <c r="J21" s="19" cm="1">
        <f t="array" aca="1" ref="J21" ca="1">_FV(RTData[[#This Row],[Company Name]],"High")</f>
        <v>0.21859999999999999</v>
      </c>
      <c r="K21" s="20" cm="1">
        <f t="array" aca="1" ref="K21" ca="1">IFERROR(_FV(RTData[[#This Row],[Company Name]],"P/E",TRUE),99)</f>
        <v>0</v>
      </c>
      <c r="L21" s="21" cm="1">
        <f t="array" aca="1" ref="L21" ca="1">_FV(RTData[[#This Row],[Company Name]],"Change")</f>
        <v>-1.0699999999999999E-2</v>
      </c>
      <c r="M21" s="22" cm="1">
        <f t="array" aca="1" ref="M21" ca="1">_FV(RTData[[#This Row],[Company Name]],"Change (%)",TRUE)</f>
        <v>-4.9309000000000006E-2</v>
      </c>
      <c r="N21" s="19" cm="1">
        <f t="array" aca="1" ref="N21" ca="1">_FV(RTData[[#This Row],[Company Name]],"52 week low",TRUE)</f>
        <v>0.17330000000000001</v>
      </c>
      <c r="O21" s="19" cm="1">
        <f t="array" aca="1" ref="O21" ca="1">_FV(RTData[[#This Row],[Company Name]],"52 week high",TRUE)</f>
        <v>0.83779999999999999</v>
      </c>
      <c r="P21" s="23" cm="1">
        <f t="array" aca="1" ref="P21" ca="1">_FV(RTData[[#This Row],[Company Name]],"Volume")</f>
        <v>1958374</v>
      </c>
      <c r="Q21" s="23" cm="1">
        <f t="array" aca="1" ref="Q21" ca="1">_FV(RTData[[#This Row],[Company Name]],"Volume average",TRUE)</f>
        <v>15030748</v>
      </c>
      <c r="R21" s="19" cm="1">
        <f t="array" aca="1" ref="R21" ca="1">_FV(RTData[[#This Row],[Company Name]],"Beta")</f>
        <v>1.5933999999999999</v>
      </c>
      <c r="T21" t="s">
        <v>20</v>
      </c>
      <c r="U21" t="str" cm="1">
        <f t="array" aca="1" ref="U21" ca="1">_FV(RTData[[#This Row],[Company Name]],"Exchange abbreviation",TRUE)</f>
        <v>XNAS</v>
      </c>
      <c r="V21" s="24">
        <f ca="1">IFERROR(RTData[[#This Row],[Volume]]/RTData[[#This Row],[Volume average]],1)</f>
        <v>0.13029118710525917</v>
      </c>
      <c r="W21" s="24"/>
      <c r="X21" s="103">
        <f>[2]Sheet2!$E20</f>
        <v>0</v>
      </c>
      <c r="Y21" s="149">
        <f>[2]Sheet2!$F20</f>
        <v>45894</v>
      </c>
      <c r="Z21" s="149" t="str">
        <f>[2]Sheet2!$G20</f>
        <v>Aug 7, 2025</v>
      </c>
      <c r="AA21" s="150">
        <f>[2]Sheet2!$H20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0.84645336041984087</v>
      </c>
      <c r="C22" s="25" t="e" vm="20">
        <v>#VALUE!</v>
      </c>
      <c r="D22" s="17" t="str" cm="1">
        <f t="array" aca="1" ref="D22" ca="1">_FV(RTData[[#This Row],[Company Name]],"Currency")</f>
        <v>USD</v>
      </c>
      <c r="E22" s="18" cm="1">
        <f t="array" aca="1" ref="E22" ca="1">_FV(RTData[[#This Row],[Company Name]],"Last trade time",TRUE)</f>
        <v>45923.843817522655</v>
      </c>
      <c r="F22" s="19" cm="1">
        <f t="array" aca="1" ref="F22" ca="1">_FV(RTData[[#This Row],[Company Name]],"Previous close",TRUE)</f>
        <v>58.88</v>
      </c>
      <c r="G22" s="19" cm="1">
        <f t="array" aca="1" ref="G22" ca="1">_FV(RTData[[#This Row],[Company Name]],"Open")</f>
        <v>59.05</v>
      </c>
      <c r="H22" s="19" cm="1">
        <f t="array" aca="1" ref="H22" ca="1">_FV(RTData[[#This Row],[Company Name]],"Price")</f>
        <v>58.59</v>
      </c>
      <c r="I22" s="19" cm="1">
        <f t="array" aca="1" ref="I22" ca="1">_FV(RTData[[#This Row],[Company Name]],"Low")</f>
        <v>58.454999999999998</v>
      </c>
      <c r="J22" s="19" cm="1">
        <f t="array" aca="1" ref="J22" ca="1">_FV(RTData[[#This Row],[Company Name]],"High")</f>
        <v>59.92</v>
      </c>
      <c r="K22" s="20" cm="1">
        <f t="array" aca="1" ref="K22" ca="1">IFERROR(_FV(RTData[[#This Row],[Company Name]],"P/E",TRUE),99)</f>
        <v>8.4870999999999999</v>
      </c>
      <c r="L22" s="21" cm="1">
        <f t="array" aca="1" ref="L22" ca="1">_FV(RTData[[#This Row],[Company Name]],"Change")</f>
        <v>-0.28999999999999998</v>
      </c>
      <c r="M22" s="22" cm="1">
        <f t="array" aca="1" ref="M22" ca="1">_FV(RTData[[#This Row],[Company Name]],"Change (%)",TRUE)</f>
        <v>-4.9249999999999997E-3</v>
      </c>
      <c r="N22" s="19" cm="1">
        <f t="array" aca="1" ref="N22" ca="1">_FV(RTData[[#This Row],[Company Name]],"52 week low",TRUE)</f>
        <v>41.6</v>
      </c>
      <c r="O22" s="19" cm="1">
        <f t="array" aca="1" ref="O22" ca="1">_FV(RTData[[#This Row],[Company Name]],"52 week high",TRUE)</f>
        <v>61.24</v>
      </c>
      <c r="P22" s="23" cm="1">
        <f t="array" aca="1" ref="P22" ca="1">_FV(RTData[[#This Row],[Company Name]],"Volume")</f>
        <v>5744058</v>
      </c>
      <c r="Q22" s="23" cm="1">
        <f t="array" aca="1" ref="Q22" ca="1">_FV(RTData[[#This Row],[Company Name]],"Volume average",TRUE)</f>
        <v>6956912</v>
      </c>
      <c r="R22" s="19" cm="1">
        <f t="array" aca="1" ref="R22" ca="1">_FV(RTData[[#This Row],[Company Name]],"Beta")</f>
        <v>1.3292999999999999</v>
      </c>
      <c r="T22" t="s">
        <v>20</v>
      </c>
      <c r="U22" t="str" cm="1">
        <f t="array" aca="1" ref="U22" ca="1">_FV(RTData[[#This Row],[Company Name]],"Exchange abbreviation",TRUE)</f>
        <v>XNYS</v>
      </c>
      <c r="V22" s="24">
        <f ca="1">IFERROR(RTData[[#This Row],[Volume]]/RTData[[#This Row],[Volume average]],1)</f>
        <v>0.82566201786079796</v>
      </c>
      <c r="W22" s="24"/>
      <c r="X22" s="103">
        <f>[2]Sheet2!$E21</f>
        <v>57.2</v>
      </c>
      <c r="Y22" s="149">
        <f>[2]Sheet2!$F21</f>
        <v>45905</v>
      </c>
      <c r="Z22" s="149" t="str">
        <f>[2]Sheet2!$G21</f>
        <v>Oct 21, 2025</v>
      </c>
      <c r="AA22" s="150">
        <f>[2]Sheet2!$H21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0.84645336041984087</v>
      </c>
      <c r="C23" s="25" t="e" vm="21">
        <v>#VALUE!</v>
      </c>
      <c r="D23" s="17" t="str" cm="1">
        <f t="array" aca="1" ref="D23" ca="1">_FV(RTData[[#This Row],[Company Name]],"Currency")</f>
        <v>USD</v>
      </c>
      <c r="E23" s="18" cm="1">
        <f t="array" aca="1" ref="E23" ca="1">_FV(RTData[[#This Row],[Company Name]],"Last trade time",TRUE)</f>
        <v>45923.843822117968</v>
      </c>
      <c r="F23" s="19" cm="1">
        <f t="array" aca="1" ref="F23" ca="1">_FV(RTData[[#This Row],[Company Name]],"Previous close",TRUE)</f>
        <v>25.16</v>
      </c>
      <c r="G23" s="19" cm="1">
        <f t="array" aca="1" ref="G23" ca="1">_FV(RTData[[#This Row],[Company Name]],"Open")</f>
        <v>25.12</v>
      </c>
      <c r="H23" s="19" cm="1">
        <f t="array" aca="1" ref="H23" ca="1">_FV(RTData[[#This Row],[Company Name]],"Price")</f>
        <v>24.71</v>
      </c>
      <c r="I23" s="19" cm="1">
        <f t="array" aca="1" ref="I23" ca="1">_FV(RTData[[#This Row],[Company Name]],"Low")</f>
        <v>24.68</v>
      </c>
      <c r="J23" s="19" cm="1">
        <f t="array" aca="1" ref="J23" ca="1">_FV(RTData[[#This Row],[Company Name]],"High")</f>
        <v>25.315000000000001</v>
      </c>
      <c r="K23" s="20" cm="1">
        <f t="array" aca="1" ref="K23" ca="1">IFERROR(_FV(RTData[[#This Row],[Company Name]],"P/E",TRUE),99)</f>
        <v>30.1784</v>
      </c>
      <c r="L23" s="21" cm="1">
        <f t="array" aca="1" ref="L23" ca="1">_FV(RTData[[#This Row],[Company Name]],"Change")</f>
        <v>-0.45</v>
      </c>
      <c r="M23" s="22" cm="1">
        <f t="array" aca="1" ref="M23" ca="1">_FV(RTData[[#This Row],[Company Name]],"Change (%)",TRUE)</f>
        <v>-1.7885999999999999E-2</v>
      </c>
      <c r="N23" s="19" cm="1">
        <f t="array" aca="1" ref="N23" ca="1">_FV(RTData[[#This Row],[Company Name]],"52 week low",TRUE)</f>
        <v>11.965</v>
      </c>
      <c r="O23" s="19" cm="1">
        <f t="array" aca="1" ref="O23" ca="1">_FV(RTData[[#This Row],[Company Name]],"52 week high",TRUE)</f>
        <v>25.355899999999998</v>
      </c>
      <c r="P23" s="23" cm="1">
        <f t="array" aca="1" ref="P23" ca="1">_FV(RTData[[#This Row],[Company Name]],"Volume")</f>
        <v>25178437</v>
      </c>
      <c r="Q23" s="23" cm="1">
        <f t="array" aca="1" ref="Q23" ca="1">_FV(RTData[[#This Row],[Company Name]],"Volume average",TRUE)</f>
        <v>23128345</v>
      </c>
      <c r="R23" s="19" cm="1">
        <f t="array" aca="1" ref="R23" ca="1">_FV(RTData[[#This Row],[Company Name]],"Beta")</f>
        <v>1.4625999999999999</v>
      </c>
      <c r="T23" t="s">
        <v>20</v>
      </c>
      <c r="U23" t="str" cm="1">
        <f t="array" aca="1" ref="U23" ca="1">_FV(RTData[[#This Row],[Company Name]],"Exchange abbreviation",TRUE)</f>
        <v>XNYS</v>
      </c>
      <c r="V23" s="24">
        <f ca="1">IFERROR(RTData[[#This Row],[Volume]]/RTData[[#This Row],[Volume average]],1)</f>
        <v>1.0886398053989597</v>
      </c>
      <c r="W23" s="24"/>
      <c r="X23" s="103">
        <v>22.83</v>
      </c>
      <c r="Y23" s="149">
        <f>[2]Sheet2!$F22</f>
        <v>45918</v>
      </c>
      <c r="Z23" s="149" t="str">
        <f>[2]Sheet2!$G22</f>
        <v>Dec 4, 2025</v>
      </c>
      <c r="AA23" s="150">
        <f>[2]Sheet2!$H22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0.84645336041984087</v>
      </c>
      <c r="C24" s="25" t="e" vm="22">
        <v>#VALUE!</v>
      </c>
      <c r="D24" s="17" t="str" cm="1">
        <f t="array" aca="1" ref="D24" ca="1">_FV(RTData[[#This Row],[Company Name]],"Currency")</f>
        <v>USD</v>
      </c>
      <c r="E24" s="18" cm="1">
        <f t="array" aca="1" ref="E24" ca="1">_FV(RTData[[#This Row],[Company Name]],"Last trade time",TRUE)</f>
        <v>45923.843822522656</v>
      </c>
      <c r="F24" s="19" cm="1">
        <f t="array" aca="1" ref="F24" ca="1">_FV(RTData[[#This Row],[Company Name]],"Previous close",TRUE)</f>
        <v>28.26</v>
      </c>
      <c r="G24" s="19" cm="1">
        <f t="array" aca="1" ref="G24" ca="1">_FV(RTData[[#This Row],[Company Name]],"Open")</f>
        <v>28.36</v>
      </c>
      <c r="H24" s="19" cm="1">
        <f t="array" aca="1" ref="H24" ca="1">_FV(RTData[[#This Row],[Company Name]],"Price")</f>
        <v>28.54</v>
      </c>
      <c r="I24" s="19" cm="1">
        <f t="array" aca="1" ref="I24" ca="1">_FV(RTData[[#This Row],[Company Name]],"Low")</f>
        <v>28.36</v>
      </c>
      <c r="J24" s="19" cm="1">
        <f t="array" aca="1" ref="J24" ca="1">_FV(RTData[[#This Row],[Company Name]],"High")</f>
        <v>28.855</v>
      </c>
      <c r="K24" s="20" cm="1">
        <f t="array" aca="1" ref="K24" ca="1">IFERROR(_FV(RTData[[#This Row],[Company Name]],"P/E",TRUE),99)</f>
        <v>10.2949</v>
      </c>
      <c r="L24" s="21" cm="1">
        <f t="array" aca="1" ref="L24" ca="1">_FV(RTData[[#This Row],[Company Name]],"Change")</f>
        <v>0.28000000000000003</v>
      </c>
      <c r="M24" s="22" cm="1">
        <f t="array" aca="1" ref="M24" ca="1">_FV(RTData[[#This Row],[Company Name]],"Change (%)",TRUE)</f>
        <v>9.9080000000000001E-3</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7375358</v>
      </c>
      <c r="Q24" s="23" cm="1">
        <f t="array" aca="1" ref="Q24" ca="1">_FV(RTData[[#This Row],[Company Name]],"Volume average",TRUE)</f>
        <v>9532183</v>
      </c>
      <c r="R24" s="19" cm="1">
        <f t="array" aca="1" ref="R24" ca="1">_FV(RTData[[#This Row],[Company Name]],"Beta")</f>
        <v>1.3061</v>
      </c>
      <c r="T24" t="s">
        <v>20</v>
      </c>
      <c r="U24" t="str" cm="1">
        <f t="array" aca="1" ref="U24" ca="1">_FV(RTData[[#This Row],[Company Name]],"Exchange abbreviation",TRUE)</f>
        <v>XNYS</v>
      </c>
      <c r="V24" s="24">
        <f ca="1">IFERROR(RTData[[#This Row],[Volume]]/RTData[[#This Row],[Volume average]],1)</f>
        <v>0.77373231294447453</v>
      </c>
      <c r="W24" s="24"/>
      <c r="X24" s="103">
        <f>[2]Sheet2!$E23</f>
        <v>27.968</v>
      </c>
      <c r="Y24" s="149">
        <f>[2]Sheet2!$F23</f>
        <v>45910</v>
      </c>
      <c r="Z24" s="149" t="str">
        <f>[2]Sheet2!$G23</f>
        <v>Nov 25, 2025</v>
      </c>
      <c r="AA24" s="150">
        <f>[2]Sheet2!$H23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1.1450818733539449E-2</v>
      </c>
      <c r="C25" s="25" t="e" vm="23">
        <v>#VALUE!</v>
      </c>
      <c r="D25" s="17" t="str" cm="1">
        <f t="array" aca="1" ref="D25" ca="1">_FV(RTData[[#This Row],[Company Name]],"Currency")</f>
        <v>GBp</v>
      </c>
      <c r="E25" s="18" cm="1">
        <f t="array" aca="1" ref="E25" ca="1">_FV(RTData[[#This Row],[Company Name]],"Last trade time",TRUE)</f>
        <v>45923.644570520315</v>
      </c>
      <c r="F25" s="26" cm="1">
        <f t="array" aca="1" ref="F25" ca="1">_FV(RTData[[#This Row],[Company Name]],"Previous close",TRUE)</f>
        <v>378.2</v>
      </c>
      <c r="G25" s="26" cm="1">
        <f t="array" aca="1" ref="G25" ca="1">_FV(RTData[[#This Row],[Company Name]],"Open")</f>
        <v>380</v>
      </c>
      <c r="H25" s="26" cm="1">
        <f t="array" aca="1" ref="H25" ca="1">_FV(RTData[[#This Row],[Company Name]],"Price")</f>
        <v>382</v>
      </c>
      <c r="I25" s="26" cm="1">
        <f t="array" aca="1" ref="I25" ca="1">_FV(RTData[[#This Row],[Company Name]],"Low")</f>
        <v>378.8</v>
      </c>
      <c r="J25" s="26" cm="1">
        <f t="array" aca="1" ref="J25" ca="1">_FV(RTData[[#This Row],[Company Name]],"High")</f>
        <v>384.1</v>
      </c>
      <c r="K25" s="20" cm="1">
        <f t="array" aca="1" ref="K25" ca="1">IFERROR(_FV(RTData[[#This Row],[Company Name]],"P/E",TRUE),99)</f>
        <v>6.8132000000000001</v>
      </c>
      <c r="L25" s="21" cm="1">
        <f t="array" aca="1" ref="L25" ca="1">_FV(RTData[[#This Row],[Company Name]],"Change")</f>
        <v>3.8</v>
      </c>
      <c r="M25" s="22" cm="1">
        <f t="array" aca="1" ref="M25" ca="1">_FV(RTData[[#This Row],[Company Name]],"Change (%)",TRUE)</f>
        <v>1.0048E-2</v>
      </c>
      <c r="N25" s="26" cm="1">
        <f t="array" aca="1" ref="N25" ca="1">_FV(RTData[[#This Row],[Company Name]],"52 week low",TRUE)</f>
        <v>187</v>
      </c>
      <c r="O25" s="26" cm="1">
        <f t="array" aca="1" ref="O25" ca="1">_FV(RTData[[#This Row],[Company Name]],"52 week high",TRUE)</f>
        <v>398.7</v>
      </c>
      <c r="P25" s="23" cm="1">
        <f t="array" aca="1" ref="P25" ca="1">_FV(RTData[[#This Row],[Company Name]],"Volume")</f>
        <v>8349550</v>
      </c>
      <c r="Q25" s="23" cm="1">
        <f t="array" aca="1" ref="Q25" ca="1">_FV(RTData[[#This Row],[Company Name]],"Volume average",TRUE)</f>
        <v>13205710</v>
      </c>
      <c r="R25" s="19" cm="1">
        <f t="array" aca="1" ref="R25" ca="1">_FV(RTData[[#This Row],[Company Name]],"Beta")</f>
        <v>2.8050999999999999</v>
      </c>
      <c r="T25" t="s">
        <v>20</v>
      </c>
      <c r="U25" t="str" cm="1">
        <f t="array" aca="1" ref="U25" ca="1">_FV(RTData[[#This Row],[Company Name]],"Exchange abbreviation",TRUE)</f>
        <v>XLON</v>
      </c>
      <c r="V25" s="24">
        <f ca="1">IFERROR(RTData[[#This Row],[Volume]]/RTData[[#This Row],[Volume average]],1)</f>
        <v>0.63226816278715803</v>
      </c>
      <c r="W25" s="24"/>
      <c r="X25" s="103">
        <f>[2]Sheet2!$E24</f>
        <v>435.83789999999999</v>
      </c>
      <c r="Y25" s="149">
        <f>[2]Sheet2!$F24</f>
        <v>45834</v>
      </c>
      <c r="Z25" s="149">
        <f>[2]Sheet2!$G24</f>
        <v>0</v>
      </c>
      <c r="AA25" s="150">
        <f>[2]Sheet2!$H24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0.84645336041984087</v>
      </c>
      <c r="C26" s="25" t="e" vm="24">
        <v>#VALUE!</v>
      </c>
      <c r="D26" s="17" t="str" cm="1">
        <f t="array" aca="1" ref="D26" ca="1">_FV(RTData[[#This Row],[Company Name]],"Currency")</f>
        <v>USD</v>
      </c>
      <c r="E26" s="18" cm="1">
        <f t="array" aca="1" ref="E26" ca="1">_FV(RTData[[#This Row],[Company Name]],"Last trade time",TRUE)</f>
        <v>45923.842108865625</v>
      </c>
      <c r="F26" s="19" cm="1">
        <f t="array" aca="1" ref="F26" ca="1">_FV(RTData[[#This Row],[Company Name]],"Previous close",TRUE)</f>
        <v>64.52</v>
      </c>
      <c r="G26" s="19" cm="1">
        <f t="array" aca="1" ref="G26" ca="1">_FV(RTData[[#This Row],[Company Name]],"Open")</f>
        <v>64.459999999999994</v>
      </c>
      <c r="H26" s="19" cm="1">
        <f t="array" aca="1" ref="H26" ca="1">_FV(RTData[[#This Row],[Company Name]],"Price")</f>
        <v>65.37</v>
      </c>
      <c r="I26" s="19" cm="1">
        <f t="array" aca="1" ref="I26" ca="1">_FV(RTData[[#This Row],[Company Name]],"Low")</f>
        <v>64.37</v>
      </c>
      <c r="J26" s="19" cm="1">
        <f t="array" aca="1" ref="J26" ca="1">_FV(RTData[[#This Row],[Company Name]],"High")</f>
        <v>65.47</v>
      </c>
      <c r="K26" s="20" cm="1">
        <f t="array" aca="1" ref="K26" ca="1">IFERROR(_FV(RTData[[#This Row],[Company Name]],"P/E",TRUE),99)</f>
        <v>16.345700000000001</v>
      </c>
      <c r="L26" s="21" cm="1">
        <f t="array" aca="1" ref="L26" ca="1">_FV(RTData[[#This Row],[Company Name]],"Change")</f>
        <v>0.85</v>
      </c>
      <c r="M26" s="22" cm="1">
        <f t="array" aca="1" ref="M26" ca="1">_FV(RTData[[#This Row],[Company Name]],"Change (%)",TRUE)</f>
        <v>1.3173999999999998E-2</v>
      </c>
      <c r="N26" s="19" cm="1">
        <f t="array" aca="1" ref="N26" ca="1">_FV(RTData[[#This Row],[Company Name]],"52 week low",TRUE)</f>
        <v>54.88</v>
      </c>
      <c r="O26" s="19" cm="1">
        <f t="array" aca="1" ref="O26" ca="1">_FV(RTData[[#This Row],[Company Name]],"52 week high",TRUE)</f>
        <v>74.900000000000006</v>
      </c>
      <c r="P26" s="23" cm="1">
        <f t="array" aca="1" ref="P26" ca="1">_FV(RTData[[#This Row],[Company Name]],"Volume")</f>
        <v>6150196</v>
      </c>
      <c r="Q26" s="23" cm="1">
        <f t="array" aca="1" ref="Q26" ca="1">_FV(RTData[[#This Row],[Company Name]],"Volume average",TRUE)</f>
        <v>8072910</v>
      </c>
      <c r="R26" s="19" cm="1">
        <f t="array" aca="1" ref="R26" ca="1">_FV(RTData[[#This Row],[Company Name]],"Beta")</f>
        <v>0.55800000000000005</v>
      </c>
      <c r="T26" t="s">
        <v>20</v>
      </c>
      <c r="U26" t="str" cm="1">
        <f t="array" aca="1" ref="U26" ca="1">_FV(RTData[[#This Row],[Company Name]],"Exchange abbreviation",TRUE)</f>
        <v>XNYS</v>
      </c>
      <c r="V26" s="24">
        <f ca="1">IFERROR(RTData[[#This Row],[Volume]]/RTData[[#This Row],[Volume average]],1)</f>
        <v>0.76183135944783231</v>
      </c>
      <c r="W26" s="24"/>
      <c r="X26" s="103">
        <f>[2]Sheet2!$E25</f>
        <v>75.727270000000004</v>
      </c>
      <c r="Y26" s="149">
        <f>[2]Sheet2!$F25</f>
        <v>45884</v>
      </c>
      <c r="Z26" s="149" t="str">
        <f>[2]Sheet2!$G25</f>
        <v>Sep 10, 2025 - Sep 15, 2025</v>
      </c>
      <c r="AA26" s="150">
        <f>[2]Sheet2!$H25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0.84645336041984087</v>
      </c>
      <c r="C27" s="25" t="e" vm="25">
        <v>#VALUE!</v>
      </c>
      <c r="D27" s="17" t="str" cm="1">
        <f t="array" aca="1" ref="D27" ca="1">_FV(RTData[[#This Row],[Company Name]],"Currency")</f>
        <v>USD</v>
      </c>
      <c r="E27" s="18" cm="1">
        <f t="array" aca="1" ref="E27" ca="1">_FV(RTData[[#This Row],[Company Name]],"Last trade time",TRUE)</f>
        <v>45923.843372534378</v>
      </c>
      <c r="F27" s="19" cm="1">
        <f t="array" aca="1" ref="F27" ca="1">_FV(RTData[[#This Row],[Company Name]],"Previous close",TRUE)</f>
        <v>12.71</v>
      </c>
      <c r="G27" s="19" cm="1">
        <f t="array" aca="1" ref="G27" ca="1">_FV(RTData[[#This Row],[Company Name]],"Open")</f>
        <v>12.65</v>
      </c>
      <c r="H27" s="19" cm="1">
        <f t="array" aca="1" ref="H27" ca="1">_FV(RTData[[#This Row],[Company Name]],"Price")</f>
        <v>12.43</v>
      </c>
      <c r="I27" s="19" cm="1">
        <f t="array" aca="1" ref="I27" ca="1">_FV(RTData[[#This Row],[Company Name]],"Low")</f>
        <v>12.38</v>
      </c>
      <c r="J27" s="19" cm="1">
        <f t="array" aca="1" ref="J27" ca="1">_FV(RTData[[#This Row],[Company Name]],"High")</f>
        <v>12.65</v>
      </c>
      <c r="K27" s="20" cm="1">
        <f t="array" aca="1" ref="K27" ca="1">IFERROR(_FV(RTData[[#This Row],[Company Name]],"P/E",TRUE),99)</f>
        <v>0</v>
      </c>
      <c r="L27" s="21" cm="1">
        <f t="array" aca="1" ref="L27" ca="1">_FV(RTData[[#This Row],[Company Name]],"Change")</f>
        <v>-0.28000000000000003</v>
      </c>
      <c r="M27" s="22" cm="1">
        <f t="array" aca="1" ref="M27" ca="1">_FV(RTData[[#This Row],[Company Name]],"Change (%)",TRUE)</f>
        <v>-2.2029999999999998E-2</v>
      </c>
      <c r="N27" s="19" cm="1">
        <f t="array" aca="1" ref="N27" ca="1">_FV(RTData[[#This Row],[Company Name]],"52 week low",TRUE)</f>
        <v>4.2</v>
      </c>
      <c r="O27" s="19" cm="1">
        <f t="array" aca="1" ref="O27" ca="1">_FV(RTData[[#This Row],[Company Name]],"52 week high",TRUE)</f>
        <v>17.309999999999999</v>
      </c>
      <c r="P27" s="23" cm="1">
        <f t="array" aca="1" ref="P27" ca="1">_FV(RTData[[#This Row],[Company Name]],"Volume")</f>
        <v>28736</v>
      </c>
      <c r="Q27" s="23" cm="1">
        <f t="array" aca="1" ref="Q27" ca="1">_FV(RTData[[#This Row],[Company Name]],"Volume average",TRUE)</f>
        <v>67783</v>
      </c>
      <c r="R27" s="19" cm="1">
        <f t="array" aca="1" ref="R27" ca="1">_FV(RTData[[#This Row],[Company Name]],"Beta")</f>
        <v>0.49519999999999997</v>
      </c>
      <c r="T27" t="s">
        <v>20</v>
      </c>
      <c r="U27" t="str" cm="1">
        <f t="array" aca="1" ref="U27" ca="1">_FV(RTData[[#This Row],[Company Name]],"Exchange abbreviation",TRUE)</f>
        <v>XNAS</v>
      </c>
      <c r="V27" s="24">
        <f ca="1">IFERROR(RTData[[#This Row],[Volume]]/RTData[[#This Row],[Volume average]],1)</f>
        <v>0.42394110617706504</v>
      </c>
      <c r="W27" s="24"/>
      <c r="X27" s="103">
        <f>[2]Sheet2!$E26</f>
        <v>15</v>
      </c>
      <c r="Y27" s="149">
        <f>[2]Sheet2!$F26</f>
        <v>0</v>
      </c>
      <c r="Z27" s="149" t="str">
        <f>[2]Sheet2!$G26</f>
        <v>Nov 6, 2025</v>
      </c>
      <c r="AA27" s="150">
        <f>[2]Sheet2!$H26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0.84645336041984087</v>
      </c>
      <c r="C28" s="25" t="e" vm="26">
        <v>#VALUE!</v>
      </c>
      <c r="D28" s="17" t="str" cm="1">
        <f t="array" aca="1" ref="D28" ca="1">_FV(RTData[[#This Row],[Company Name]],"Currency")</f>
        <v>USD</v>
      </c>
      <c r="E28" s="18" cm="1">
        <f t="array" aca="1" ref="E28" ca="1">_FV(RTData[[#This Row],[Company Name]],"Last trade time",TRUE)</f>
        <v>45923.844536793753</v>
      </c>
      <c r="F28" s="19" cm="1">
        <f t="array" aca="1" ref="F28" ca="1">_FV(RTData[[#This Row],[Company Name]],"Previous close",TRUE)</f>
        <v>6.22</v>
      </c>
      <c r="G28" s="19" cm="1">
        <f t="array" aca="1" ref="G28" ca="1">_FV(RTData[[#This Row],[Company Name]],"Open")</f>
        <v>6.22</v>
      </c>
      <c r="H28" s="19" cm="1">
        <f t="array" aca="1" ref="H28" ca="1">_FV(RTData[[#This Row],[Company Name]],"Price")</f>
        <v>5.8049999999999997</v>
      </c>
      <c r="I28" s="19" cm="1">
        <f t="array" aca="1" ref="I28" ca="1">_FV(RTData[[#This Row],[Company Name]],"Low")</f>
        <v>5.77</v>
      </c>
      <c r="J28" s="19" cm="1">
        <f t="array" aca="1" ref="J28" ca="1">_FV(RTData[[#This Row],[Company Name]],"High")</f>
        <v>6.3949999999999996</v>
      </c>
      <c r="K28" s="20" cm="1">
        <f t="array" ref="K28">IFERROR(_FV(RTData[[#This Row],[Company Name]],"P/E",TRUE),99)</f>
        <v>99</v>
      </c>
      <c r="L28" s="21" cm="1">
        <f t="array" aca="1" ref="L28" ca="1">_FV(RTData[[#This Row],[Company Name]],"Change")</f>
        <v>-0.41499999999999998</v>
      </c>
      <c r="M28" s="22" cm="1">
        <f t="array" aca="1" ref="M28" ca="1">_FV(RTData[[#This Row],[Company Name]],"Change (%)",TRUE)</f>
        <v>-6.6720000000000002E-2</v>
      </c>
      <c r="N28" s="19" cm="1">
        <f t="array" aca="1" ref="N28" ca="1">_FV(RTData[[#This Row],[Company Name]],"52 week low",TRUE)</f>
        <v>3.01</v>
      </c>
      <c r="O28" s="19" cm="1">
        <f t="array" aca="1" ref="O28" ca="1">_FV(RTData[[#This Row],[Company Name]],"52 week high",TRUE)</f>
        <v>10.33</v>
      </c>
      <c r="P28" s="23" cm="1">
        <f t="array" aca="1" ref="P28" ca="1">_FV(RTData[[#This Row],[Company Name]],"Volume")</f>
        <v>25842930</v>
      </c>
      <c r="Q28" s="23" cm="1">
        <f t="array" aca="1" ref="Q28" ca="1">_FV(RTData[[#This Row],[Company Name]],"Volume average",TRUE)</f>
        <v>18340775</v>
      </c>
      <c r="R28" s="19" cm="1">
        <f t="array" aca="1" ref="R28" ca="1">_FV(RTData[[#This Row],[Company Name]],"Beta")</f>
        <v>1.4421999999999999</v>
      </c>
      <c r="T28" t="s">
        <v>20</v>
      </c>
      <c r="U28" t="str" cm="1">
        <f t="array" aca="1" ref="U28" ca="1">_FV(RTData[[#This Row],[Company Name]],"Exchange abbreviation",TRUE)</f>
        <v>XNYS</v>
      </c>
      <c r="V28" s="24">
        <f ca="1">IFERROR(RTData[[#This Row],[Volume]]/RTData[[#This Row],[Volume average]],1)</f>
        <v>1.4090424205084027</v>
      </c>
      <c r="W28" s="24"/>
      <c r="X28" s="103">
        <f>[2]Sheet2!$E27</f>
        <v>5.06182</v>
      </c>
      <c r="Y28" s="149">
        <f>[2]Sheet2!$F27</f>
        <v>44802</v>
      </c>
      <c r="Z28" s="149" t="str">
        <f>[2]Sheet2!$G27</f>
        <v>Jul 31, 2025</v>
      </c>
      <c r="AA28" s="150">
        <f>[2]Sheet2!$H27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0.84645336041984087</v>
      </c>
      <c r="C29" s="25" t="e" vm="27">
        <v>#VALUE!</v>
      </c>
      <c r="D29" s="17" t="str" cm="1">
        <f t="array" aca="1" ref="D29" ca="1">_FV(RTData[[#This Row],[Company Name]],"Currency")</f>
        <v>USD</v>
      </c>
      <c r="E29" s="18" cm="1">
        <f t="array" aca="1" ref="E29" ca="1">_FV(RTData[[#This Row],[Company Name]],"Last trade time",TRUE)</f>
        <v>45923.845467303123</v>
      </c>
      <c r="F29" s="19" cm="1">
        <f t="array" aca="1" ref="F29" ca="1">_FV(RTData[[#This Row],[Company Name]],"Previous close",TRUE)</f>
        <v>26.56</v>
      </c>
      <c r="G29" s="19" cm="1">
        <f t="array" aca="1" ref="G29" ca="1">_FV(RTData[[#This Row],[Company Name]],"Open")</f>
        <v>26.72</v>
      </c>
      <c r="H29" s="19" cm="1">
        <f t="array" aca="1" ref="H29" ca="1">_FV(RTData[[#This Row],[Company Name]],"Price")</f>
        <v>25.79</v>
      </c>
      <c r="I29" s="19" cm="1">
        <f t="array" aca="1" ref="I29" ca="1">_FV(RTData[[#This Row],[Company Name]],"Low")</f>
        <v>25.66</v>
      </c>
      <c r="J29" s="19" cm="1">
        <f t="array" aca="1" ref="J29" ca="1">_FV(RTData[[#This Row],[Company Name]],"High")</f>
        <v>26.97</v>
      </c>
      <c r="K29" s="20" cm="1">
        <f t="array" aca="1" ref="K29" ca="1">IFERROR(_FV(RTData[[#This Row],[Company Name]],"P/E",TRUE),99)</f>
        <v>0</v>
      </c>
      <c r="L29" s="21" cm="1">
        <f t="array" aca="1" ref="L29" ca="1">_FV(RTData[[#This Row],[Company Name]],"Change")</f>
        <v>-0.77</v>
      </c>
      <c r="M29" s="22" cm="1">
        <f t="array" aca="1" ref="M29" ca="1">_FV(RTData[[#This Row],[Company Name]],"Change (%)",TRUE)</f>
        <v>-2.8990999999999999E-2</v>
      </c>
      <c r="N29" s="19" cm="1">
        <f t="array" aca="1" ref="N29" ca="1">_FV(RTData[[#This Row],[Company Name]],"52 week low",TRUE)</f>
        <v>23.15</v>
      </c>
      <c r="O29" s="19" cm="1">
        <f t="array" aca="1" ref="O29" ca="1">_FV(RTData[[#This Row],[Company Name]],"52 week high",TRUE)</f>
        <v>67.959800000000001</v>
      </c>
      <c r="P29" s="23" cm="1">
        <f t="array" aca="1" ref="P29" ca="1">_FV(RTData[[#This Row],[Company Name]],"Volume")</f>
        <v>8908025</v>
      </c>
      <c r="Q29" s="23" cm="1">
        <f t="array" aca="1" ref="Q29" ca="1">_FV(RTData[[#This Row],[Company Name]],"Volume average",TRUE)</f>
        <v>12104688</v>
      </c>
      <c r="R29" s="19" cm="1">
        <f t="array" aca="1" ref="R29" ca="1">_FV(RTData[[#This Row],[Company Name]],"Beta")</f>
        <v>2.0125000000000002</v>
      </c>
      <c r="T29" t="s">
        <v>20</v>
      </c>
      <c r="U29" t="str" cm="1">
        <f t="array" aca="1" ref="U29" ca="1">_FV(RTData[[#This Row],[Company Name]],"Exchange abbreviation",TRUE)</f>
        <v>XNAS</v>
      </c>
      <c r="V29" s="24">
        <f ca="1">IFERROR(RTData[[#This Row],[Volume]]/RTData[[#This Row],[Volume average]],1)</f>
        <v>0.7359152916622056</v>
      </c>
      <c r="W29" s="24"/>
      <c r="X29" s="103">
        <f>[2]Sheet2!$E28</f>
        <v>44.25</v>
      </c>
      <c r="Y29" s="149">
        <f>[2]Sheet2!$F28</f>
        <v>0</v>
      </c>
      <c r="Z29" s="149" t="str">
        <f>[2]Sheet2!$G28</f>
        <v>Aug 1, 2025</v>
      </c>
      <c r="AA29" s="150">
        <f>[2]Sheet2!$H28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0.84645336041984087</v>
      </c>
      <c r="C30" s="25" t="e" vm="28">
        <v>#VALUE!</v>
      </c>
      <c r="D30" s="17" t="str" cm="1">
        <f t="array" aca="1" ref="D30" ca="1">_FV(RTData[[#This Row],[Company Name]],"Currency")</f>
        <v>USD</v>
      </c>
      <c r="E30" s="18" cm="1">
        <f t="array" aca="1" ref="E30" ca="1">_FV(RTData[[#This Row],[Company Name]],"Last trade time",TRUE)</f>
        <v>45923.845625462498</v>
      </c>
      <c r="F30" s="19" cm="1">
        <f t="array" aca="1" ref="F30" ca="1">_FV(RTData[[#This Row],[Company Name]],"Previous close",TRUE)</f>
        <v>514.45000000000005</v>
      </c>
      <c r="G30" s="19" cm="1">
        <f t="array" aca="1" ref="G30" ca="1">_FV(RTData[[#This Row],[Company Name]],"Open")</f>
        <v>513.79999999999995</v>
      </c>
      <c r="H30" s="19" cm="1">
        <f t="array" aca="1" ref="H30" ca="1">_FV(RTData[[#This Row],[Company Name]],"Price")</f>
        <v>509.23</v>
      </c>
      <c r="I30" s="19" cm="1">
        <f t="array" aca="1" ref="I30" ca="1">_FV(RTData[[#This Row],[Company Name]],"Low")</f>
        <v>507.31</v>
      </c>
      <c r="J30" s="19" cm="1">
        <f t="array" aca="1" ref="J30" ca="1">_FV(RTData[[#This Row],[Company Name]],"High")</f>
        <v>514.58989999999994</v>
      </c>
      <c r="K30" s="20" cm="1">
        <f t="array" aca="1" ref="K30" ca="1">IFERROR(_FV(RTData[[#This Row],[Company Name]],"P/E",TRUE),99)</f>
        <v>37.713299999999997</v>
      </c>
      <c r="L30" s="21" cm="1">
        <f t="array" aca="1" ref="L30" ca="1">_FV(RTData[[#This Row],[Company Name]],"Change")</f>
        <v>-5.22</v>
      </c>
      <c r="M30" s="22" cm="1">
        <f t="array" aca="1" ref="M30" ca="1">_FV(RTData[[#This Row],[Company Name]],"Change (%)",TRUE)</f>
        <v>-1.0147E-2</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18978331</v>
      </c>
      <c r="Q30" s="23" cm="1">
        <f t="array" aca="1" ref="Q30" ca="1">_FV(RTData[[#This Row],[Company Name]],"Volume average",TRUE)</f>
        <v>21832322</v>
      </c>
      <c r="R30" s="19" cm="1">
        <f t="array" aca="1" ref="R30" ca="1">_FV(RTData[[#This Row],[Company Name]],"Beta")</f>
        <v>1.0221</v>
      </c>
      <c r="T30" t="s">
        <v>20</v>
      </c>
      <c r="U30" t="str" cm="1">
        <f t="array" aca="1" ref="U30" ca="1">_FV(RTData[[#This Row],[Company Name]],"Exchange abbreviation",TRUE)</f>
        <v>XNAS</v>
      </c>
      <c r="V30" s="24">
        <f ca="1">IFERROR(RTData[[#This Row],[Volume]]/RTData[[#This Row],[Volume average]],1)</f>
        <v>0.86927679978336703</v>
      </c>
      <c r="W30" s="24"/>
      <c r="X30" s="103">
        <f>[2]Sheet2!$E29</f>
        <v>613.89160000000004</v>
      </c>
      <c r="Y30" s="149">
        <f>[2]Sheet2!$F29</f>
        <v>45890</v>
      </c>
      <c r="Z30" s="149" t="str">
        <f>[2]Sheet2!$G29</f>
        <v>Oct 29, 2025</v>
      </c>
      <c r="AA30" s="150">
        <f>[2]Sheet2!$H29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0.84645336041984087</v>
      </c>
      <c r="C31" s="25" t="e" vm="29">
        <v>#VALUE!</v>
      </c>
      <c r="D31" s="17" t="str" cm="1">
        <f t="array" aca="1" ref="D31" ca="1">_FV(RTData[[#This Row],[Company Name]],"Currency")</f>
        <v>USD</v>
      </c>
      <c r="E31" s="18" cm="1">
        <f t="array" aca="1" ref="E31" ca="1">_FV(RTData[[#This Row],[Company Name]],"Last trade time",TRUE)</f>
        <v>45923.844197094528</v>
      </c>
      <c r="F31" s="19" cm="1">
        <f t="array" aca="1" ref="F31" ca="1">_FV(RTData[[#This Row],[Company Name]],"Previous close",TRUE)</f>
        <v>72.349999999999994</v>
      </c>
      <c r="G31" s="19" cm="1">
        <f t="array" aca="1" ref="G31" ca="1">_FV(RTData[[#This Row],[Company Name]],"Open")</f>
        <v>72.099999999999994</v>
      </c>
      <c r="H31" s="19" cm="1">
        <f t="array" aca="1" ref="H31" ca="1">_FV(RTData[[#This Row],[Company Name]],"Price")</f>
        <v>72.319999999999993</v>
      </c>
      <c r="I31" s="19" cm="1">
        <f t="array" aca="1" ref="I31" ca="1">_FV(RTData[[#This Row],[Company Name]],"Low")</f>
        <v>71.724999999999994</v>
      </c>
      <c r="J31" s="19" cm="1">
        <f t="array" aca="1" ref="J31" ca="1">_FV(RTData[[#This Row],[Company Name]],"High")</f>
        <v>72.62</v>
      </c>
      <c r="K31" s="20" cm="1">
        <f t="array" aca="1" ref="K31" ca="1">IFERROR(_FV(RTData[[#This Row],[Company Name]],"P/E",TRUE),99)</f>
        <v>27.058499999999999</v>
      </c>
      <c r="L31" s="21" cm="1">
        <f t="array" aca="1" ref="L31" ca="1">_FV(RTData[[#This Row],[Company Name]],"Change")</f>
        <v>-0.03</v>
      </c>
      <c r="M31" s="22" cm="1">
        <f t="array" aca="1" ref="M31" ca="1">_FV(RTData[[#This Row],[Company Name]],"Change (%)",TRUE)</f>
        <v>-4.147E-4</v>
      </c>
      <c r="N31" s="19" cm="1">
        <f t="array" aca="1" ref="N31" ca="1">_FV(RTData[[#This Row],[Company Name]],"52 week low",TRUE)</f>
        <v>61.72</v>
      </c>
      <c r="O31" s="19" cm="1">
        <f t="array" aca="1" ref="O31" ca="1">_FV(RTData[[#This Row],[Company Name]],"52 week high",TRUE)</f>
        <v>86.1</v>
      </c>
      <c r="P31" s="23" cm="1">
        <f t="array" aca="1" ref="P31" ca="1">_FV(RTData[[#This Row],[Company Name]],"Volume")</f>
        <v>6684973</v>
      </c>
      <c r="Q31" s="23" cm="1">
        <f t="array" aca="1" ref="Q31" ca="1">_FV(RTData[[#This Row],[Company Name]],"Volume average",TRUE)</f>
        <v>9938499</v>
      </c>
      <c r="R31" s="19" cm="1">
        <f t="array" aca="1" ref="R31" ca="1">_FV(RTData[[#This Row],[Company Name]],"Beta")</f>
        <v>0.64419999999999999</v>
      </c>
      <c r="T31" t="s">
        <v>20</v>
      </c>
      <c r="U31" t="str" cm="1">
        <f t="array" aca="1" ref="U31" ca="1">_FV(RTData[[#This Row],[Company Name]],"Exchange abbreviation",TRUE)</f>
        <v>XNYS</v>
      </c>
      <c r="V31" s="24">
        <f ca="1">IFERROR(RTData[[#This Row],[Volume]]/RTData[[#This Row],[Volume average]],1)</f>
        <v>0.67263406677406723</v>
      </c>
      <c r="W31" s="24"/>
      <c r="X31" s="103">
        <f>[2]Sheet2!$E30</f>
        <v>82.294120000000007</v>
      </c>
      <c r="Y31" s="149">
        <f>[2]Sheet2!$F30</f>
        <v>45897</v>
      </c>
      <c r="Z31" s="149" t="str">
        <f>[2]Sheet2!$G30</f>
        <v>Oct 23, 2025</v>
      </c>
      <c r="AA31" s="150">
        <f>[2]Sheet2!$H30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0.84645336041984087</v>
      </c>
      <c r="C32" s="25" t="e" vm="30">
        <v>#VALUE!</v>
      </c>
      <c r="D32" s="17" t="str" cm="1">
        <f t="array" aca="1" ref="D32" ca="1">_FV(RTData[[#This Row],[Company Name]],"Currency")</f>
        <v>USD</v>
      </c>
      <c r="E32" s="18" cm="1">
        <f t="array" aca="1" ref="E32" ca="1">_FV(RTData[[#This Row],[Company Name]],"Last trade time",TRUE)</f>
        <v>45923.844569224217</v>
      </c>
      <c r="F32" s="19" cm="1">
        <f t="array" aca="1" ref="F32" ca="1">_FV(RTData[[#This Row],[Company Name]],"Previous close",TRUE)</f>
        <v>83.72</v>
      </c>
      <c r="G32" s="19" cm="1">
        <f t="array" aca="1" ref="G32" ca="1">_FV(RTData[[#This Row],[Company Name]],"Open")</f>
        <v>84.704999999999998</v>
      </c>
      <c r="H32" s="19" cm="1">
        <f t="array" aca="1" ref="H32" ca="1">_FV(RTData[[#This Row],[Company Name]],"Price")</f>
        <v>84.69</v>
      </c>
      <c r="I32" s="19" cm="1">
        <f t="array" aca="1" ref="I32" ca="1">_FV(RTData[[#This Row],[Company Name]],"Low")</f>
        <v>83.98</v>
      </c>
      <c r="J32" s="19" cm="1">
        <f t="array" aca="1" ref="J32" ca="1">_FV(RTData[[#This Row],[Company Name]],"High")</f>
        <v>86.62</v>
      </c>
      <c r="K32" s="20" cm="1">
        <f t="array" aca="1" ref="K32" ca="1">IFERROR(_FV(RTData[[#This Row],[Company Name]],"P/E",TRUE),99)</f>
        <v>15.1534</v>
      </c>
      <c r="L32" s="21" cm="1">
        <f t="array" aca="1" ref="L32" ca="1">_FV(RTData[[#This Row],[Company Name]],"Change")</f>
        <v>0.97</v>
      </c>
      <c r="M32" s="22" cm="1">
        <f t="array" aca="1" ref="M32" ca="1">_FV(RTData[[#This Row],[Company Name]],"Change (%)",TRUE)</f>
        <v>1.1586000000000001E-2</v>
      </c>
      <c r="N32" s="19" cm="1">
        <f t="array" aca="1" ref="N32" ca="1">_FV(RTData[[#This Row],[Company Name]],"52 week low",TRUE)</f>
        <v>36.86</v>
      </c>
      <c r="O32" s="19" cm="1">
        <f t="array" aca="1" ref="O32" ca="1">_FV(RTData[[#This Row],[Company Name]],"52 week high",TRUE)</f>
        <v>86.62</v>
      </c>
      <c r="P32" s="23" cm="1">
        <f t="array" aca="1" ref="P32" ca="1">_FV(RTData[[#This Row],[Company Name]],"Volume")</f>
        <v>17471611</v>
      </c>
      <c r="Q32" s="23" cm="1">
        <f t="array" aca="1" ref="Q32" ca="1">_FV(RTData[[#This Row],[Company Name]],"Volume average",TRUE)</f>
        <v>10884599</v>
      </c>
      <c r="R32" s="19" cm="1">
        <f t="array" aca="1" ref="R32" ca="1">_FV(RTData[[#This Row],[Company Name]],"Beta")</f>
        <v>0.3553</v>
      </c>
      <c r="T32" t="s">
        <v>20</v>
      </c>
      <c r="U32" t="str" cm="1">
        <f t="array" aca="1" ref="U32" ca="1">_FV(RTData[[#This Row],[Company Name]],"Exchange abbreviation",TRUE)</f>
        <v>XNYS</v>
      </c>
      <c r="V32" s="24">
        <f ca="1">IFERROR(RTData[[#This Row],[Volume]]/RTData[[#This Row],[Volume average]],1)</f>
        <v>1.6051680911717556</v>
      </c>
      <c r="W32" s="24"/>
      <c r="X32" s="103">
        <f>[2]Sheet2!$E31</f>
        <v>73.224739999999997</v>
      </c>
      <c r="Y32" s="149">
        <f>[2]Sheet2!$F31</f>
        <v>45904</v>
      </c>
      <c r="Z32" s="149" t="str">
        <f>[2]Sheet2!$G31</f>
        <v>Oct 22, 2025</v>
      </c>
      <c r="AA32" s="150">
        <f>[2]Sheet2!$H31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0.84645336041984087</v>
      </c>
      <c r="C33" s="25" t="e" vm="31">
        <v>#VALUE!</v>
      </c>
      <c r="D33" s="17" t="str" cm="1">
        <f t="array" aca="1" ref="D33" ca="1">_FV(RTData[[#This Row],[Company Name]],"Currency")</f>
        <v>USD</v>
      </c>
      <c r="E33" s="18" cm="1">
        <f t="array" aca="1" ref="E33" ca="1">_FV(RTData[[#This Row],[Company Name]],"Last trade time",TRUE)</f>
        <v>45923.845456365627</v>
      </c>
      <c r="F33" s="19" cm="1">
        <f t="array" aca="1" ref="F33" ca="1">_FV(RTData[[#This Row],[Company Name]],"Previous close",TRUE)</f>
        <v>1227.3699999999999</v>
      </c>
      <c r="G33" s="19" cm="1">
        <f t="array" aca="1" ref="G33" ca="1">_FV(RTData[[#This Row],[Company Name]],"Open")</f>
        <v>1227.33</v>
      </c>
      <c r="H33" s="19" cm="1">
        <f t="array" aca="1" ref="H33" ca="1">_FV(RTData[[#This Row],[Company Name]],"Price")</f>
        <v>1218.47</v>
      </c>
      <c r="I33" s="19" cm="1">
        <f t="array" aca="1" ref="I33" ca="1">_FV(RTData[[#This Row],[Company Name]],"Low")</f>
        <v>1208.47</v>
      </c>
      <c r="J33" s="19" cm="1">
        <f t="array" aca="1" ref="J33" ca="1">_FV(RTData[[#This Row],[Company Name]],"High")</f>
        <v>1227.79</v>
      </c>
      <c r="K33" s="20" cm="1">
        <f t="array" aca="1" ref="K33" ca="1">IFERROR(_FV(RTData[[#This Row],[Company Name]],"P/E",TRUE),99)</f>
        <v>52.301299999999998</v>
      </c>
      <c r="L33" s="21" cm="1">
        <f t="array" aca="1" ref="L33" ca="1">_FV(RTData[[#This Row],[Company Name]],"Change")</f>
        <v>-8.9</v>
      </c>
      <c r="M33" s="22" cm="1">
        <f t="array" aca="1" ref="M33" ca="1">_FV(RTData[[#This Row],[Company Name]],"Change (%)",TRUE)</f>
        <v>-7.2509999999999996E-3</v>
      </c>
      <c r="N33" s="19" cm="1">
        <f t="array" aca="1" ref="N33" ca="1">_FV(RTData[[#This Row],[Company Name]],"52 week low",TRUE)</f>
        <v>677.88</v>
      </c>
      <c r="O33" s="19" cm="1">
        <f t="array" aca="1" ref="O33" ca="1">_FV(RTData[[#This Row],[Company Name]],"52 week high",TRUE)</f>
        <v>1341.15</v>
      </c>
      <c r="P33" s="23" cm="1">
        <f t="array" aca="1" ref="P33" ca="1">_FV(RTData[[#This Row],[Company Name]],"Volume")</f>
        <v>2349858</v>
      </c>
      <c r="Q33" s="23" cm="1">
        <f t="array" aca="1" ref="Q33" ca="1">_FV(RTData[[#This Row],[Company Name]],"Volume average",TRUE)</f>
        <v>2838765</v>
      </c>
      <c r="R33" s="19" cm="1">
        <f t="array" aca="1" ref="R33" ca="1">_FV(RTData[[#This Row],[Company Name]],"Beta")</f>
        <v>1.597</v>
      </c>
      <c r="T33" t="s">
        <v>20</v>
      </c>
      <c r="U33" t="str" cm="1">
        <f t="array" aca="1" ref="U33" ca="1">_FV(RTData[[#This Row],[Company Name]],"Exchange abbreviation",TRUE)</f>
        <v>XNAS</v>
      </c>
      <c r="V33" s="24">
        <f ca="1">IFERROR(RTData[[#This Row],[Volume]]/RTData[[#This Row],[Volume average]],1)</f>
        <v>0.82777475416246149</v>
      </c>
      <c r="W33" s="24"/>
      <c r="X33" s="103">
        <f>[2]Sheet2!$E32</f>
        <v>1350.316</v>
      </c>
      <c r="Y33" s="149">
        <f>[2]Sheet2!$F32</f>
        <v>0</v>
      </c>
      <c r="Z33" s="149" t="str">
        <f>[2]Sheet2!$G32</f>
        <v>Oct 16, 2025</v>
      </c>
      <c r="AA33" s="150">
        <f>[2]Sheet2!$H32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0.84645336041984087</v>
      </c>
      <c r="C34" s="16" t="e" vm="32">
        <v>#VALUE!</v>
      </c>
      <c r="D34" s="17" t="str" cm="1">
        <f t="array" aca="1" ref="D34" ca="1">_FV(RTData[[#This Row],[Company Name]],"Currency")</f>
        <v>USD</v>
      </c>
      <c r="E34" s="18" cm="1">
        <f t="array" aca="1" ref="E34" ca="1">_FV(RTData[[#This Row],[Company Name]],"Last trade time",TRUE)</f>
        <v>45923.840838750002</v>
      </c>
      <c r="F34" s="19" cm="1">
        <f t="array" aca="1" ref="F34" ca="1">_FV(RTData[[#This Row],[Company Name]],"Previous close",TRUE)</f>
        <v>5.09</v>
      </c>
      <c r="G34" s="19" cm="1">
        <f t="array" aca="1" ref="G34" ca="1">_FV(RTData[[#This Row],[Company Name]],"Open")</f>
        <v>5.22</v>
      </c>
      <c r="H34" s="19" cm="1">
        <f t="array" aca="1" ref="H34" ca="1">_FV(RTData[[#This Row],[Company Name]],"Price")</f>
        <v>4.9450000000000003</v>
      </c>
      <c r="I34" s="19" cm="1">
        <f t="array" aca="1" ref="I34" ca="1">_FV(RTData[[#This Row],[Company Name]],"Low")</f>
        <v>4.8499999999999996</v>
      </c>
      <c r="J34" s="19" cm="1">
        <f t="array" aca="1" ref="J34" ca="1">_FV(RTData[[#This Row],[Company Name]],"High")</f>
        <v>5.22</v>
      </c>
      <c r="K34" s="20" cm="1">
        <f t="array" ref="K34">IFERROR(_FV(RTData[[#This Row],[Company Name]],"P/E",TRUE),99)</f>
        <v>99</v>
      </c>
      <c r="L34" s="21" cm="1">
        <f t="array" aca="1" ref="L34" ca="1">_FV(RTData[[#This Row],[Company Name]],"Change")</f>
        <v>-0.14499999999999999</v>
      </c>
      <c r="M34" s="22" cm="1">
        <f t="array" aca="1" ref="M34" ca="1">_FV(RTData[[#This Row],[Company Name]],"Change (%)",TRUE)</f>
        <v>-2.8486999999999998E-2</v>
      </c>
      <c r="N34" s="19" cm="1">
        <f t="array" aca="1" ref="N34" ca="1">_FV(RTData[[#This Row],[Company Name]],"52 week low",TRUE)</f>
        <v>3.8</v>
      </c>
      <c r="O34" s="19" cm="1">
        <f t="array" aca="1" ref="O34" ca="1">_FV(RTData[[#This Row],[Company Name]],"52 week high",TRUE)</f>
        <v>24.36</v>
      </c>
      <c r="P34" s="23" cm="1">
        <f t="array" aca="1" ref="P34" ca="1">_FV(RTData[[#This Row],[Company Name]],"Volume")</f>
        <v>372677</v>
      </c>
      <c r="Q34" s="23" cm="1">
        <f t="array" aca="1" ref="Q34" ca="1">_FV(RTData[[#This Row],[Company Name]],"Volume average",TRUE)</f>
        <v>322287</v>
      </c>
      <c r="R34" s="19" cm="1">
        <f t="array" aca="1" ref="R34" ca="1">_FV(RTData[[#This Row],[Company Name]],"Beta")</f>
        <v>0.57130000000000003</v>
      </c>
      <c r="T34" t="s">
        <v>20</v>
      </c>
      <c r="U34" t="str" cm="1">
        <f t="array" aca="1" ref="U34" ca="1">_FV(RTData[[#This Row],[Company Name]],"Exchange abbreviation",TRUE)</f>
        <v>XNYS</v>
      </c>
      <c r="V34" s="24">
        <f ca="1">IFERROR(RTData[[#This Row],[Volume]]/RTData[[#This Row],[Volume average]],1)</f>
        <v>1.1563513266126155</v>
      </c>
      <c r="W34" s="24"/>
      <c r="X34" s="103">
        <v>31.5</v>
      </c>
      <c r="Y34" s="149">
        <f>[2]Sheet2!$F33</f>
        <v>0</v>
      </c>
      <c r="Z34" s="149">
        <v>45876</v>
      </c>
      <c r="AA34" s="150">
        <f>[2]Sheet2!$H33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0.84645336041984087</v>
      </c>
      <c r="C35" s="25" t="e" vm="33">
        <v>#VALUE!</v>
      </c>
      <c r="D35" s="17" t="str" cm="1">
        <f t="array" aca="1" ref="D35" ca="1">_FV(RTData[[#This Row],[Company Name]],"Currency")</f>
        <v>USD</v>
      </c>
      <c r="E35" s="18" cm="1">
        <f t="array" aca="1" ref="E35" ca="1">_FV(RTData[[#This Row],[Company Name]],"Last trade time",TRUE)</f>
        <v>45923.843800775001</v>
      </c>
      <c r="F35" s="19" cm="1">
        <f t="array" aca="1" ref="F35" ca="1">_FV(RTData[[#This Row],[Company Name]],"Previous close",TRUE)</f>
        <v>37.369999999999997</v>
      </c>
      <c r="G35" s="19" cm="1">
        <f t="array" aca="1" ref="G35" ca="1">_FV(RTData[[#This Row],[Company Name]],"Open")</f>
        <v>37.82</v>
      </c>
      <c r="H35" s="19" cm="1">
        <f t="array" aca="1" ref="H35" ca="1">_FV(RTData[[#This Row],[Company Name]],"Price")</f>
        <v>37.78</v>
      </c>
      <c r="I35" s="19" cm="1">
        <f t="array" aca="1" ref="I35" ca="1">_FV(RTData[[#This Row],[Company Name]],"Low")</f>
        <v>37.54</v>
      </c>
      <c r="J35" s="19" cm="1">
        <f t="array" aca="1" ref="J35" ca="1">_FV(RTData[[#This Row],[Company Name]],"High")</f>
        <v>38.409999999999997</v>
      </c>
      <c r="K35" s="20" cm="1">
        <f t="array" aca="1" ref="K35" ca="1">IFERROR(_FV(RTData[[#This Row],[Company Name]],"P/E",TRUE),99)</f>
        <v>25.9453</v>
      </c>
      <c r="L35" s="21" cm="1">
        <f t="array" aca="1" ref="L35" ca="1">_FV(RTData[[#This Row],[Company Name]],"Change")</f>
        <v>0.41</v>
      </c>
      <c r="M35" s="22" cm="1">
        <f t="array" aca="1" ref="M35" ca="1">_FV(RTData[[#This Row],[Company Name]],"Change (%)",TRUE)</f>
        <v>1.0971E-2</v>
      </c>
      <c r="N35" s="19" cm="1">
        <f t="array" aca="1" ref="N35" ca="1">_FV(RTData[[#This Row],[Company Name]],"52 week low",TRUE)</f>
        <v>19.8017</v>
      </c>
      <c r="O35" s="19" cm="1">
        <f t="array" aca="1" ref="O35" ca="1">_FV(RTData[[#This Row],[Company Name]],"52 week high",TRUE)</f>
        <v>38.409999999999997</v>
      </c>
      <c r="P35" s="23" cm="1">
        <f t="array" aca="1" ref="P35" ca="1">_FV(RTData[[#This Row],[Company Name]],"Volume")</f>
        <v>7143258</v>
      </c>
      <c r="Q35" s="23" cm="1">
        <f t="array" aca="1" ref="Q35" ca="1">_FV(RTData[[#This Row],[Company Name]],"Volume average",TRUE)</f>
        <v>6469179</v>
      </c>
      <c r="R35" s="19" cm="1">
        <f t="array" aca="1" ref="R35" ca="1">_FV(RTData[[#This Row],[Company Name]],"Beta")</f>
        <v>0.86180000000000001</v>
      </c>
      <c r="T35" t="s">
        <v>20</v>
      </c>
      <c r="U35" t="str" cm="1">
        <f t="array" aca="1" ref="U35" ca="1">_FV(RTData[[#This Row],[Company Name]],"Exchange abbreviation",TRUE)</f>
        <v>XNYS</v>
      </c>
      <c r="V35" s="24">
        <f ca="1">IFERROR(RTData[[#This Row],[Volume]]/RTData[[#This Row],[Volume average]],1)</f>
        <v>1.1041985389490692</v>
      </c>
      <c r="W35" s="24"/>
      <c r="X35" s="103">
        <f>[2]Sheet2!$E34</f>
        <v>37.375</v>
      </c>
      <c r="Y35" s="149">
        <f>[2]Sheet2!$F34</f>
        <v>45887</v>
      </c>
      <c r="Z35" s="149" t="str">
        <f>[2]Sheet2!$G34</f>
        <v>Aug 6, 2025</v>
      </c>
      <c r="AA35" s="150">
        <f>[2]Sheet2!$H34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0.84645336041984087</v>
      </c>
      <c r="C36" s="25" t="e" vm="34">
        <v>#VALUE!</v>
      </c>
      <c r="D36" s="17" t="str" cm="1">
        <f t="array" aca="1" ref="D36" ca="1">_FV(RTData[[#This Row],[Company Name]],"Currency")</f>
        <v>USD</v>
      </c>
      <c r="E36" s="18" cm="1">
        <f t="array" aca="1" ref="E36" ca="1">_FV(RTData[[#This Row],[Company Name]],"Last trade time",TRUE)</f>
        <v>45923.84548414297</v>
      </c>
      <c r="F36" s="19" cm="1">
        <f t="array" aca="1" ref="F36" ca="1">_FV(RTData[[#This Row],[Company Name]],"Previous close",TRUE)</f>
        <v>4.3</v>
      </c>
      <c r="G36" s="19" cm="1">
        <f t="array" aca="1" ref="G36" ca="1">_FV(RTData[[#This Row],[Company Name]],"Open")</f>
        <v>4.3499999999999996</v>
      </c>
      <c r="H36" s="19" cm="1">
        <f t="array" aca="1" ref="H36" ca="1">_FV(RTData[[#This Row],[Company Name]],"Price")</f>
        <v>5.0599999999999996</v>
      </c>
      <c r="I36" s="19" cm="1">
        <f t="array" aca="1" ref="I36" ca="1">_FV(RTData[[#This Row],[Company Name]],"Low")</f>
        <v>4.165</v>
      </c>
      <c r="J36" s="19" cm="1">
        <f t="array" aca="1" ref="J36" ca="1">_FV(RTData[[#This Row],[Company Name]],"High")</f>
        <v>5.2495000000000003</v>
      </c>
      <c r="K36" s="20" cm="1">
        <f t="array" aca="1" ref="K36" ca="1">IFERROR(_FV(RTData[[#This Row],[Company Name]],"P/E",TRUE),99)</f>
        <v>0</v>
      </c>
      <c r="L36" s="21" cm="1">
        <f t="array" aca="1" ref="L36" ca="1">_FV(RTData[[#This Row],[Company Name]],"Change")</f>
        <v>0.76</v>
      </c>
      <c r="M36" s="22" cm="1">
        <f t="array" aca="1" ref="M36" ca="1">_FV(RTData[[#This Row],[Company Name]],"Change (%)",TRUE)</f>
        <v>0.17674399999999998</v>
      </c>
      <c r="N36" s="19" cm="1">
        <f t="array" aca="1" ref="N36" ca="1">_FV(RTData[[#This Row],[Company Name]],"52 week low",TRUE)</f>
        <v>3.76</v>
      </c>
      <c r="O36" s="19" cm="1">
        <f t="array" aca="1" ref="O36" ca="1">_FV(RTData[[#This Row],[Company Name]],"52 week high",TRUE)</f>
        <v>9.17</v>
      </c>
      <c r="P36" s="23" cm="1">
        <f t="array" aca="1" ref="P36" ca="1">_FV(RTData[[#This Row],[Company Name]],"Volume")</f>
        <v>367037</v>
      </c>
      <c r="Q36" s="23" cm="1">
        <f t="array" aca="1" ref="Q36" ca="1">_FV(RTData[[#This Row],[Company Name]],"Volume average",TRUE)</f>
        <v>193030</v>
      </c>
      <c r="R36" s="19" cm="1">
        <f t="array" aca="1" ref="R36" ca="1">_FV(RTData[[#This Row],[Company Name]],"Beta")</f>
        <v>0.29659999999999997</v>
      </c>
      <c r="T36" t="s">
        <v>20</v>
      </c>
      <c r="U36" t="str" cm="1">
        <f t="array" aca="1" ref="U36" ca="1">_FV(RTData[[#This Row],[Company Name]],"Exchange abbreviation",TRUE)</f>
        <v>XNAS</v>
      </c>
      <c r="V36" s="24">
        <f ca="1">IFERROR(RTData[[#This Row],[Volume]]/RTData[[#This Row],[Volume average]],1)</f>
        <v>1.9014505517277107</v>
      </c>
      <c r="W36" s="24"/>
      <c r="X36" s="103">
        <f>[2]Sheet2!$E35</f>
        <v>12.1</v>
      </c>
      <c r="Y36" s="149">
        <f>[2]Sheet2!$F35</f>
        <v>0</v>
      </c>
      <c r="Z36" s="149">
        <f>[2]Sheet2!$G35</f>
        <v>0</v>
      </c>
      <c r="AA36" s="150">
        <f>[2]Sheet2!$H35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0.6116582053948254</v>
      </c>
      <c r="C37" s="113" t="e" vm="35">
        <v>#VALUE!</v>
      </c>
      <c r="D37" s="17" t="str" cm="1">
        <f t="array" aca="1" ref="D37" ca="1">_FV(RTData[[#This Row],[Company Name]],"Currency")</f>
        <v>USD</v>
      </c>
      <c r="E37" s="18" cm="1">
        <f t="array" aca="1" ref="E37" ca="1">_FV(RTData[[#This Row],[Company Name]],"Last trade time",TRUE)</f>
        <v>45923.84533204844</v>
      </c>
      <c r="F37" s="37" cm="1">
        <f t="array" aca="1" ref="F37" ca="1">_FV(RTData[[#This Row],[Company Name]],"Previous close",TRUE)</f>
        <v>5.16</v>
      </c>
      <c r="G37" s="37" cm="1">
        <f t="array" aca="1" ref="G37" ca="1">_FV(RTData[[#This Row],[Company Name]],"Open")</f>
        <v>5.2350000000000003</v>
      </c>
      <c r="H37" s="37" cm="1">
        <f t="array" aca="1" ref="H37" ca="1">_FV(RTData[[#This Row],[Company Name]],"Price")</f>
        <v>6</v>
      </c>
      <c r="I37" s="37" cm="1">
        <f t="array" aca="1" ref="I37" ca="1">_FV(RTData[[#This Row],[Company Name]],"Low")</f>
        <v>5.2350000000000003</v>
      </c>
      <c r="J37" s="37" cm="1">
        <f t="array" aca="1" ref="J37" ca="1">_FV(RTData[[#This Row],[Company Name]],"High")</f>
        <v>6.2</v>
      </c>
      <c r="K37" s="20" cm="1">
        <f t="array" aca="1" ref="K37" ca="1">IFERROR(_FV(RTData[[#This Row],[Company Name]],"P/E",TRUE),99)</f>
        <v>0</v>
      </c>
      <c r="L37" s="21" cm="1">
        <f t="array" aca="1" ref="L37" ca="1">_FV(RTData[[#This Row],[Company Name]],"Change")</f>
        <v>0.84</v>
      </c>
      <c r="M37" s="22" cm="1">
        <f t="array" aca="1" ref="M37" ca="1">_FV(RTData[[#This Row],[Company Name]],"Change (%)",TRUE)</f>
        <v>0.16279099999999999</v>
      </c>
      <c r="N37" s="37" cm="1">
        <f t="array" aca="1" ref="N37" ca="1">_FV(RTData[[#This Row],[Company Name]],"52 week low",TRUE)</f>
        <v>3.09</v>
      </c>
      <c r="O37" s="37" cm="1">
        <f t="array" aca="1" ref="O37" ca="1">_FV(RTData[[#This Row],[Company Name]],"52 week high",TRUE)</f>
        <v>7.79</v>
      </c>
      <c r="P37" s="23" cm="1">
        <f t="array" aca="1" ref="P37" ca="1">_FV(RTData[[#This Row],[Company Name]],"Volume")</f>
        <v>8124740</v>
      </c>
      <c r="Q37" s="23" cm="1">
        <f t="array" aca="1" ref="Q37" ca="1">_FV(RTData[[#This Row],[Company Name]],"Volume average",TRUE)</f>
        <v>1208743</v>
      </c>
      <c r="R37" s="19" cm="1">
        <f t="array" aca="1" ref="R37" ca="1">_FV(RTData[[#This Row],[Company Name]],"Beta")</f>
        <v>0.3624</v>
      </c>
      <c r="T37" t="s">
        <v>20</v>
      </c>
      <c r="U37" t="str" cm="1">
        <f t="array" aca="1" ref="U37" ca="1">_FV(RTData[[#This Row],[Company Name]],"Exchange abbreviation",TRUE)</f>
        <v>XNAS</v>
      </c>
      <c r="V37" s="24">
        <f ca="1">IFERROR(RTData[[#This Row],[Volume]]/RTData[[#This Row],[Volume average]],1)</f>
        <v>6.7216438895613049</v>
      </c>
      <c r="W37" s="24"/>
      <c r="X37" s="103">
        <f>[2]Sheet2!$E36</f>
        <v>6.6333299999999999</v>
      </c>
      <c r="Y37" s="149">
        <f>[2]Sheet2!$F36</f>
        <v>0</v>
      </c>
      <c r="Z37" s="149" t="str">
        <f>[2]Sheet2!$G36</f>
        <v>Aug 14, 2025</v>
      </c>
      <c r="AA37" s="150">
        <f>[2]Sheet2!$H36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0.84645336041984087</v>
      </c>
      <c r="C38" s="25" t="e" vm="36">
        <v>#VALUE!</v>
      </c>
      <c r="D38" s="17" t="str" cm="1">
        <f t="array" aca="1" ref="D38" ca="1">_FV(RTData[[#This Row],[Company Name]],"Currency")</f>
        <v>USD</v>
      </c>
      <c r="E38" s="18" cm="1">
        <f t="array" aca="1" ref="E38" ca="1">_FV(RTData[[#This Row],[Company Name]],"Last trade time",TRUE)</f>
        <v>45923.836204247658</v>
      </c>
      <c r="F38" s="19" cm="1">
        <f t="array" aca="1" ref="F38" ca="1">_FV(RTData[[#This Row],[Company Name]],"Previous close",TRUE)</f>
        <v>0.92979999999999996</v>
      </c>
      <c r="G38" s="19" cm="1">
        <f t="array" aca="1" ref="G38" ca="1">_FV(RTData[[#This Row],[Company Name]],"Open")</f>
        <v>0.93</v>
      </c>
      <c r="H38" s="19" cm="1">
        <f t="array" aca="1" ref="H38" ca="1">_FV(RTData[[#This Row],[Company Name]],"Price")</f>
        <v>0.9597</v>
      </c>
      <c r="I38" s="19" cm="1">
        <f t="array" aca="1" ref="I38" ca="1">_FV(RTData[[#This Row],[Company Name]],"Low")</f>
        <v>0.9083</v>
      </c>
      <c r="J38" s="19" cm="1">
        <f t="array" aca="1" ref="J38" ca="1">_FV(RTData[[#This Row],[Company Name]],"High")</f>
        <v>0.96360000000000001</v>
      </c>
      <c r="K38" s="20" cm="1">
        <f t="array" ref="K38">IFERROR(_FV(RTData[[#This Row],[Company Name]],"P/E",TRUE),99)</f>
        <v>99</v>
      </c>
      <c r="L38" s="21" cm="1">
        <f t="array" aca="1" ref="L38" ca="1">_FV(RTData[[#This Row],[Company Name]],"Change")</f>
        <v>2.9899999999999999E-2</v>
      </c>
      <c r="M38" s="22" cm="1">
        <f t="array" aca="1" ref="M38" ca="1">_FV(RTData[[#This Row],[Company Name]],"Change (%)",TRUE)</f>
        <v>3.2156999999999998E-2</v>
      </c>
      <c r="N38" s="19" cm="1">
        <f t="array" aca="1" ref="N38" ca="1">_FV(RTData[[#This Row],[Company Name]],"52 week low",TRUE)</f>
        <v>0.63</v>
      </c>
      <c r="O38" s="19" cm="1">
        <f t="array" aca="1" ref="O38" ca="1">_FV(RTData[[#This Row],[Company Name]],"52 week high",TRUE)</f>
        <v>2.75</v>
      </c>
      <c r="P38" s="23" cm="1">
        <f t="array" aca="1" ref="P38" ca="1">_FV(RTData[[#This Row],[Company Name]],"Volume")</f>
        <v>49652</v>
      </c>
      <c r="Q38" s="23" cm="1">
        <f t="array" aca="1" ref="Q38" ca="1">_FV(RTData[[#This Row],[Company Name]],"Volume average",TRUE)</f>
        <v>270297</v>
      </c>
      <c r="R38" s="19" cm="1">
        <f t="array" aca="1" ref="R38" ca="1">_FV(RTData[[#This Row],[Company Name]],"Beta")</f>
        <v>1.4883</v>
      </c>
      <c r="T38" t="s">
        <v>20</v>
      </c>
      <c r="U38" t="str" cm="1">
        <f t="array" aca="1" ref="U38" ca="1">_FV(RTData[[#This Row],[Company Name]],"Exchange abbreviation",TRUE)</f>
        <v>XNYS</v>
      </c>
      <c r="V38" s="24">
        <f ca="1">IFERROR(RTData[[#This Row],[Volume]]/RTData[[#This Row],[Volume average]],1)</f>
        <v>0.18369423264039186</v>
      </c>
      <c r="W38" s="24"/>
      <c r="X38" s="103">
        <f>[2]Sheet2!$E37</f>
        <v>0</v>
      </c>
      <c r="Y38" s="149">
        <f>[2]Sheet2!$F37</f>
        <v>41284</v>
      </c>
      <c r="Z38" s="149">
        <f>[2]Sheet2!$G37</f>
        <v>0</v>
      </c>
      <c r="AA38" s="150">
        <f>[2]Sheet2!$H37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0.84645336041984087</v>
      </c>
      <c r="C39" s="25" t="e" vm="37">
        <v>#VALUE!</v>
      </c>
      <c r="D39" s="17" t="str" cm="1">
        <f t="array" aca="1" ref="D39" ca="1">_FV(RTData[[#This Row],[Company Name]],"Currency")</f>
        <v>USD</v>
      </c>
      <c r="E39" s="18" cm="1">
        <f t="array" aca="1" ref="E39" ca="1">_FV(RTData[[#This Row],[Company Name]],"Last trade time",TRUE)</f>
        <v>45923.843370925781</v>
      </c>
      <c r="F39" s="19" cm="1">
        <f t="array" aca="1" ref="F39" ca="1">_FV(RTData[[#This Row],[Company Name]],"Previous close",TRUE)</f>
        <v>34.450000000000003</v>
      </c>
      <c r="G39" s="19" cm="1">
        <f t="array" aca="1" ref="G39" ca="1">_FV(RTData[[#This Row],[Company Name]],"Open")</f>
        <v>34.450000000000003</v>
      </c>
      <c r="H39" s="19" cm="1">
        <f t="array" aca="1" ref="H39" ca="1">_FV(RTData[[#This Row],[Company Name]],"Price")</f>
        <v>34.020000000000003</v>
      </c>
      <c r="I39" s="19" cm="1">
        <f t="array" aca="1" ref="I39" ca="1">_FV(RTData[[#This Row],[Company Name]],"Low")</f>
        <v>33.9</v>
      </c>
      <c r="J39" s="19" cm="1">
        <f t="array" aca="1" ref="J39" ca="1">_FV(RTData[[#This Row],[Company Name]],"High")</f>
        <v>35.299999999999997</v>
      </c>
      <c r="K39" s="20" cm="1">
        <f t="array" aca="1" ref="K39" ca="1">IFERROR(_FV(RTData[[#This Row],[Company Name]],"P/E",TRUE),99)</f>
        <v>6.3620000000000001</v>
      </c>
      <c r="L39" s="21" cm="1">
        <f t="array" aca="1" ref="L39" ca="1">_FV(RTData[[#This Row],[Company Name]],"Change")</f>
        <v>-0.43</v>
      </c>
      <c r="M39" s="22" cm="1">
        <f t="array" aca="1" ref="M39" ca="1">_FV(RTData[[#This Row],[Company Name]],"Change (%)",TRUE)</f>
        <v>-1.2482E-2</v>
      </c>
      <c r="N39" s="19" cm="1">
        <f t="array" aca="1" ref="N39" ca="1">_FV(RTData[[#This Row],[Company Name]],"52 week low",TRUE)</f>
        <v>13.570499999999999</v>
      </c>
      <c r="O39" s="19" cm="1">
        <f t="array" aca="1" ref="O39" ca="1">_FV(RTData[[#This Row],[Company Name]],"52 week high",TRUE)</f>
        <v>43.7181</v>
      </c>
      <c r="P39" s="23" cm="1">
        <f t="array" aca="1" ref="P39" ca="1">_FV(RTData[[#This Row],[Company Name]],"Volume")</f>
        <v>796680</v>
      </c>
      <c r="Q39" s="23" cm="1">
        <f t="array" aca="1" ref="Q39" ca="1">_FV(RTData[[#This Row],[Company Name]],"Volume average",TRUE)</f>
        <v>764886</v>
      </c>
      <c r="R39" s="19" cm="1">
        <f t="array" aca="1" ref="R39" ca="1">_FV(RTData[[#This Row],[Company Name]],"Beta")</f>
        <v>1.226</v>
      </c>
      <c r="T39" t="s">
        <v>20</v>
      </c>
      <c r="U39" t="str" cm="1">
        <f t="array" aca="1" ref="U39" ca="1">_FV(RTData[[#This Row],[Company Name]],"Exchange abbreviation",TRUE)</f>
        <v>XNAS</v>
      </c>
      <c r="V39" s="24">
        <f ca="1">IFERROR(RTData[[#This Row],[Volume]]/RTData[[#This Row],[Volume average]],1)</f>
        <v>1.0415669786085771</v>
      </c>
      <c r="W39" s="24"/>
      <c r="X39" s="103">
        <v>38.33</v>
      </c>
      <c r="Y39" s="149">
        <f>[2]Sheet2!$F38</f>
        <v>0</v>
      </c>
      <c r="Z39" s="149" t="str">
        <f>[2]Sheet2!$G38</f>
        <v>Nov 6, 2025</v>
      </c>
      <c r="AA39" s="150">
        <f>[2]Sheet2!$H38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45923.770833333336</v>
      </c>
      <c r="F40" s="29" cm="1">
        <f t="array" aca="1" ref="F40" ca="1">_FV(RTData[[#This Row],[Company Name]],"Previous close",TRUE)</f>
        <v>36.31</v>
      </c>
      <c r="G40" s="29" cm="1">
        <f t="array" aca="1" ref="G40" ca="1">_FV(RTData[[#This Row],[Company Name]],"Open")</f>
        <v>36.630000000000003</v>
      </c>
      <c r="H40" s="29" cm="1">
        <f t="array" aca="1" ref="H40" ca="1">_FV(RTData[[#This Row],[Company Name]],"Price")</f>
        <v>36.630000000000003</v>
      </c>
      <c r="I40" s="29" cm="1">
        <f t="array" aca="1" ref="I40" ca="1">_FV(RTData[[#This Row],[Company Name]],"Low")</f>
        <v>36.409999999999997</v>
      </c>
      <c r="J40" s="29" cm="1">
        <f t="array" aca="1" ref="J40" ca="1">_FV(RTData[[#This Row],[Company Name]],"High")</f>
        <v>36.9</v>
      </c>
      <c r="K40" s="20" cm="1">
        <f t="array" aca="1" ref="K40" ca="1">IFERROR(_FV(RTData[[#This Row],[Company Name]],"P/E",TRUE),99)</f>
        <v>10.391500000000001</v>
      </c>
      <c r="L40" s="21" cm="1">
        <f t="array" aca="1" ref="L40" ca="1">_FV(RTData[[#This Row],[Company Name]],"Change")</f>
        <v>0.32</v>
      </c>
      <c r="M40" s="22" cm="1">
        <f t="array" aca="1" ref="M40" ca="1">_FV(RTData[[#This Row],[Company Name]],"Change (%)",TRUE)</f>
        <v>8.8129999999999997E-3</v>
      </c>
      <c r="N40" s="29" cm="1">
        <f t="array" aca="1" ref="N40" ca="1">_FV(RTData[[#This Row],[Company Name]],"52 week low",TRUE)</f>
        <v>27.76</v>
      </c>
      <c r="O40" s="29" cm="1">
        <f t="array" aca="1" ref="O40" ca="1">_FV(RTData[[#This Row],[Company Name]],"52 week high",TRUE)</f>
        <v>37.78</v>
      </c>
      <c r="P40" s="23" cm="1">
        <f t="array" aca="1" ref="P40" ca="1">_FV(RTData[[#This Row],[Company Name]],"Volume")</f>
        <v>1433521</v>
      </c>
      <c r="Q40" s="23" cm="1">
        <f t="array" aca="1" ref="Q40" ca="1">_FV(RTData[[#This Row],[Company Name]],"Volume average",TRUE)</f>
        <v>1825970</v>
      </c>
      <c r="R40" s="19" cm="1">
        <f t="array" aca="1" ref="R40" ca="1">_FV(RTData[[#This Row],[Company Name]],"Beta")</f>
        <v>0.47760000000000002</v>
      </c>
      <c r="T40" t="s">
        <v>20</v>
      </c>
      <c r="U40" t="str" cm="1">
        <f t="array" aca="1" ref="U40" ca="1">_FV(RTData[[#This Row],[Company Name]],"Exchange abbreviation",TRUE)</f>
        <v>XETR</v>
      </c>
      <c r="V40" s="24">
        <f ca="1">IFERROR(RTData[[#This Row],[Volume]]/RTData[[#This Row],[Volume average]],1)</f>
        <v>0.78507368686232526</v>
      </c>
      <c r="W40" s="24"/>
      <c r="X40" s="103">
        <f>[2]Sheet2!$E39</f>
        <v>42.911110000000001</v>
      </c>
      <c r="Y40" s="149">
        <f>[2]Sheet2!$F39</f>
        <v>45779</v>
      </c>
      <c r="Z40" s="149">
        <f>[2]Sheet2!$G39</f>
        <v>0</v>
      </c>
      <c r="AA40" s="150">
        <f>[2]Sheet2!$H39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45923.770833333336</v>
      </c>
      <c r="F41" s="29" cm="1">
        <f t="array" aca="1" ref="F41" ca="1">_FV(RTData[[#This Row],[Company Name]],"Previous close",TRUE)</f>
        <v>224.7</v>
      </c>
      <c r="G41" s="29" cm="1">
        <f t="array" aca="1" ref="G41" ca="1">_FV(RTData[[#This Row],[Company Name]],"Open")</f>
        <v>225.6</v>
      </c>
      <c r="H41" s="29" cm="1">
        <f t="array" aca="1" ref="H41" ca="1">_FV(RTData[[#This Row],[Company Name]],"Price")</f>
        <v>226.2</v>
      </c>
      <c r="I41" s="29" cm="1">
        <f t="array" aca="1" ref="I41" ca="1">_FV(RTData[[#This Row],[Company Name]],"Low")</f>
        <v>224.7</v>
      </c>
      <c r="J41" s="29" cm="1">
        <f t="array" aca="1" ref="J41" ca="1">_FV(RTData[[#This Row],[Company Name]],"High")</f>
        <v>227.6</v>
      </c>
      <c r="K41" s="20" cm="1">
        <f t="array" aca="1" ref="K41" ca="1">IFERROR(_FV(RTData[[#This Row],[Company Name]],"P/E",TRUE),99)</f>
        <v>40.387099999999997</v>
      </c>
      <c r="L41" s="21" cm="1">
        <f t="array" aca="1" ref="L41" ca="1">_FV(RTData[[#This Row],[Company Name]],"Change")</f>
        <v>1.5</v>
      </c>
      <c r="M41" s="22" cm="1">
        <f t="array" aca="1" ref="M41" ca="1">_FV(RTData[[#This Row],[Company Name]],"Change (%)",TRUE)</f>
        <v>6.6759999999999996E-3</v>
      </c>
      <c r="N41" s="29" cm="1">
        <f t="array" aca="1" ref="N41" ca="1">_FV(RTData[[#This Row],[Company Name]],"52 week low",TRUE)</f>
        <v>198</v>
      </c>
      <c r="O41" s="29" cm="1">
        <f t="array" aca="1" ref="O41" ca="1">_FV(RTData[[#This Row],[Company Name]],"52 week high",TRUE)</f>
        <v>283.5</v>
      </c>
      <c r="P41" s="23" cm="1">
        <f t="array" aca="1" ref="P41" ca="1">_FV(RTData[[#This Row],[Company Name]],"Volume")</f>
        <v>1115327</v>
      </c>
      <c r="Q41" s="23" cm="1">
        <f t="array" aca="1" ref="Q41" ca="1">_FV(RTData[[#This Row],[Company Name]],"Volume average",TRUE)</f>
        <v>2207560</v>
      </c>
      <c r="R41" s="29" cm="1">
        <f t="array" aca="1" ref="R41" ca="1">_FV(RTData[[#This Row],[Company Name]],"Beta")</f>
        <v>1.1711</v>
      </c>
      <c r="T41" t="s">
        <v>20</v>
      </c>
      <c r="U41" t="str" cm="1">
        <f t="array" aca="1" ref="U41" ca="1">_FV(RTData[[#This Row],[Company Name]],"Exchange abbreviation",TRUE)</f>
        <v>XETR</v>
      </c>
      <c r="V41" s="24">
        <f ca="1">IFERROR(RTData[[#This Row],[Volume]]/RTData[[#This Row],[Volume average]],1)</f>
        <v>0.50523066190726418</v>
      </c>
      <c r="W41" s="24"/>
      <c r="X41" s="103">
        <f>[2]Sheet2!$E40</f>
        <v>291.91037</v>
      </c>
      <c r="Y41" s="149">
        <f>[2]Sheet2!$F40</f>
        <v>45791</v>
      </c>
      <c r="Z41" s="149">
        <f>[2]Sheet2!$G40</f>
        <v>0</v>
      </c>
      <c r="AA41" s="150">
        <f>[2]Sheet2!$H40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0.84645336041984087</v>
      </c>
      <c r="C42" s="25" t="e" vm="40">
        <v>#VALUE!</v>
      </c>
      <c r="D42" s="17" t="str" cm="1">
        <f t="array" aca="1" ref="D42" ca="1">_FV(RTData[[#This Row],[Company Name]],"Currency")</f>
        <v>USD</v>
      </c>
      <c r="E42" s="18" cm="1">
        <f t="array" aca="1" ref="E42" ca="1">_FV(RTData[[#This Row],[Company Name]],"Last trade time",TRUE)</f>
        <v>45923.833333333336</v>
      </c>
      <c r="F42" s="19" cm="1">
        <f t="array" aca="1" ref="F42" ca="1">_FV(RTData[[#This Row],[Company Name]],"Previous close",TRUE)</f>
        <v>15.98</v>
      </c>
      <c r="G42" s="19" cm="1">
        <f t="array" aca="1" ref="G42" ca="1">_FV(RTData[[#This Row],[Company Name]],"Open")</f>
        <v>16.100000000000001</v>
      </c>
      <c r="H42" s="19" cm="1">
        <f t="array" aca="1" ref="H42" ca="1">_FV(RTData[[#This Row],[Company Name]],"Price")</f>
        <v>15.92</v>
      </c>
      <c r="I42" s="19" cm="1">
        <f t="array" aca="1" ref="I42" ca="1">_FV(RTData[[#This Row],[Company Name]],"Low")</f>
        <v>15.71</v>
      </c>
      <c r="J42" s="19" cm="1">
        <f t="array" aca="1" ref="J42" ca="1">_FV(RTData[[#This Row],[Company Name]],"High")</f>
        <v>16.100000000000001</v>
      </c>
      <c r="K42" s="20" cm="1">
        <f t="array" aca="1" ref="K42" ca="1">IFERROR(_FV(RTData[[#This Row],[Company Name]],"P/E",TRUE),99)</f>
        <v>0</v>
      </c>
      <c r="L42" s="21" cm="1">
        <f t="array" aca="1" ref="L42" ca="1">_FV(RTData[[#This Row],[Company Name]],"Change")</f>
        <v>-0.06</v>
      </c>
      <c r="M42" s="22" cm="1">
        <f t="array" aca="1" ref="M42" ca="1">_FV(RTData[[#This Row],[Company Name]],"Change (%)",TRUE)</f>
        <v>-3.7550000000000001E-3</v>
      </c>
      <c r="N42" s="19" cm="1">
        <f t="array" aca="1" ref="N42" ca="1">_FV(RTData[[#This Row],[Company Name]],"52 week low",TRUE)</f>
        <v>11.88</v>
      </c>
      <c r="O42" s="19" cm="1">
        <f t="array" aca="1" ref="O42" ca="1">_FV(RTData[[#This Row],[Company Name]],"52 week high",TRUE)</f>
        <v>21.74</v>
      </c>
      <c r="P42" s="23" cm="1">
        <f t="array" aca="1" ref="P42" ca="1">_FV(RTData[[#This Row],[Company Name]],"Volume")</f>
        <v>229376</v>
      </c>
      <c r="Q42" s="23" cm="1">
        <f t="array" aca="1" ref="Q42" ca="1">_FV(RTData[[#This Row],[Company Name]],"Volume average",TRUE)</f>
        <v>8411990</v>
      </c>
      <c r="R42" s="19" cm="1">
        <f t="array" aca="1" ref="R42" ca="1">_FV(RTData[[#This Row],[Company Name]],"Beta")</f>
        <v>1.4810000000000001</v>
      </c>
      <c r="T42" t="s">
        <v>20</v>
      </c>
      <c r="U42" t="str" cm="1">
        <f t="array" aca="1" ref="U42" ca="1">_FV(RTData[[#This Row],[Company Name]],"Exchange abbreviation",TRUE)</f>
        <v>OTCM</v>
      </c>
      <c r="V42" s="24">
        <f ca="1">IFERROR(RTData[[#This Row],[Volume]]/RTData[[#This Row],[Volume average]],1)</f>
        <v>2.7267745206544469E-2</v>
      </c>
      <c r="W42" s="24"/>
      <c r="X42" s="103">
        <f>[2]Sheet2!$E41</f>
        <v>0</v>
      </c>
      <c r="Y42" s="149">
        <f>[2]Sheet2!$F41</f>
        <v>45747</v>
      </c>
      <c r="Z42" s="149">
        <f>[2]Sheet2!$G41</f>
        <v>0</v>
      </c>
      <c r="AA42" s="150">
        <f>[2]Sheet2!$H41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0.84645336041984087</v>
      </c>
      <c r="C43" s="25" t="e" vm="41">
        <v>#VALUE!</v>
      </c>
      <c r="D43" s="17" t="str" cm="1">
        <f t="array" aca="1" ref="D43" ca="1">_FV(RTData[[#This Row],[Company Name]],"Currency")</f>
        <v>USD</v>
      </c>
      <c r="E43" s="18" cm="1">
        <f t="array" aca="1" ref="E43" ca="1">_FV(RTData[[#This Row],[Company Name]],"Last trade time",TRUE)</f>
        <v>45923.84340833281</v>
      </c>
      <c r="F43" s="19" cm="1">
        <f t="array" aca="1" ref="F43" ca="1">_FV(RTData[[#This Row],[Company Name]],"Previous close",TRUE)</f>
        <v>10.37</v>
      </c>
      <c r="G43" s="19" cm="1">
        <f t="array" aca="1" ref="G43" ca="1">_FV(RTData[[#This Row],[Company Name]],"Open")</f>
        <v>10.47</v>
      </c>
      <c r="H43" s="19" cm="1">
        <f t="array" aca="1" ref="H43" ca="1">_FV(RTData[[#This Row],[Company Name]],"Price")</f>
        <v>11.69</v>
      </c>
      <c r="I43" s="19" cm="1">
        <f t="array" aca="1" ref="I43" ca="1">_FV(RTData[[#This Row],[Company Name]],"Low")</f>
        <v>10.47</v>
      </c>
      <c r="J43" s="19" cm="1">
        <f t="array" aca="1" ref="J43" ca="1">_FV(RTData[[#This Row],[Company Name]],"High")</f>
        <v>11.72</v>
      </c>
      <c r="K43" s="20" cm="1">
        <f t="array" aca="1" ref="K43" ca="1">IFERROR(_FV(RTData[[#This Row],[Company Name]],"P/E",TRUE),99)</f>
        <v>0</v>
      </c>
      <c r="L43" s="21" cm="1">
        <f t="array" aca="1" ref="L43" ca="1">_FV(RTData[[#This Row],[Company Name]],"Change")</f>
        <v>1.32</v>
      </c>
      <c r="M43" s="22" cm="1">
        <f t="array" aca="1" ref="M43" ca="1">_FV(RTData[[#This Row],[Company Name]],"Change (%)",TRUE)</f>
        <v>0.12728999999999999</v>
      </c>
      <c r="N43" s="19" cm="1">
        <f t="array" aca="1" ref="N43" ca="1">_FV(RTData[[#This Row],[Company Name]],"52 week low",TRUE)</f>
        <v>6.92</v>
      </c>
      <c r="O43" s="19" cm="1">
        <f t="array" aca="1" ref="O43" ca="1">_FV(RTData[[#This Row],[Company Name]],"52 week high",TRUE)</f>
        <v>12.88</v>
      </c>
      <c r="P43" s="23" cm="1">
        <f t="array" aca="1" ref="P43" ca="1">_FV(RTData[[#This Row],[Company Name]],"Volume")</f>
        <v>2601011</v>
      </c>
      <c r="Q43" s="23" cm="1">
        <f t="array" aca="1" ref="Q43" ca="1">_FV(RTData[[#This Row],[Company Name]],"Volume average",TRUE)</f>
        <v>1240318</v>
      </c>
      <c r="R43" s="19" cm="1">
        <f t="array" aca="1" ref="R43" ca="1">_FV(RTData[[#This Row],[Company Name]],"Beta")</f>
        <v>1.5758000000000001</v>
      </c>
      <c r="T43" t="s">
        <v>20</v>
      </c>
      <c r="U43" t="str" cm="1">
        <f t="array" aca="1" ref="U43" ca="1">_FV(RTData[[#This Row],[Company Name]],"Exchange abbreviation",TRUE)</f>
        <v>XNAS</v>
      </c>
      <c r="V43" s="24">
        <f ca="1">IFERROR(RTData[[#This Row],[Volume]]/RTData[[#This Row],[Volume average]],1)</f>
        <v>2.0970517238321138</v>
      </c>
      <c r="W43" s="24"/>
      <c r="X43" s="103">
        <f>[2]Sheet2!$E42</f>
        <v>13.33333</v>
      </c>
      <c r="Y43" s="149">
        <f>[2]Sheet2!$F42</f>
        <v>0</v>
      </c>
      <c r="Z43" s="149" t="str">
        <f>[2]Sheet2!$G42</f>
        <v>Nov 12, 2025</v>
      </c>
      <c r="AA43" s="150">
        <f>[2]Sheet2!$H42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0.84645336041984087</v>
      </c>
      <c r="C44" s="25" t="e" vm="42">
        <v>#VALUE!</v>
      </c>
      <c r="D44" s="17" t="str" cm="1">
        <f t="array" aca="1" ref="D44" ca="1">_FV(RTData[[#This Row],[Company Name]],"Currency")</f>
        <v>USD</v>
      </c>
      <c r="E44" s="18" cm="1">
        <f t="array" aca="1" ref="E44" ca="1">_FV(RTData[[#This Row],[Company Name]],"Last trade time",TRUE)</f>
        <v>45923.845585497656</v>
      </c>
      <c r="F44" s="19" cm="1">
        <f t="array" aca="1" ref="F44" ca="1">_FV(RTData[[#This Row],[Company Name]],"Previous close",TRUE)</f>
        <v>434.21</v>
      </c>
      <c r="G44" s="19" cm="1">
        <f t="array" aca="1" ref="G44" ca="1">_FV(RTData[[#This Row],[Company Name]],"Open")</f>
        <v>439.88</v>
      </c>
      <c r="H44" s="19" cm="1">
        <f t="array" aca="1" ref="H44" ca="1">_FV(RTData[[#This Row],[Company Name]],"Price")</f>
        <v>425.85</v>
      </c>
      <c r="I44" s="19" cm="1">
        <f t="array" aca="1" ref="I44" ca="1">_FV(RTData[[#This Row],[Company Name]],"Low")</f>
        <v>423.72</v>
      </c>
      <c r="J44" s="19" cm="1">
        <f t="array" aca="1" ref="J44" ca="1">_FV(RTData[[#This Row],[Company Name]],"High")</f>
        <v>440.97</v>
      </c>
      <c r="K44" s="20" cm="1">
        <f t="array" aca="1" ref="K44" ca="1">IFERROR(_FV(RTData[[#This Row],[Company Name]],"P/E",TRUE),99)</f>
        <v>241.9725</v>
      </c>
      <c r="L44" s="21" cm="1">
        <f t="array" aca="1" ref="L44" ca="1">_FV(RTData[[#This Row],[Company Name]],"Change")</f>
        <v>-8.36</v>
      </c>
      <c r="M44" s="22" cm="1">
        <f t="array" aca="1" ref="M44" ca="1">_FV(RTData[[#This Row],[Company Name]],"Change (%)",TRUE)</f>
        <v>-1.9252999999999999E-2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81896748</v>
      </c>
      <c r="Q44" s="23" cm="1">
        <f t="array" aca="1" ref="Q44" ca="1">_FV(RTData[[#This Row],[Company Name]],"Volume average",TRUE)</f>
        <v>87314650</v>
      </c>
      <c r="R44" s="19" cm="1">
        <f t="array" aca="1" ref="R44" ca="1">_FV(RTData[[#This Row],[Company Name]],"Beta")</f>
        <v>2.0815999999999999</v>
      </c>
      <c r="T44" t="s">
        <v>20</v>
      </c>
      <c r="U44" t="str" cm="1">
        <f t="array" aca="1" ref="U44" ca="1">_FV(RTData[[#This Row],[Company Name]],"Exchange abbreviation",TRUE)</f>
        <v>XNAS</v>
      </c>
      <c r="V44" s="24">
        <f ca="1">IFERROR(RTData[[#This Row],[Volume]]/RTData[[#This Row],[Volume average]],1)</f>
        <v>0.93794967969292664</v>
      </c>
      <c r="W44" s="24"/>
      <c r="X44" s="103">
        <f>[2]Sheet2!$E43</f>
        <v>310.53410000000002</v>
      </c>
      <c r="Y44" s="149">
        <f>[2]Sheet2!$F43</f>
        <v>0</v>
      </c>
      <c r="Z44" s="149" t="str">
        <f>[2]Sheet2!$G43</f>
        <v>Oct 22, 2025</v>
      </c>
      <c r="AA44" s="150">
        <f>[2]Sheet2!$H43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0.84645336041984087</v>
      </c>
      <c r="C45" s="25" t="e" vm="43">
        <v>#VALUE!</v>
      </c>
      <c r="D45" s="17" t="str" cm="1">
        <f t="array" aca="1" ref="D45" ca="1">_FV(RTData[[#This Row],[Company Name]],"Currency")</f>
        <v>USD</v>
      </c>
      <c r="E45" s="18" cm="1">
        <f t="array" aca="1" ref="E45" ca="1">_FV(RTData[[#This Row],[Company Name]],"Last trade time",TRUE)</f>
        <v>45923.845413680472</v>
      </c>
      <c r="F45" s="19" cm="1">
        <f t="array" aca="1" ref="F45" ca="1">_FV(RTData[[#This Row],[Company Name]],"Previous close",TRUE)</f>
        <v>272.63</v>
      </c>
      <c r="G45" s="19" cm="1">
        <f t="array" aca="1" ref="G45" ca="1">_FV(RTData[[#This Row],[Company Name]],"Open")</f>
        <v>282.39499999999998</v>
      </c>
      <c r="H45" s="19" cm="1">
        <f t="array" aca="1" ref="H45" ca="1">_FV(RTData[[#This Row],[Company Name]],"Price")</f>
        <v>282.8</v>
      </c>
      <c r="I45" s="19" cm="1">
        <f t="array" aca="1" ref="I45" ca="1">_FV(RTData[[#This Row],[Company Name]],"Low")</f>
        <v>280</v>
      </c>
      <c r="J45" s="19" cm="1">
        <f t="array" aca="1" ref="J45" ca="1">_FV(RTData[[#This Row],[Company Name]],"High")</f>
        <v>286</v>
      </c>
      <c r="K45" s="20" cm="1">
        <f t="array" aca="1" ref="K45" ca="1">IFERROR(_FV(RTData[[#This Row],[Company Name]],"P/E",TRUE),99)</f>
        <v>28.261900000000001</v>
      </c>
      <c r="L45" s="21" cm="1">
        <f t="array" aca="1" ref="L45" ca="1">_FV(RTData[[#This Row],[Company Name]],"Change")</f>
        <v>10.17</v>
      </c>
      <c r="M45" s="22" cm="1">
        <f t="array" aca="1" ref="M45" ca="1">_FV(RTData[[#This Row],[Company Name]],"Change (%)",TRUE)</f>
        <v>3.7303000000000003E-2</v>
      </c>
      <c r="N45" s="19" cm="1">
        <f t="array" aca="1" ref="N45" ca="1">_FV(RTData[[#This Row],[Company Name]],"52 week low",TRUE)</f>
        <v>134.25</v>
      </c>
      <c r="O45" s="19" cm="1">
        <f t="array" aca="1" ref="O45" ca="1">_FV(RTData[[#This Row],[Company Name]],"52 week high",TRUE)</f>
        <v>286</v>
      </c>
      <c r="P45" s="23" cm="1">
        <f t="array" aca="1" ref="P45" ca="1">_FV(RTData[[#This Row],[Company Name]],"Volume")</f>
        <v>17758677</v>
      </c>
      <c r="Q45" s="23" cm="1">
        <f t="array" aca="1" ref="Q45" ca="1">_FV(RTData[[#This Row],[Company Name]],"Volume average",TRUE)</f>
        <v>11670010</v>
      </c>
      <c r="R45" s="19" cm="1">
        <f t="array" aca="1" ref="R45" ca="1">_FV(RTData[[#This Row],[Company Name]],"Beta")</f>
        <v>1.2855000000000001</v>
      </c>
      <c r="T45" t="s">
        <v>20</v>
      </c>
      <c r="U45" t="str" cm="1">
        <f t="array" aca="1" ref="U45" ca="1">_FV(RTData[[#This Row],[Company Name]],"Exchange abbreviation",TRUE)</f>
        <v>XNYS</v>
      </c>
      <c r="V45" s="24">
        <f ca="1">IFERROR(RTData[[#This Row],[Volume]]/RTData[[#This Row],[Volume average]],1)</f>
        <v>1.5217362281609013</v>
      </c>
      <c r="W45" s="24"/>
      <c r="X45" s="103">
        <v>269.76</v>
      </c>
      <c r="Y45" s="149">
        <f>[2]Sheet2!$F44</f>
        <v>45916</v>
      </c>
      <c r="Z45" s="149" t="str">
        <f>[2]Sheet2!$G44</f>
        <v>Oct 16, 2025</v>
      </c>
      <c r="AA45" s="150">
        <f>[2]Sheet2!$H44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45923.833333333336</v>
      </c>
      <c r="F46" s="29" cm="1">
        <f t="array" aca="1" ref="F46" ca="1">_FV(RTData[[#This Row],[Company Name]],"Previous close",TRUE)</f>
        <v>35.049999999999997</v>
      </c>
      <c r="G46" s="29" cm="1">
        <f t="array" aca="1" ref="G46" ca="1">_FV(RTData[[#This Row],[Company Name]],"Open")</f>
        <v>35.15</v>
      </c>
      <c r="H46" s="29" cm="1">
        <f t="array" aca="1" ref="H46" ca="1">_FV(RTData[[#This Row],[Company Name]],"Price")</f>
        <v>34.049999999999997</v>
      </c>
      <c r="I46" s="29" cm="1">
        <f t="array" aca="1" ref="I46" ca="1">_FV(RTData[[#This Row],[Company Name]],"Low")</f>
        <v>34.049999999999997</v>
      </c>
      <c r="J46" s="29" cm="1">
        <f t="array" aca="1" ref="J46" ca="1">_FV(RTData[[#This Row],[Company Name]],"High")</f>
        <v>35.15</v>
      </c>
      <c r="K46" s="20" cm="1">
        <f t="array" ref="K46">IFERROR(_FV(RTData[[#This Row],[Company Name]],"P/E",TRUE),99)</f>
        <v>99</v>
      </c>
      <c r="L46" s="21" cm="1">
        <f t="array" aca="1" ref="L46" ca="1">_FV(RTData[[#This Row],[Company Name]],"Change")</f>
        <v>-1</v>
      </c>
      <c r="M46" s="22" cm="1">
        <f t="array" aca="1" ref="M46" ca="1">_FV(RTData[[#This Row],[Company Name]],"Change (%)",TRUE)</f>
        <v>-2.8531000000000001E-2</v>
      </c>
      <c r="N46" s="29" cm="1">
        <f t="array" aca="1" ref="N46" ca="1">_FV(RTData[[#This Row],[Company Name]],"52 week low",TRUE)</f>
        <v>2.1</v>
      </c>
      <c r="O46" s="29" cm="1">
        <f t="array" aca="1" ref="O46" ca="1">_FV(RTData[[#This Row],[Company Name]],"52 week high",TRUE)</f>
        <v>73.5</v>
      </c>
      <c r="P46" s="23" cm="1">
        <f t="array" aca="1" ref="P46" ca="1">_FV(RTData[[#This Row],[Company Name]],"Volume")</f>
        <v>41</v>
      </c>
      <c r="Q46" s="23" cm="1">
        <f t="array" aca="1" ref="Q46" ca="1">_FV(RTData[[#This Row],[Company Name]],"Volume average",TRUE)</f>
        <v>3130</v>
      </c>
      <c r="R46" s="29" cm="1">
        <f t="array" aca="1" ref="R46" ca="1">_FV(RTData[[#This Row],[Company Name]],"Beta")</f>
        <v>1.0087999999999999</v>
      </c>
      <c r="T46" t="s">
        <v>20</v>
      </c>
      <c r="U46" t="str" cm="1">
        <f t="array" aca="1" ref="U46" ca="1">_FV(RTData[[#This Row],[Company Name]],"Exchange abbreviation",TRUE)</f>
        <v>XFRA</v>
      </c>
      <c r="V46" s="24">
        <f ca="1">IFERROR(RTData[[#This Row],[Volume]]/RTData[[#This Row],[Volume average]],1)</f>
        <v>1.3099041533546326E-2</v>
      </c>
      <c r="W46" s="24"/>
      <c r="X46" s="103">
        <f>[2]Sheet2!$E45</f>
        <v>0</v>
      </c>
      <c r="Y46" s="149">
        <f>[2]Sheet2!$F45</f>
        <v>0</v>
      </c>
      <c r="Z46" s="149">
        <f>[2]Sheet2!$G45</f>
        <v>0</v>
      </c>
      <c r="AA46" s="150">
        <f>[2]Sheet2!$H45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0.84645336041984087</v>
      </c>
      <c r="C47" s="25" t="e" vm="45">
        <v>#VALUE!</v>
      </c>
      <c r="D47" s="17" t="str" cm="1">
        <f t="array" aca="1" ref="D47" ca="1">_FV(RTData[[#This Row],[Company Name]],"Currency")</f>
        <v>USD</v>
      </c>
      <c r="E47" s="18" cm="1">
        <f t="array" aca="1" ref="E47" ca="1">_FV(RTData[[#This Row],[Company Name]],"Last trade time",TRUE)</f>
        <v>45923.843354467186</v>
      </c>
      <c r="F47" s="19" cm="1">
        <f t="array" aca="1" ref="F47" ca="1">_FV(RTData[[#This Row],[Company Name]],"Previous close",TRUE)</f>
        <v>6.5</v>
      </c>
      <c r="G47" s="19" cm="1">
        <f t="array" aca="1" ref="G47" ca="1">_FV(RTData[[#This Row],[Company Name]],"Open")</f>
        <v>6.5</v>
      </c>
      <c r="H47" s="19" cm="1">
        <f t="array" aca="1" ref="H47" ca="1">_FV(RTData[[#This Row],[Company Name]],"Price")</f>
        <v>6.67</v>
      </c>
      <c r="I47" s="19" cm="1">
        <f t="array" aca="1" ref="I47" ca="1">_FV(RTData[[#This Row],[Company Name]],"Low")</f>
        <v>6.47</v>
      </c>
      <c r="J47" s="19" cm="1">
        <f t="array" aca="1" ref="J47" ca="1">_FV(RTData[[#This Row],[Company Name]],"High")</f>
        <v>6.95</v>
      </c>
      <c r="K47" s="20" cm="1">
        <f t="array" aca="1" ref="K47" ca="1">IFERROR(_FV(RTData[[#This Row],[Company Name]],"P/E",TRUE),99)</f>
        <v>27.3262</v>
      </c>
      <c r="L47" s="21" cm="1">
        <f t="array" aca="1" ref="L47" ca="1">_FV(RTData[[#This Row],[Company Name]],"Change")</f>
        <v>0.17</v>
      </c>
      <c r="M47" s="22" cm="1">
        <f t="array" aca="1" ref="M47" ca="1">_FV(RTData[[#This Row],[Company Name]],"Change (%)",TRUE)</f>
        <v>2.6154E-2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3396133</v>
      </c>
      <c r="Q47" s="23" cm="1">
        <f t="array" aca="1" ref="Q47" ca="1">_FV(RTData[[#This Row],[Company Name]],"Volume average",TRUE)</f>
        <v>3640100</v>
      </c>
      <c r="R47" s="19" cm="1">
        <f t="array" aca="1" ref="R47" ca="1">_FV(RTData[[#This Row],[Company Name]],"Beta")</f>
        <v>1.5790999999999999</v>
      </c>
      <c r="T47" t="s">
        <v>20</v>
      </c>
      <c r="U47" t="str" cm="1">
        <f t="array" aca="1" ref="U47" ca="1">_FV(RTData[[#This Row],[Company Name]],"Exchange abbreviation",TRUE)</f>
        <v>XNAS</v>
      </c>
      <c r="V47" s="24">
        <f ca="1">IFERROR(RTData[[#This Row],[Volume]]/RTData[[#This Row],[Volume average]],1)</f>
        <v>0.93297794016647895</v>
      </c>
      <c r="W47" s="24"/>
      <c r="X47" s="103">
        <f>[2]Sheet2!$E46</f>
        <v>8.2502700000000004</v>
      </c>
      <c r="Y47" s="149">
        <f>[2]Sheet2!$F46</f>
        <v>45457</v>
      </c>
      <c r="Z47" s="149" t="str">
        <f>[2]Sheet2!$G46</f>
        <v>Oct 30, 2025</v>
      </c>
      <c r="AA47" s="150">
        <f>[2]Sheet2!$H46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0.84645336041984087</v>
      </c>
      <c r="C48" s="25" t="e" vm="46">
        <v>#VALUE!</v>
      </c>
      <c r="D48" s="17" t="str" cm="1">
        <f t="array" aca="1" ref="D48" ca="1">_FV(RTData[[#This Row],[Company Name]],"Currency")</f>
        <v>USD</v>
      </c>
      <c r="E48" s="18" cm="1">
        <f t="array" aca="1" ref="E48" ca="1">_FV(RTData[[#This Row],[Company Name]],"Last trade time",TRUE)</f>
        <v>45923.845509027342</v>
      </c>
      <c r="F48" s="19" cm="1">
        <f t="array" aca="1" ref="F48" ca="1">_FV(RTData[[#This Row],[Company Name]],"Previous close",TRUE)</f>
        <v>338.79</v>
      </c>
      <c r="G48" s="19" cm="1">
        <f t="array" aca="1" ref="G48" ca="1">_FV(RTData[[#This Row],[Company Name]],"Open")</f>
        <v>340.24</v>
      </c>
      <c r="H48" s="19" cm="1">
        <f t="array" aca="1" ref="H48" ca="1">_FV(RTData[[#This Row],[Company Name]],"Price")</f>
        <v>338.94</v>
      </c>
      <c r="I48" s="19" cm="1">
        <f t="array" aca="1" ref="I48" ca="1">_FV(RTData[[#This Row],[Company Name]],"Low")</f>
        <v>337.02159999999998</v>
      </c>
      <c r="J48" s="19" cm="1">
        <f t="array" aca="1" ref="J48" ca="1">_FV(RTData[[#This Row],[Company Name]],"High")</f>
        <v>345.21499999999997</v>
      </c>
      <c r="K48" s="20" cm="1">
        <f t="array" aca="1" ref="K48" ca="1">IFERROR(_FV(RTData[[#This Row],[Company Name]],"P/E",TRUE),99)</f>
        <v>86.847399999999993</v>
      </c>
      <c r="L48" s="21" cm="1">
        <f t="array" aca="1" ref="L48" ca="1">_FV(RTData[[#This Row],[Company Name]],"Change")</f>
        <v>0.15</v>
      </c>
      <c r="M48" s="22" cm="1">
        <f t="array" aca="1" ref="M48" ca="1">_FV(RTData[[#This Row],[Company Name]],"Change (%)",TRUE)</f>
        <v>4.4279999999999998E-4</v>
      </c>
      <c r="N48" s="19" cm="1">
        <f t="array" aca="1" ref="N48" ca="1">_FV(RTData[[#This Row],[Company Name]],"52 week low",TRUE)</f>
        <v>138.1</v>
      </c>
      <c r="O48" s="19" cm="1">
        <f t="array" aca="1" ref="O48" ca="1">_FV(RTData[[#This Row],[Company Name]],"52 week high",TRUE)</f>
        <v>374.23</v>
      </c>
      <c r="P48" s="23" cm="1">
        <f t="array" aca="1" ref="P48" ca="1">_FV(RTData[[#This Row],[Company Name]],"Volume")</f>
        <v>20883616</v>
      </c>
      <c r="Q48" s="23" cm="1">
        <f t="array" aca="1" ref="Q48" ca="1">_FV(RTData[[#This Row],[Company Name]],"Volume average",TRUE)</f>
        <v>27942576</v>
      </c>
      <c r="R48" s="19" cm="1">
        <f t="array" aca="1" ref="R48" ca="1">_FV(RTData[[#This Row],[Company Name]],"Beta")</f>
        <v>1.2136</v>
      </c>
      <c r="T48" t="s">
        <v>20</v>
      </c>
      <c r="U48" t="str" cm="1">
        <f t="array" aca="1" ref="U48" ca="1">_FV(RTData[[#This Row],[Company Name]],"Exchange abbreviation",TRUE)</f>
        <v>XNAS</v>
      </c>
      <c r="V48" s="24">
        <f ca="1">IFERROR(RTData[[#This Row],[Volume]]/RTData[[#This Row],[Volume average]],1)</f>
        <v>0.74737619036984992</v>
      </c>
      <c r="W48" s="24"/>
      <c r="X48" s="103">
        <f>[2]Sheet2!$E47</f>
        <v>355.06</v>
      </c>
      <c r="Y48" s="149">
        <f>[2]Sheet2!$F47</f>
        <v>45922</v>
      </c>
      <c r="Z48" s="149" t="str">
        <f>[2]Sheet2!$G47</f>
        <v>Sep 4, 2025</v>
      </c>
      <c r="AA48" s="150">
        <f>[2]Sheet2!$H47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0.84645336041984087</v>
      </c>
      <c r="C49" s="16" t="e" vm="47">
        <v>#VALUE!</v>
      </c>
      <c r="D49" s="17" t="str" cm="1">
        <f t="array" aca="1" ref="D49" ca="1">_FV(RTData[[#This Row],[Company Name]],"Currency")</f>
        <v>USD</v>
      </c>
      <c r="E49" s="18" cm="1">
        <f t="array" aca="1" ref="E49" ca="1">_FV(RTData[[#This Row],[Company Name]],"Last trade time",TRUE)</f>
        <v>45923.833338599215</v>
      </c>
      <c r="F49" s="19" cm="1">
        <f t="array" aca="1" ref="F49" ca="1">_FV(RTData[[#This Row],[Company Name]],"Previous close",TRUE)</f>
        <v>29.18</v>
      </c>
      <c r="G49" s="19" cm="1">
        <f t="array" aca="1" ref="G49" ca="1">_FV(RTData[[#This Row],[Company Name]],"Open")</f>
        <v>29.78</v>
      </c>
      <c r="H49" s="19" cm="1">
        <f t="array" aca="1" ref="H49" ca="1">_FV(RTData[[#This Row],[Company Name]],"Price")</f>
        <v>29.66</v>
      </c>
      <c r="I49" s="19" cm="1">
        <f t="array" aca="1" ref="I49" ca="1">_FV(RTData[[#This Row],[Company Name]],"Low")</f>
        <v>29.59</v>
      </c>
      <c r="J49" s="19" cm="1">
        <f t="array" aca="1" ref="J49" ca="1">_FV(RTData[[#This Row],[Company Name]],"High")</f>
        <v>30</v>
      </c>
      <c r="K49" s="20" cm="1">
        <f t="array" aca="1" ref="K49" ca="1">IFERROR(_FV(RTData[[#This Row],[Company Name]],"P/E",TRUE),99)</f>
        <v>0</v>
      </c>
      <c r="L49" s="21" cm="1">
        <f t="array" aca="1" ref="L49" ca="1">_FV(RTData[[#This Row],[Company Name]],"Change")</f>
        <v>0.48</v>
      </c>
      <c r="M49" s="22" cm="1">
        <f t="array" aca="1" ref="M49" ca="1">_FV(RTData[[#This Row],[Company Name]],"Change (%)",TRUE)</f>
        <v>1.6449999999999999E-2</v>
      </c>
      <c r="N49" s="19" cm="1">
        <f t="array" aca="1" ref="N49" ca="1">_FV(RTData[[#This Row],[Company Name]],"52 week low",TRUE)</f>
        <v>22.55</v>
      </c>
      <c r="O49" s="19" cm="1">
        <f t="array" aca="1" ref="O49" ca="1">_FV(RTData[[#This Row],[Company Name]],"52 week high",TRUE)</f>
        <v>33.33</v>
      </c>
      <c r="P49" s="23" cm="1">
        <f t="array" aca="1" ref="P49" ca="1">_FV(RTData[[#This Row],[Company Name]],"Volume")</f>
        <v>44459</v>
      </c>
      <c r="Q49" s="23" cm="1">
        <f t="array" aca="1" ref="Q49" ca="1">_FV(RTData[[#This Row],[Company Name]],"Volume average",TRUE)</f>
        <v>2497410</v>
      </c>
      <c r="R49" s="19" cm="1">
        <f t="array" aca="1" ref="R49" ca="1">_FV(RTData[[#This Row],[Company Name]],"Beta")</f>
        <v>0.90300000000000002</v>
      </c>
      <c r="T49" t="s">
        <v>20</v>
      </c>
      <c r="U49" t="str" cm="1">
        <f t="array" aca="1" ref="U49" ca="1">_FV(RTData[[#This Row],[Company Name]],"Exchange abbreviation",TRUE)</f>
        <v>OTCM</v>
      </c>
      <c r="V49" s="24">
        <f ca="1">IFERROR(RTData[[#This Row],[Volume]]/RTData[[#This Row],[Volume average]],1)</f>
        <v>1.7802042916461452E-2</v>
      </c>
      <c r="W49" s="24"/>
      <c r="X49" s="103">
        <f>[2]Sheet2!$E48</f>
        <v>36</v>
      </c>
      <c r="Y49" s="149">
        <f>[2]Sheet2!$F48</f>
        <v>45751</v>
      </c>
      <c r="Z49" s="149">
        <f>[2]Sheet2!$G48</f>
        <v>0</v>
      </c>
      <c r="AA49" s="150">
        <f>[2]Sheet2!$H48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1.0698619878035733</v>
      </c>
      <c r="C50" s="25" t="e" vm="48">
        <v>#VALUE!</v>
      </c>
      <c r="D50" s="17" t="str" cm="1">
        <f t="array" aca="1" ref="D50" ca="1">_FV(RTData[[#This Row],[Company Name]],"Currency")</f>
        <v>CHF</v>
      </c>
      <c r="E50" s="18" cm="1">
        <f t="array" aca="1" ref="E50" ca="1">_FV(RTData[[#This Row],[Company Name]],"Last trade time",TRUE)</f>
        <v>45923.708738425928</v>
      </c>
      <c r="F50" s="38" cm="1">
        <f t="array" aca="1" ref="F50" ca="1">_FV(RTData[[#This Row],[Company Name]],"Previous close",TRUE)</f>
        <v>60.5</v>
      </c>
      <c r="G50" s="38" cm="1">
        <f t="array" aca="1" ref="G50" ca="1">_FV(RTData[[#This Row],[Company Name]],"Open")</f>
        <v>60.5</v>
      </c>
      <c r="H50" s="38" cm="1">
        <f t="array" aca="1" ref="H50" ca="1">_FV(RTData[[#This Row],[Company Name]],"Price")</f>
        <v>60.9</v>
      </c>
      <c r="I50" s="39" cm="1">
        <f t="array" aca="1" ref="I50" ca="1">_FV(RTData[[#This Row],[Company Name]],"Low")</f>
        <v>60.3</v>
      </c>
      <c r="J50" s="39" cm="1">
        <f t="array" aca="1" ref="J50" ca="1">_FV(RTData[[#This Row],[Company Name]],"High")</f>
        <v>61.3</v>
      </c>
      <c r="K50" s="20" cm="1">
        <f t="array" aca="1" ref="K50" ca="1">IFERROR(_FV(RTData[[#This Row],[Company Name]],"P/E",TRUE),99)</f>
        <v>13.747199999999999</v>
      </c>
      <c r="L50" s="21" cm="1">
        <f t="array" aca="1" ref="L50" ca="1">_FV(RTData[[#This Row],[Company Name]],"Change")</f>
        <v>0.4</v>
      </c>
      <c r="M50" s="40" cm="1">
        <f t="array" aca="1" ref="M50" ca="1">_FV(RTData[[#This Row],[Company Name]],"Change (%)",TRUE)</f>
        <v>6.6119999999999998E-3</v>
      </c>
      <c r="N50" s="39" cm="1">
        <f t="array" aca="1" ref="N50" ca="1">_FV(RTData[[#This Row],[Company Name]],"52 week low",TRUE)</f>
        <v>51.1</v>
      </c>
      <c r="O50" s="39" cm="1">
        <f t="array" aca="1" ref="O50" ca="1">_FV(RTData[[#This Row],[Company Name]],"52 week high",TRUE)</f>
        <v>69.5</v>
      </c>
      <c r="P50" s="23" cm="1">
        <f t="array" aca="1" ref="P50" ca="1">_FV(RTData[[#This Row],[Company Name]],"Volume")</f>
        <v>32262</v>
      </c>
      <c r="Q50" s="23" cm="1">
        <f t="array" aca="1" ref="Q50" ca="1">_FV(RTData[[#This Row],[Company Name]],"Volume average",TRUE)</f>
        <v>26880</v>
      </c>
      <c r="R50" s="19" cm="1">
        <f t="array" aca="1" ref="R50" ca="1">_FV(RTData[[#This Row],[Company Name]],"Beta")</f>
        <v>1.0328999999999999</v>
      </c>
      <c r="T50" t="s">
        <v>20</v>
      </c>
      <c r="U50" t="str" cm="1">
        <f t="array" aca="1" ref="U50" ca="1">_FV(RTData[[#This Row],[Company Name]],"Exchange abbreviation",TRUE)</f>
        <v>XSWX</v>
      </c>
      <c r="V50" s="24">
        <f ca="1">IFERROR(RTData[[#This Row],[Volume]]/RTData[[#This Row],[Volume average]],1)</f>
        <v>1.2002232142857143</v>
      </c>
      <c r="W50" s="24"/>
      <c r="X50" s="103">
        <v>63.33</v>
      </c>
      <c r="Y50" s="149">
        <f>[2]Sheet2!$F49</f>
        <v>45751</v>
      </c>
      <c r="Z50" s="149" t="str">
        <f>[2]Sheet2!$G49</f>
        <v>Jul 24, 2025</v>
      </c>
      <c r="AA50" s="150">
        <f>[2]Sheet2!$H49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0.84645336041984087</v>
      </c>
      <c r="C51" s="25" t="e" vm="49">
        <v>#VALUE!</v>
      </c>
      <c r="D51" s="17" t="str" cm="1">
        <f t="array" aca="1" ref="D51" ca="1">_FV(RTData[[#This Row],[Company Name]],"Currency")</f>
        <v>USD</v>
      </c>
      <c r="E51" s="18" cm="1">
        <f t="array" aca="1" ref="E51" ca="1">_FV(RTData[[#This Row],[Company Name]],"Last trade time",TRUE)</f>
        <v>45923.842106435157</v>
      </c>
      <c r="F51" s="19" cm="1">
        <f t="array" aca="1" ref="F51" ca="1">_FV(RTData[[#This Row],[Company Name]],"Previous close",TRUE)</f>
        <v>9.7899999999999991</v>
      </c>
      <c r="G51" s="19" cm="1">
        <f t="array" aca="1" ref="G51" ca="1">_FV(RTData[[#This Row],[Company Name]],"Open")</f>
        <v>9.7899999999999991</v>
      </c>
      <c r="H51" s="19" cm="1">
        <f t="array" aca="1" ref="H51" ca="1">_FV(RTData[[#This Row],[Company Name]],"Price")</f>
        <v>9.6</v>
      </c>
      <c r="I51" s="19" cm="1">
        <f t="array" aca="1" ref="I51" ca="1">_FV(RTData[[#This Row],[Company Name]],"Low")</f>
        <v>9.5701000000000001</v>
      </c>
      <c r="J51" s="19" cm="1">
        <f t="array" aca="1" ref="J51" ca="1">_FV(RTData[[#This Row],[Company Name]],"High")</f>
        <v>9.8000000000000007</v>
      </c>
      <c r="K51" s="20" cm="1">
        <f t="array" aca="1" ref="K51" ca="1">IFERROR(_FV(RTData[[#This Row],[Company Name]],"P/E",TRUE),99)</f>
        <v>0</v>
      </c>
      <c r="L51" s="21" cm="1">
        <f t="array" aca="1" ref="L51" ca="1">_FV(RTData[[#This Row],[Company Name]],"Change")</f>
        <v>-0.19</v>
      </c>
      <c r="M51" s="22" cm="1">
        <f t="array" aca="1" ref="M51" ca="1">_FV(RTData[[#This Row],[Company Name]],"Change (%)",TRUE)</f>
        <v>-1.9408000000000002E-2</v>
      </c>
      <c r="N51" s="19" cm="1">
        <f t="array" aca="1" ref="N51" ca="1">_FV(RTData[[#This Row],[Company Name]],"52 week low",TRUE)</f>
        <v>6.85</v>
      </c>
      <c r="O51" s="19" cm="1">
        <f t="array" aca="1" ref="O51" ca="1">_FV(RTData[[#This Row],[Company Name]],"52 week high",TRUE)</f>
        <v>13.55</v>
      </c>
      <c r="P51" s="23" cm="1">
        <f t="array" aca="1" ref="P51" ca="1">_FV(RTData[[#This Row],[Company Name]],"Volume")</f>
        <v>8973629</v>
      </c>
      <c r="Q51" s="23" cm="1">
        <f t="array" aca="1" ref="Q51" ca="1">_FV(RTData[[#This Row],[Company Name]],"Volume average",TRUE)</f>
        <v>10585735</v>
      </c>
      <c r="R51" s="19" cm="1">
        <f t="array" aca="1" ref="R51" ca="1">_FV(RTData[[#This Row],[Company Name]],"Beta")</f>
        <v>0.88690000000000002</v>
      </c>
      <c r="T51" t="s">
        <v>20</v>
      </c>
      <c r="U51" t="str" cm="1">
        <f t="array" aca="1" ref="U51" ca="1">_FV(RTData[[#This Row],[Company Name]],"Exchange abbreviation",TRUE)</f>
        <v>XNAS</v>
      </c>
      <c r="V51" s="24">
        <f ca="1">IFERROR(RTData[[#This Row],[Volume]]/RTData[[#This Row],[Volume average]],1)</f>
        <v>0.84770958275452768</v>
      </c>
      <c r="W51" s="24"/>
      <c r="X51" s="103">
        <f>[2]Sheet2!$E50</f>
        <v>11.428570000000001</v>
      </c>
      <c r="Y51" s="149">
        <f>[2]Sheet2!$F50</f>
        <v>45891</v>
      </c>
      <c r="Z51" s="149" t="str">
        <f>[2]Sheet2!$G50</f>
        <v>Nov 6, 2025</v>
      </c>
      <c r="AA51" s="150">
        <f>[2]Sheet2!$H50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0.84645336041984087</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[2]Sheet2!$E51</f>
        <v>12.11429</v>
      </c>
      <c r="Y52" s="149">
        <f>[2]Sheet2!$F51</f>
        <v>45614</v>
      </c>
      <c r="Z52" s="149">
        <f>[2]Sheet2!$G51</f>
        <v>0</v>
      </c>
      <c r="AA52" s="150">
        <f>[2]Sheet2!$H51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0.84645336041984087</v>
      </c>
      <c r="C53" s="25" t="e" vm="51">
        <v>#VALUE!</v>
      </c>
      <c r="D53" s="17" t="str" cm="1">
        <f t="array" aca="1" ref="D53" ca="1">_FV(RTData[[#This Row],[Company Name]],"Currency")</f>
        <v>USD</v>
      </c>
      <c r="E53" s="18" cm="1">
        <f t="array" aca="1" ref="E53" ca="1">_FV(RTData[[#This Row],[Company Name]],"Last trade time",TRUE)</f>
        <v>45923.845489455467</v>
      </c>
      <c r="F53" s="19" cm="1">
        <f t="array" aca="1" ref="F53" ca="1">_FV(RTData[[#This Row],[Company Name]],"Previous close",TRUE)</f>
        <v>112.02</v>
      </c>
      <c r="G53" s="19" cm="1">
        <f t="array" aca="1" ref="G53" ca="1">_FV(RTData[[#This Row],[Company Name]],"Open")</f>
        <v>112.72</v>
      </c>
      <c r="H53" s="19" cm="1">
        <f t="array" aca="1" ref="H53" ca="1">_FV(RTData[[#This Row],[Company Name]],"Price")</f>
        <v>113.99</v>
      </c>
      <c r="I53" s="19" cm="1">
        <f t="array" aca="1" ref="I53" ca="1">_FV(RTData[[#This Row],[Company Name]],"Low")</f>
        <v>112.47499999999999</v>
      </c>
      <c r="J53" s="19" cm="1">
        <f t="array" aca="1" ref="J53" ca="1">_FV(RTData[[#This Row],[Company Name]],"High")</f>
        <v>114.7488</v>
      </c>
      <c r="K53" s="20" cm="1">
        <f t="array" aca="1" ref="K53" ca="1">IFERROR(_FV(RTData[[#This Row],[Company Name]],"P/E",TRUE),99)</f>
        <v>15.895</v>
      </c>
      <c r="L53" s="21" cm="1">
        <f t="array" aca="1" ref="L53" ca="1">_FV(RTData[[#This Row],[Company Name]],"Change")</f>
        <v>1.97</v>
      </c>
      <c r="M53" s="22" cm="1">
        <f t="array" aca="1" ref="M53" ca="1">_FV(RTData[[#This Row],[Company Name]],"Change (%)",TRUE)</f>
        <v>1.7586000000000001E-2</v>
      </c>
      <c r="N53" s="19" cm="1">
        <f t="array" aca="1" ref="N53" ca="1">_FV(RTData[[#This Row],[Company Name]],"52 week low",TRUE)</f>
        <v>97.8</v>
      </c>
      <c r="O53" s="19" cm="1">
        <f t="array" aca="1" ref="O53" ca="1">_FV(RTData[[#This Row],[Company Name]],"52 week high",TRUE)</f>
        <v>126.34</v>
      </c>
      <c r="P53" s="23" cm="1">
        <f t="array" aca="1" ref="P53" ca="1">_FV(RTData[[#This Row],[Company Name]],"Volume")</f>
        <v>23727469</v>
      </c>
      <c r="Q53" s="23" cm="1">
        <f t="array" aca="1" ref="Q53" ca="1">_FV(RTData[[#This Row],[Company Name]],"Volume average",TRUE)</f>
        <v>15473880</v>
      </c>
      <c r="R53" s="19" cm="1">
        <f t="array" aca="1" ref="R53" ca="1">_FV(RTData[[#This Row],[Company Name]],"Beta")</f>
        <v>0.4824</v>
      </c>
      <c r="T53" t="s">
        <v>20</v>
      </c>
      <c r="U53" t="str" cm="1">
        <f t="array" aca="1" ref="U53" ca="1">_FV(RTData[[#This Row],[Company Name]],"Exchange abbreviation",TRUE)</f>
        <v>XNYS</v>
      </c>
      <c r="V53" s="24">
        <f ca="1">IFERROR(RTData[[#This Row],[Volume]]/RTData[[#This Row],[Volume average]],1)</f>
        <v>1.5333884584861714</v>
      </c>
      <c r="W53" s="24"/>
      <c r="X53" s="103">
        <f>[2]Sheet2!$E52</f>
        <v>124.79167</v>
      </c>
      <c r="Y53" s="149">
        <f>[2]Sheet2!$F52</f>
        <v>45884</v>
      </c>
      <c r="Z53" s="149" t="str">
        <f>[2]Sheet2!$G52</f>
        <v>Oct 31, 2025</v>
      </c>
      <c r="AA53" s="150">
        <f>[2]Sheet2!$H52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0.84645336041984087</v>
      </c>
      <c r="C54" s="25" t="e" vm="52">
        <v>#VALUE!</v>
      </c>
      <c r="D54" s="17" t="str" cm="1">
        <f t="array" aca="1" ref="D54" ca="1">_FV(RTData[[#This Row],[Company Name]],"Currency")</f>
        <v>USD</v>
      </c>
      <c r="E54" s="18" cm="1">
        <f t="array" aca="1" ref="E54" ca="1">_FV(RTData[[#This Row],[Company Name]],"Last trade time",TRUE)</f>
        <v>45923.843362707812</v>
      </c>
      <c r="F54" s="19" cm="1">
        <f t="array" aca="1" ref="F54" ca="1">_FV(RTData[[#This Row],[Company Name]],"Previous close",TRUE)</f>
        <v>6.51</v>
      </c>
      <c r="G54" s="19" cm="1">
        <f t="array" aca="1" ref="G54" ca="1">_FV(RTData[[#This Row],[Company Name]],"Open")</f>
        <v>6.56</v>
      </c>
      <c r="H54" s="19" cm="1">
        <f t="array" aca="1" ref="H54" ca="1">_FV(RTData[[#This Row],[Company Name]],"Price")</f>
        <v>6.32</v>
      </c>
      <c r="I54" s="19" cm="1">
        <f t="array" aca="1" ref="I54" ca="1">_FV(RTData[[#This Row],[Company Name]],"Low")</f>
        <v>6.31</v>
      </c>
      <c r="J54" s="19" cm="1">
        <f t="array" aca="1" ref="J54" ca="1">_FV(RTData[[#This Row],[Company Name]],"High")</f>
        <v>6.5899000000000001</v>
      </c>
      <c r="K54" s="20" cm="1">
        <f t="array" ref="K54">IFERROR(_FV(RTData[[#This Row],[Company Name]],"P/E",TRUE),99)</f>
        <v>99</v>
      </c>
      <c r="L54" s="21" cm="1">
        <f t="array" aca="1" ref="L54" ca="1">_FV(RTData[[#This Row],[Company Name]],"Change")</f>
        <v>-0.19</v>
      </c>
      <c r="M54" s="22" cm="1">
        <f t="array" aca="1" ref="M54" ca="1">_FV(RTData[[#This Row],[Company Name]],"Change (%)",TRUE)</f>
        <v>-2.9186E-2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492623</v>
      </c>
      <c r="Q54" s="23" cm="1">
        <f t="array" aca="1" ref="Q54" ca="1">_FV(RTData[[#This Row],[Company Name]],"Volume average",TRUE)</f>
        <v>497116</v>
      </c>
      <c r="R54" s="19" cm="1">
        <f t="array" aca="1" ref="R54" ca="1">_FV(RTData[[#This Row],[Company Name]],"Beta")</f>
        <v>1.1439999999999999</v>
      </c>
      <c r="T54" t="s">
        <v>20</v>
      </c>
      <c r="U54" t="str" cm="1">
        <f t="array" aca="1" ref="U54" ca="1">_FV(RTData[[#This Row],[Company Name]],"Exchange abbreviation",TRUE)</f>
        <v>XNYS</v>
      </c>
      <c r="V54" s="24">
        <f ca="1">IFERROR(RTData[[#This Row],[Volume]]/RTData[[#This Row],[Volume average]],1)</f>
        <v>0.99096186805494091</v>
      </c>
      <c r="W54" s="24"/>
      <c r="X54" s="103">
        <f>[2]Sheet2!$E53</f>
        <v>11</v>
      </c>
      <c r="Y54" s="149">
        <f>[2]Sheet2!$F53</f>
        <v>0</v>
      </c>
      <c r="Z54" s="149">
        <f>[2]Sheet2!$G53</f>
        <v>0</v>
      </c>
      <c r="AA54" s="150">
        <f>[2]Sheet2!$H53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45923.666666666664</v>
      </c>
      <c r="F55" s="81" cm="1">
        <f t="array" aca="1" ref="F55" ca="1">_FV(RTData[[#This Row],[Company Name]],"Previous close",TRUE)</f>
        <v>0.86799999999999999</v>
      </c>
      <c r="G55" s="81" cm="1">
        <f t="array" aca="1" ref="G55" ca="1">_FV(RTData[[#This Row],[Company Name]],"Open")</f>
        <v>0.86799999999999999</v>
      </c>
      <c r="H55" s="81" cm="1">
        <f t="array" aca="1" ref="H55" ca="1">_FV(RTData[[#This Row],[Company Name]],"Price")</f>
        <v>0.78400000000000003</v>
      </c>
      <c r="I55" s="81" cm="1">
        <f t="array" aca="1" ref="I55" ca="1">_FV(RTData[[#This Row],[Company Name]],"Low")</f>
        <v>0.78400000000000003</v>
      </c>
      <c r="J55" s="81" cm="1">
        <f t="array" aca="1" ref="J55" ca="1">_FV(RTData[[#This Row],[Company Name]],"High")</f>
        <v>0.86799999999999999</v>
      </c>
      <c r="K55" s="76" cm="1">
        <f t="array" aca="1" ref="K55" ca="1">IFERROR(_FV(RTData[[#This Row],[Company Name]],"P/E",TRUE),99)</f>
        <v>0</v>
      </c>
      <c r="L55" s="77" cm="1">
        <f t="array" aca="1" ref="L55" ca="1">_FV(RTData[[#This Row],[Company Name]],"Change")</f>
        <v>-8.4000000000000005E-2</v>
      </c>
      <c r="M55" s="78" cm="1">
        <f t="array" aca="1" ref="M55" ca="1">_FV(RTData[[#This Row],[Company Name]],"Change (%)",TRUE)</f>
        <v>-9.6773999999999999E-2</v>
      </c>
      <c r="N55" s="81" cm="1">
        <f t="array" aca="1" ref="N55" ca="1">_FV(RTData[[#This Row],[Company Name]],"52 week low",TRUE)</f>
        <v>0.65</v>
      </c>
      <c r="O55" s="81" cm="1">
        <f t="array" aca="1" ref="O55" ca="1">_FV(RTData[[#This Row],[Company Name]],"52 week high",TRUE)</f>
        <v>1.76</v>
      </c>
      <c r="P55" s="79" cm="1">
        <f t="array" aca="1" ref="P55" ca="1">_FV(RTData[[#This Row],[Company Name]],"Volume")</f>
        <v>9494</v>
      </c>
      <c r="Q55" s="79" cm="1">
        <f t="array" aca="1" ref="Q55" ca="1">_FV(RTData[[#This Row],[Company Name]],"Volume average",TRUE)</f>
        <v>4180</v>
      </c>
      <c r="R55" s="74" cm="1">
        <f t="array" aca="1" ref="R55" ca="1">_FV(RTData[[#This Row],[Company Name]],"Beta")</f>
        <v>0.99</v>
      </c>
      <c r="S55" s="80" t="s">
        <v>23</v>
      </c>
      <c r="T55" s="80" t="s">
        <v>20</v>
      </c>
      <c r="U55" s="80" t="str" cm="1">
        <f t="array" aca="1" ref="U55" ca="1">_FV(RTData[[#This Row],[Company Name]],"Exchange abbreviation",TRUE)</f>
        <v>XPAR</v>
      </c>
      <c r="V55" s="141">
        <f ca="1">IFERROR(RTData[[#This Row],[Volume]]/RTData[[#This Row],[Volume average]],1)</f>
        <v>2.271291866028708</v>
      </c>
      <c r="W55" s="141"/>
      <c r="X55" s="103">
        <f>[2]Sheet2!$E54</f>
        <v>1.5333300000000001</v>
      </c>
      <c r="Y55" s="149">
        <f>[2]Sheet2!$F54</f>
        <v>0</v>
      </c>
      <c r="Z55" s="149">
        <f>[2]Sheet2!$G54</f>
        <v>0</v>
      </c>
      <c r="AA55" s="150">
        <f>[2]Sheet2!$H54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0.84645336041984087</v>
      </c>
      <c r="C56" s="71" t="e" vm="13">
        <v>#VALUE!</v>
      </c>
      <c r="D56" s="74" t="str" cm="1">
        <f t="array" aca="1" ref="D56" ca="1">_FV(RTData[[#This Row],[Company Name]],"Currency")</f>
        <v>USD</v>
      </c>
      <c r="E56" s="75" cm="1">
        <f t="array" aca="1" ref="E56" ca="1">_FV(RTData[[#This Row],[Company Name]],"Last trade time",TRUE)</f>
        <v>45923.844473043748</v>
      </c>
      <c r="F56" s="74" cm="1">
        <f t="array" aca="1" ref="F56" ca="1">_FV(RTData[[#This Row],[Company Name]],"Previous close",TRUE)</f>
        <v>2.5</v>
      </c>
      <c r="G56" s="74" cm="1">
        <f t="array" aca="1" ref="G56" ca="1">_FV(RTData[[#This Row],[Company Name]],"Open")</f>
        <v>2.6</v>
      </c>
      <c r="H56" s="74" cm="1">
        <f t="array" aca="1" ref="H56" ca="1">_FV(RTData[[#This Row],[Company Name]],"Price")</f>
        <v>2.81</v>
      </c>
      <c r="I56" s="74" cm="1">
        <f t="array" aca="1" ref="I56" ca="1">_FV(RTData[[#This Row],[Company Name]],"Low")</f>
        <v>2.59</v>
      </c>
      <c r="J56" s="74" cm="1">
        <f t="array" aca="1" ref="J56" ca="1">_FV(RTData[[#This Row],[Company Name]],"High")</f>
        <v>3.03</v>
      </c>
      <c r="K56" s="76" cm="1">
        <f t="array" ref="K56">IFERROR(_FV(RTData[[#This Row],[Company Name]],"P/E",TRUE),99)</f>
        <v>99</v>
      </c>
      <c r="L56" s="77" cm="1">
        <f t="array" aca="1" ref="L56" ca="1">_FV(RTData[[#This Row],[Company Name]],"Change")</f>
        <v>0.31</v>
      </c>
      <c r="M56" s="78" cm="1">
        <f t="array" aca="1" ref="M56" ca="1">_FV(RTData[[#This Row],[Company Name]],"Change (%)",TRUE)</f>
        <v>0.124</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10865788</v>
      </c>
      <c r="Q56" s="79" cm="1">
        <f t="array" aca="1" ref="Q56" ca="1">_FV(RTData[[#This Row],[Company Name]],"Volume average",TRUE)</f>
        <v>3751077</v>
      </c>
      <c r="R56" s="74" cm="1">
        <f t="array" aca="1" ref="R56" ca="1">_FV(RTData[[#This Row],[Company Name]],"Beta")</f>
        <v>2.0832999999999999</v>
      </c>
      <c r="S56" s="80" t="s">
        <v>23</v>
      </c>
      <c r="T56" s="80" t="s">
        <v>24</v>
      </c>
      <c r="U56" s="80" t="str" cm="1">
        <f t="array" aca="1" ref="U56" ca="1">_FV(RTData[[#This Row],[Company Name]],"Exchange abbreviation",TRUE)</f>
        <v>XNYS</v>
      </c>
      <c r="V56" s="141">
        <f ca="1">IFERROR(RTData[[#This Row],[Volume]]/RTData[[#This Row],[Volume average]],1)</f>
        <v>2.8967115311149305</v>
      </c>
      <c r="W56" s="141"/>
      <c r="X56" s="103">
        <f>[2]Sheet2!$E55</f>
        <v>3.25</v>
      </c>
      <c r="Y56" s="149">
        <f>[2]Sheet2!$F55</f>
        <v>0</v>
      </c>
      <c r="Z56" s="149" t="str">
        <f>[2]Sheet2!$G55</f>
        <v>Nov 10, 2025</v>
      </c>
      <c r="AA56" s="150">
        <f>[2]Sheet2!$H55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45923.666666666664</v>
      </c>
      <c r="F57" s="81" cm="1">
        <f t="array" aca="1" ref="F57" ca="1">_FV(RTData[[#This Row],[Company Name]],"Previous close",TRUE)</f>
        <v>27.99</v>
      </c>
      <c r="G57" s="81" cm="1">
        <f t="array" aca="1" ref="G57" ca="1">_FV(RTData[[#This Row],[Company Name]],"Open")</f>
        <v>28.03</v>
      </c>
      <c r="H57" s="81" cm="1">
        <f t="array" aca="1" ref="H57" ca="1">_FV(RTData[[#This Row],[Company Name]],"Price")</f>
        <v>27.98</v>
      </c>
      <c r="I57" s="81" cm="1">
        <f t="array" aca="1" ref="I57" ca="1">_FV(RTData[[#This Row],[Company Name]],"Low")</f>
        <v>27.96</v>
      </c>
      <c r="J57" s="81" cm="1">
        <f t="array" aca="1" ref="J57" ca="1">_FV(RTData[[#This Row],[Company Name]],"High")</f>
        <v>28.32</v>
      </c>
      <c r="K57" s="76" cm="1">
        <f t="array" aca="1" ref="K57" ca="1">IFERROR(_FV(RTData[[#This Row],[Company Name]],"P/E",TRUE),99)</f>
        <v>32.161299999999997</v>
      </c>
      <c r="L57" s="77" cm="1">
        <f t="array" aca="1" ref="L57" ca="1">_FV(RTData[[#This Row],[Company Name]],"Change")</f>
        <v>-0.01</v>
      </c>
      <c r="M57" s="78" cm="1">
        <f t="array" aca="1" ref="M57" ca="1">_FV(RTData[[#This Row],[Company Name]],"Change (%)",TRUE)</f>
        <v>-3.5729999999999996E-4</v>
      </c>
      <c r="N57" s="81" cm="1">
        <f t="array" aca="1" ref="N57" ca="1">_FV(RTData[[#This Row],[Company Name]],"52 week low",TRUE)</f>
        <v>26.25</v>
      </c>
      <c r="O57" s="81" cm="1">
        <f t="array" aca="1" ref="O57" ca="1">_FV(RTData[[#This Row],[Company Name]],"52 week high",TRUE)</f>
        <v>41.17</v>
      </c>
      <c r="P57" s="79" cm="1">
        <f t="array" aca="1" ref="P57" ca="1">_FV(RTData[[#This Row],[Company Name]],"Volume")</f>
        <v>1191057</v>
      </c>
      <c r="Q57" s="79" cm="1">
        <f t="array" aca="1" ref="Q57" ca="1">_FV(RTData[[#This Row],[Company Name]],"Volume average",TRUE)</f>
        <v>1897450</v>
      </c>
      <c r="R57" s="74" cm="1">
        <f t="array" aca="1" ref="R57" ca="1">_FV(RTData[[#This Row],[Company Name]],"Beta")</f>
        <v>0.68940000000000001</v>
      </c>
      <c r="S57" s="80" t="s">
        <v>23</v>
      </c>
      <c r="T57" s="80" t="s">
        <v>24</v>
      </c>
      <c r="U57" s="80" t="str" cm="1">
        <f t="array" aca="1" ref="U57" ca="1">_FV(RTData[[#This Row],[Company Name]],"Exchange abbreviation",TRUE)</f>
        <v>XPAR</v>
      </c>
      <c r="V57" s="141">
        <f ca="1">IFERROR(RTData[[#This Row],[Volume]]/RTData[[#This Row],[Volume average]],1)</f>
        <v>0.62771456428364381</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45923.770833333336</v>
      </c>
      <c r="F58" s="81" cm="1">
        <f t="array" aca="1" ref="F58" ca="1">_FV(RTData[[#This Row],[Company Name]],"Previous close",TRUE)</f>
        <v>15.635</v>
      </c>
      <c r="G58" s="81" cm="1">
        <f t="array" aca="1" ref="G58" ca="1">_FV(RTData[[#This Row],[Company Name]],"Open")</f>
        <v>15.744999999999999</v>
      </c>
      <c r="H58" s="81" cm="1">
        <f t="array" aca="1" ref="H58" ca="1">_FV(RTData[[#This Row],[Company Name]],"Price")</f>
        <v>15.67</v>
      </c>
      <c r="I58" s="81" cm="1">
        <f t="array" aca="1" ref="I58" ca="1">_FV(RTData[[#This Row],[Company Name]],"Low")</f>
        <v>15.67</v>
      </c>
      <c r="J58" s="81" cm="1">
        <f t="array" aca="1" ref="J58" ca="1">_FV(RTData[[#This Row],[Company Name]],"High")</f>
        <v>15.904999999999999</v>
      </c>
      <c r="K58" s="76" cm="1">
        <f t="array" aca="1" ref="K58" ca="1">IFERROR(_FV(RTData[[#This Row],[Company Name]],"P/E",TRUE),99)</f>
        <v>12.9482</v>
      </c>
      <c r="L58" s="77" cm="1">
        <f t="array" aca="1" ref="L58" ca="1">_FV(RTData[[#This Row],[Company Name]],"Change")</f>
        <v>3.5000000000000003E-2</v>
      </c>
      <c r="M58" s="78" cm="1">
        <f t="array" aca="1" ref="M58" ca="1">_FV(RTData[[#This Row],[Company Name]],"Change (%)",TRUE)</f>
        <v>2.2389999999999997E-3</v>
      </c>
      <c r="N58" s="81" cm="1">
        <f t="array" aca="1" ref="N58" ca="1">_FV(RTData[[#This Row],[Company Name]],"52 week low",TRUE)</f>
        <v>10.435</v>
      </c>
      <c r="O58" s="81" cm="1">
        <f t="array" aca="1" ref="O58" ca="1">_FV(RTData[[#This Row],[Company Name]],"52 week high",TRUE)</f>
        <v>16.55</v>
      </c>
      <c r="P58" s="79" cm="1">
        <f t="array" aca="1" ref="P58" ca="1">_FV(RTData[[#This Row],[Company Name]],"Volume")</f>
        <v>2910064</v>
      </c>
      <c r="Q58" s="79" cm="1">
        <f t="array" aca="1" ref="Q58" ca="1">_FV(RTData[[#This Row],[Company Name]],"Volume average",TRUE)</f>
        <v>4752370</v>
      </c>
      <c r="R58" s="74" cm="1">
        <f t="array" aca="1" ref="R58" ca="1">_FV(RTData[[#This Row],[Company Name]],"Beta")</f>
        <v>0.70750000000000002</v>
      </c>
      <c r="S58" s="80" t="s">
        <v>23</v>
      </c>
      <c r="T58" s="80" t="s">
        <v>24</v>
      </c>
      <c r="U58" s="80" t="str" cm="1">
        <f t="array" aca="1" ref="U58" ca="1">_FV(RTData[[#This Row],[Company Name]],"Exchange abbreviation",TRUE)</f>
        <v>XETR</v>
      </c>
      <c r="V58" s="141">
        <f ca="1">IFERROR(RTData[[#This Row],[Volume]]/RTData[[#This Row],[Volume average]],1)</f>
        <v>0.61233952743578468</v>
      </c>
      <c r="W58" s="141"/>
      <c r="X58" s="103">
        <f>[2]Sheet2!$E57</f>
        <v>16.88824</v>
      </c>
      <c r="Y58" s="149">
        <f>[2]Sheet2!$F57</f>
        <v>45793</v>
      </c>
      <c r="Z58" s="149">
        <f>[2]Sheet2!$G57</f>
        <v>0</v>
      </c>
      <c r="AA58" s="150">
        <f>[2]Sheet2!$H57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45923.666666666664</v>
      </c>
      <c r="F59" s="81" cm="1">
        <f t="array" aca="1" ref="F59" ca="1">_FV(RTData[[#This Row],[Company Name]],"Previous close",TRUE)</f>
        <v>14.59</v>
      </c>
      <c r="G59" s="81" cm="1">
        <f t="array" aca="1" ref="G59" ca="1">_FV(RTData[[#This Row],[Company Name]],"Open")</f>
        <v>14.6</v>
      </c>
      <c r="H59" s="81" cm="1">
        <f t="array" aca="1" ref="H59" ca="1">_FV(RTData[[#This Row],[Company Name]],"Price")</f>
        <v>14.84</v>
      </c>
      <c r="I59" s="81" cm="1">
        <f t="array" aca="1" ref="I59" ca="1">_FV(RTData[[#This Row],[Company Name]],"Low")</f>
        <v>14.56</v>
      </c>
      <c r="J59" s="81" cm="1">
        <f t="array" aca="1" ref="J59" ca="1">_FV(RTData[[#This Row],[Company Name]],"High")</f>
        <v>14.914</v>
      </c>
      <c r="K59" s="76" cm="1">
        <f t="array" aca="1" ref="K59" ca="1">IFERROR(_FV(RTData[[#This Row],[Company Name]],"P/E",TRUE),99)</f>
        <v>18.540700000000001</v>
      </c>
      <c r="L59" s="77" cm="1">
        <f t="array" aca="1" ref="L59" ca="1">_FV(RTData[[#This Row],[Company Name]],"Change")</f>
        <v>0.25</v>
      </c>
      <c r="M59" s="78" cm="1">
        <f t="array" aca="1" ref="M59" ca="1">_FV(RTData[[#This Row],[Company Name]],"Change (%)",TRUE)</f>
        <v>1.7135000000000001E-2</v>
      </c>
      <c r="N59" s="81" cm="1">
        <f t="array" aca="1" ref="N59" ca="1">_FV(RTData[[#This Row],[Company Name]],"52 week low",TRUE)</f>
        <v>11.01</v>
      </c>
      <c r="O59" s="81" cm="1">
        <f t="array" aca="1" ref="O59" ca="1">_FV(RTData[[#This Row],[Company Name]],"52 week high",TRUE)</f>
        <v>15.39</v>
      </c>
      <c r="P59" s="79" cm="1">
        <f t="array" aca="1" ref="P59" ca="1">_FV(RTData[[#This Row],[Company Name]],"Volume")</f>
        <v>10978661</v>
      </c>
      <c r="Q59" s="79" cm="1">
        <f t="array" aca="1" ref="Q59" ca="1">_FV(RTData[[#This Row],[Company Name]],"Volume average",TRUE)</f>
        <v>9398690</v>
      </c>
      <c r="R59" s="74" cm="1">
        <f t="array" aca="1" ref="R59" ca="1">_FV(RTData[[#This Row],[Company Name]],"Beta")</f>
        <v>1.1025</v>
      </c>
      <c r="S59" s="80" t="s">
        <v>23</v>
      </c>
      <c r="T59" s="80" t="s">
        <v>24</v>
      </c>
      <c r="U59" s="80" t="str" cm="1">
        <f t="array" aca="1" ref="U59" ca="1">_FV(RTData[[#This Row],[Company Name]],"Exchange abbreviation",TRUE)</f>
        <v>XMIL</v>
      </c>
      <c r="V59" s="141">
        <f ca="1">IFERROR(RTData[[#This Row],[Volume]]/RTData[[#This Row],[Volume average]],1)</f>
        <v>1.1681054487380689</v>
      </c>
      <c r="W59" s="141"/>
      <c r="X59" s="103">
        <f>X75</f>
        <v>15.23</v>
      </c>
      <c r="Y59" s="149">
        <f t="shared" ref="Y59:AD59" si="1">Y75</f>
        <v>45986</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0.84645336041984087</v>
      </c>
      <c r="C60" s="71" t="e" vm="19">
        <f>C21</f>
        <v>#VALUE!</v>
      </c>
      <c r="D60" s="74" t="str" cm="1">
        <f t="array" aca="1" ref="D60" ca="1">_FV(RTData[[#This Row],[Company Name]],"Currency")</f>
        <v>USD</v>
      </c>
      <c r="E60" s="75" cm="1">
        <f t="array" aca="1" ref="E60" ca="1">_FV(RTData[[#This Row],[Company Name]],"Last trade time",TRUE)</f>
        <v>45923.843514710155</v>
      </c>
      <c r="F60" s="74" cm="1">
        <f t="array" aca="1" ref="F60" ca="1">_FV(RTData[[#This Row],[Company Name]],"Previous close",TRUE)</f>
        <v>0.217</v>
      </c>
      <c r="G60" s="74" cm="1">
        <f t="array" aca="1" ref="G60" ca="1">_FV(RTData[[#This Row],[Company Name]],"Open")</f>
        <v>0.2185</v>
      </c>
      <c r="H60" s="74" cm="1">
        <f t="array" aca="1" ref="H60" ca="1">_FV(RTData[[#This Row],[Company Name]],"Price")</f>
        <v>0.20630000000000001</v>
      </c>
      <c r="I60" s="74" cm="1">
        <f t="array" aca="1" ref="I60" ca="1">_FV(RTData[[#This Row],[Company Name]],"Low")</f>
        <v>0.2</v>
      </c>
      <c r="J60" s="74" cm="1">
        <f t="array" aca="1" ref="J60" ca="1">_FV(RTData[[#This Row],[Company Name]],"High")</f>
        <v>0.21859999999999999</v>
      </c>
      <c r="K60" s="76" cm="1">
        <f t="array" aca="1" ref="K60" ca="1">IFERROR(_FV(RTData[[#This Row],[Company Name]],"P/E",TRUE),99)</f>
        <v>0</v>
      </c>
      <c r="L60" s="77" cm="1">
        <f t="array" aca="1" ref="L60" ca="1">_FV(RTData[[#This Row],[Company Name]],"Change")</f>
        <v>-1.0699999999999999E-2</v>
      </c>
      <c r="M60" s="78" cm="1">
        <f t="array" aca="1" ref="M60" ca="1">_FV(RTData[[#This Row],[Company Name]],"Change (%)",TRUE)</f>
        <v>-4.9309000000000006E-2</v>
      </c>
      <c r="N60" s="74" cm="1">
        <f t="array" aca="1" ref="N60" ca="1">_FV(RTData[[#This Row],[Company Name]],"52 week low",TRUE)</f>
        <v>0.17330000000000001</v>
      </c>
      <c r="O60" s="74" cm="1">
        <f t="array" aca="1" ref="O60" ca="1">_FV(RTData[[#This Row],[Company Name]],"52 week high",TRUE)</f>
        <v>0.83779999999999999</v>
      </c>
      <c r="P60" s="79" cm="1">
        <f t="array" aca="1" ref="P60" ca="1">_FV(RTData[[#This Row],[Company Name]],"Volume")</f>
        <v>1958374</v>
      </c>
      <c r="Q60" s="79" cm="1">
        <f t="array" aca="1" ref="Q60" ca="1">_FV(RTData[[#This Row],[Company Name]],"Volume average",TRUE)</f>
        <v>15030748</v>
      </c>
      <c r="R60" s="74" cm="1">
        <f t="array" aca="1" ref="R60" ca="1">_FV(RTData[[#This Row],[Company Name]],"Beta")</f>
        <v>1.5933999999999999</v>
      </c>
      <c r="S60" s="80" t="s">
        <v>23</v>
      </c>
      <c r="T60" s="80" t="s">
        <v>24</v>
      </c>
      <c r="U60" s="80" t="str" cm="1">
        <f t="array" aca="1" ref="U60" ca="1">_FV(RTData[[#This Row],[Company Name]],"Exchange abbreviation",TRUE)</f>
        <v>XNAS</v>
      </c>
      <c r="V60" s="141">
        <f ca="1">IFERROR(RTData[[#This Row],[Volume]]/RTData[[#This Row],[Volume average]],1)</f>
        <v>0.13029118710525917</v>
      </c>
      <c r="W60" s="141"/>
      <c r="X60" s="103">
        <f>[2]Sheet2!$E59</f>
        <v>0</v>
      </c>
      <c r="Y60" s="149">
        <f>[2]Sheet2!$F59</f>
        <v>45894</v>
      </c>
      <c r="Z60" s="149" t="str">
        <f>[2]Sheet2!$G59</f>
        <v>Aug 7, 2025</v>
      </c>
      <c r="AA60" s="150">
        <f>[2]Sheet2!$H59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45923.666666666664</v>
      </c>
      <c r="F61" s="81" cm="1">
        <f t="array" aca="1" ref="F61" ca="1">_FV(RTData[[#This Row],[Company Name]],"Previous close",TRUE)</f>
        <v>57.36</v>
      </c>
      <c r="G61" s="81" cm="1">
        <f t="array" aca="1" ref="G61" ca="1">_FV(RTData[[#This Row],[Company Name]],"Open")</f>
        <v>57.76</v>
      </c>
      <c r="H61" s="81" cm="1">
        <f t="array" aca="1" ref="H61" ca="1">_FV(RTData[[#This Row],[Company Name]],"Price")</f>
        <v>56.84</v>
      </c>
      <c r="I61" s="81" cm="1">
        <f t="array" aca="1" ref="I61" ca="1">_FV(RTData[[#This Row],[Company Name]],"Low")</f>
        <v>56.4</v>
      </c>
      <c r="J61" s="81" cm="1">
        <f t="array" aca="1" ref="J61" ca="1">_FV(RTData[[#This Row],[Company Name]],"High")</f>
        <v>57.86</v>
      </c>
      <c r="K61" s="76" cm="1">
        <f t="array" aca="1" ref="K61" ca="1">IFERROR(_FV(RTData[[#This Row],[Company Name]],"P/E",TRUE),99)</f>
        <v>9.6068999999999996</v>
      </c>
      <c r="L61" s="77" cm="1">
        <f t="array" aca="1" ref="L61" ca="1">_FV(RTData[[#This Row],[Company Name]],"Change")</f>
        <v>-0.52</v>
      </c>
      <c r="M61" s="78" cm="1">
        <f t="array" aca="1" ref="M61" ca="1">_FV(RTData[[#This Row],[Company Name]],"Change (%)",TRUE)</f>
        <v>-9.0659999999999994E-3</v>
      </c>
      <c r="N61" s="81" cm="1">
        <f t="array" aca="1" ref="N61" ca="1">_FV(RTData[[#This Row],[Company Name]],"52 week low",TRUE)</f>
        <v>21.67</v>
      </c>
      <c r="O61" s="81" cm="1">
        <f t="array" aca="1" ref="O61" ca="1">_FV(RTData[[#This Row],[Company Name]],"52 week high",TRUE)</f>
        <v>59.42</v>
      </c>
      <c r="P61" s="79" cm="1">
        <f t="array" aca="1" ref="P61" ca="1">_FV(RTData[[#This Row],[Company Name]],"Volume")</f>
        <v>1573948</v>
      </c>
      <c r="Q61" s="79" cm="1">
        <f t="array" aca="1" ref="Q61" ca="1">_FV(RTData[[#This Row],[Company Name]],"Volume average",TRUE)</f>
        <v>2106770</v>
      </c>
      <c r="R61" s="74" cm="1">
        <f t="array" aca="1" ref="R61" ca="1">_FV(RTData[[#This Row],[Company Name]],"Beta")</f>
        <v>1.5679000000000001</v>
      </c>
      <c r="S61" s="80" t="s">
        <v>23</v>
      </c>
      <c r="T61" s="80" t="s">
        <v>24</v>
      </c>
      <c r="U61" s="80" t="str" cm="1">
        <f t="array" aca="1" ref="U61" ca="1">_FV(RTData[[#This Row],[Company Name]],"Exchange abbreviation",TRUE)</f>
        <v>XPAR</v>
      </c>
      <c r="V61" s="141">
        <f ca="1">IFERROR(RTData[[#This Row],[Volume]]/RTData[[#This Row],[Volume average]],1)</f>
        <v>0.74709056992457645</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45923.666666666664</v>
      </c>
      <c r="F62" s="81" cm="1">
        <f t="array" aca="1" ref="F62" ca="1">_FV(RTData[[#This Row],[Company Name]],"Previous close",TRUE)</f>
        <v>13.71</v>
      </c>
      <c r="G62" s="81" cm="1">
        <f t="array" aca="1" ref="G62" ca="1">_FV(RTData[[#This Row],[Company Name]],"Open")</f>
        <v>13.75</v>
      </c>
      <c r="H62" s="81" cm="1">
        <f t="array" aca="1" ref="H62" ca="1">_FV(RTData[[#This Row],[Company Name]],"Price")</f>
        <v>13.62</v>
      </c>
      <c r="I62" s="81" cm="1">
        <f t="array" aca="1" ref="I62" ca="1">_FV(RTData[[#This Row],[Company Name]],"Low")</f>
        <v>13.62</v>
      </c>
      <c r="J62" s="81" cm="1">
        <f t="array" aca="1" ref="J62" ca="1">_FV(RTData[[#This Row],[Company Name]],"High")</f>
        <v>13.79</v>
      </c>
      <c r="K62" s="76" cm="1">
        <f t="array" aca="1" ref="K62" ca="1">IFERROR(_FV(RTData[[#This Row],[Company Name]],"P/E",TRUE),99)</f>
        <v>43.019599999999997</v>
      </c>
      <c r="L62" s="77" cm="1">
        <f t="array" aca="1" ref="L62" ca="1">_FV(RTData[[#This Row],[Company Name]],"Change")</f>
        <v>-0.09</v>
      </c>
      <c r="M62" s="78" cm="1">
        <f t="array" aca="1" ref="M62" ca="1">_FV(RTData[[#This Row],[Company Name]],"Change (%)",TRUE)</f>
        <v>-6.5649999999999997E-3</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2838584</v>
      </c>
      <c r="Q62" s="79" cm="1">
        <f t="array" aca="1" ref="Q62" ca="1">_FV(RTData[[#This Row],[Company Name]],"Volume average",TRUE)</f>
        <v>4300150</v>
      </c>
      <c r="R62" s="74" cm="1">
        <f t="array" aca="1" ref="R62" ca="1">_FV(RTData[[#This Row],[Company Name]],"Beta")</f>
        <v>0.27229999999999999</v>
      </c>
      <c r="S62" s="80" t="s">
        <v>23</v>
      </c>
      <c r="T62" s="80" t="s">
        <v>24</v>
      </c>
      <c r="U62" s="80" t="str" cm="1">
        <f t="array" aca="1" ref="U62" ca="1">_FV(RTData[[#This Row],[Company Name]],"Exchange abbreviation",TRUE)</f>
        <v>XPAR</v>
      </c>
      <c r="V62" s="141">
        <f ca="1">IFERROR(RTData[[#This Row],[Volume]]/RTData[[#This Row],[Volume average]],1)</f>
        <v>0.66011278676325247</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45923.770833333336</v>
      </c>
      <c r="F63" s="81" cm="1">
        <f t="array" aca="1" ref="F63" ca="1">_FV(RTData[[#This Row],[Company Name]],"Previous close",TRUE)</f>
        <v>36.31</v>
      </c>
      <c r="G63" s="81" cm="1">
        <f t="array" aca="1" ref="G63" ca="1">_FV(RTData[[#This Row],[Company Name]],"Open")</f>
        <v>36.630000000000003</v>
      </c>
      <c r="H63" s="81" cm="1">
        <f t="array" aca="1" ref="H63" ca="1">_FV(RTData[[#This Row],[Company Name]],"Price")</f>
        <v>36.630000000000003</v>
      </c>
      <c r="I63" s="81" cm="1">
        <f t="array" aca="1" ref="I63" ca="1">_FV(RTData[[#This Row],[Company Name]],"Low")</f>
        <v>36.409999999999997</v>
      </c>
      <c r="J63" s="81" cm="1">
        <f t="array" aca="1" ref="J63" ca="1">_FV(RTData[[#This Row],[Company Name]],"High")</f>
        <v>36.9</v>
      </c>
      <c r="K63" s="76" cm="1">
        <f t="array" aca="1" ref="K63" ca="1">IFERROR(_FV(RTData[[#This Row],[Company Name]],"P/E",TRUE),99)</f>
        <v>10.391500000000001</v>
      </c>
      <c r="L63" s="77" cm="1">
        <f t="array" aca="1" ref="L63" ca="1">_FV(RTData[[#This Row],[Company Name]],"Change")</f>
        <v>0.32</v>
      </c>
      <c r="M63" s="78" cm="1">
        <f t="array" aca="1" ref="M63" ca="1">_FV(RTData[[#This Row],[Company Name]],"Change (%)",TRUE)</f>
        <v>8.8129999999999997E-3</v>
      </c>
      <c r="N63" s="81" cm="1">
        <f t="array" aca="1" ref="N63" ca="1">_FV(RTData[[#This Row],[Company Name]],"52 week low",TRUE)</f>
        <v>27.76</v>
      </c>
      <c r="O63" s="81" cm="1">
        <f t="array" aca="1" ref="O63" ca="1">_FV(RTData[[#This Row],[Company Name]],"52 week high",TRUE)</f>
        <v>37.78</v>
      </c>
      <c r="P63" s="79" cm="1">
        <f t="array" aca="1" ref="P63" ca="1">_FV(RTData[[#This Row],[Company Name]],"Volume")</f>
        <v>1433521</v>
      </c>
      <c r="Q63" s="79" cm="1">
        <f t="array" aca="1" ref="Q63" ca="1">_FV(RTData[[#This Row],[Company Name]],"Volume average",TRUE)</f>
        <v>1825970</v>
      </c>
      <c r="R63" s="74" cm="1">
        <f t="array" aca="1" ref="R63" ca="1">_FV(RTData[[#This Row],[Company Name]],"Beta")</f>
        <v>0.47760000000000002</v>
      </c>
      <c r="S63" s="80" t="s">
        <v>23</v>
      </c>
      <c r="T63" s="80" t="s">
        <v>24</v>
      </c>
      <c r="U63" s="80" t="str" cm="1">
        <f t="array" aca="1" ref="U63" ca="1">_FV(RTData[[#This Row],[Company Name]],"Exchange abbreviation",TRUE)</f>
        <v>XETR</v>
      </c>
      <c r="V63" s="141">
        <f ca="1">IFERROR(RTData[[#This Row],[Volume]]/RTData[[#This Row],[Volume average]],1)</f>
        <v>0.78507368686232526</v>
      </c>
      <c r="W63" s="141"/>
      <c r="X63" s="103">
        <f>[2]Sheet2!$E62</f>
        <v>42.911110000000001</v>
      </c>
      <c r="Y63" s="149">
        <f>[2]Sheet2!$F62</f>
        <v>45779</v>
      </c>
      <c r="Z63" s="149">
        <f>[2]Sheet2!$G62</f>
        <v>0</v>
      </c>
      <c r="AA63" s="150">
        <f>[2]Sheet2!$H62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45923.770833333336</v>
      </c>
      <c r="F64" s="81" cm="1">
        <f t="array" aca="1" ref="F64" ca="1">_FV(RTData[[#This Row],[Company Name]],"Previous close",TRUE)</f>
        <v>224.7</v>
      </c>
      <c r="G64" s="81" cm="1">
        <f t="array" aca="1" ref="G64" ca="1">_FV(RTData[[#This Row],[Company Name]],"Open")</f>
        <v>225.6</v>
      </c>
      <c r="H64" s="81" cm="1">
        <f t="array" aca="1" ref="H64" ca="1">_FV(RTData[[#This Row],[Company Name]],"Price")</f>
        <v>226.2</v>
      </c>
      <c r="I64" s="81" cm="1">
        <f t="array" aca="1" ref="I64" ca="1">_FV(RTData[[#This Row],[Company Name]],"Low")</f>
        <v>224.7</v>
      </c>
      <c r="J64" s="81" cm="1">
        <f t="array" aca="1" ref="J64" ca="1">_FV(RTData[[#This Row],[Company Name]],"High")</f>
        <v>227.6</v>
      </c>
      <c r="K64" s="76" cm="1">
        <f t="array" aca="1" ref="K64" ca="1">IFERROR(_FV(RTData[[#This Row],[Company Name]],"P/E",TRUE),99)</f>
        <v>40.387099999999997</v>
      </c>
      <c r="L64" s="77" cm="1">
        <f t="array" aca="1" ref="L64" ca="1">_FV(RTData[[#This Row],[Company Name]],"Change")</f>
        <v>1.5</v>
      </c>
      <c r="M64" s="78" cm="1">
        <f t="array" aca="1" ref="M64" ca="1">_FV(RTData[[#This Row],[Company Name]],"Change (%)",TRUE)</f>
        <v>6.6759999999999996E-3</v>
      </c>
      <c r="N64" s="81" cm="1">
        <f t="array" aca="1" ref="N64" ca="1">_FV(RTData[[#This Row],[Company Name]],"52 week low",TRUE)</f>
        <v>198</v>
      </c>
      <c r="O64" s="81" cm="1">
        <f t="array" aca="1" ref="O64" ca="1">_FV(RTData[[#This Row],[Company Name]],"52 week high",TRUE)</f>
        <v>283.5</v>
      </c>
      <c r="P64" s="79" cm="1">
        <f t="array" aca="1" ref="P64" ca="1">_FV(RTData[[#This Row],[Company Name]],"Volume")</f>
        <v>1115327</v>
      </c>
      <c r="Q64" s="79" cm="1">
        <f t="array" aca="1" ref="Q64" ca="1">_FV(RTData[[#This Row],[Company Name]],"Volume average",TRUE)</f>
        <v>2207560</v>
      </c>
      <c r="R64" s="81" cm="1">
        <f t="array" aca="1" ref="R64" ca="1">_FV(RTData[[#This Row],[Company Name]],"Beta")</f>
        <v>1.1711</v>
      </c>
      <c r="S64" s="80" t="s">
        <v>23</v>
      </c>
      <c r="T64" s="80" t="s">
        <v>24</v>
      </c>
      <c r="U64" s="80" t="str" cm="1">
        <f t="array" aca="1" ref="U64" ca="1">_FV(RTData[[#This Row],[Company Name]],"Exchange abbreviation",TRUE)</f>
        <v>XETR</v>
      </c>
      <c r="V64" s="141">
        <f ca="1">IFERROR(RTData[[#This Row],[Volume]]/RTData[[#This Row],[Volume average]],1)</f>
        <v>0.50523066190726418</v>
      </c>
      <c r="W64" s="141"/>
      <c r="X64" s="103">
        <f>[2]Sheet2!$E63</f>
        <v>291.91037</v>
      </c>
      <c r="Y64" s="149">
        <f>[2]Sheet2!$F63</f>
        <v>45791</v>
      </c>
      <c r="Z64" s="149">
        <f>[2]Sheet2!$G63</f>
        <v>0</v>
      </c>
      <c r="AA64" s="150">
        <f>[2]Sheet2!$H63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45923.833333333336</v>
      </c>
      <c r="F65" s="81" cm="1">
        <f t="array" aca="1" ref="F65" ca="1">_FV(RTData[[#This Row],[Company Name]],"Previous close",TRUE)</f>
        <v>35.049999999999997</v>
      </c>
      <c r="G65" s="81" cm="1">
        <f t="array" aca="1" ref="G65" ca="1">_FV(RTData[[#This Row],[Company Name]],"Open")</f>
        <v>35.15</v>
      </c>
      <c r="H65" s="81" cm="1">
        <f t="array" aca="1" ref="H65" ca="1">_FV(RTData[[#This Row],[Company Name]],"Price")</f>
        <v>34.049999999999997</v>
      </c>
      <c r="I65" s="81" cm="1">
        <f t="array" aca="1" ref="I65" ca="1">_FV(RTData[[#This Row],[Company Name]],"Low")</f>
        <v>34.049999999999997</v>
      </c>
      <c r="J65" s="81" cm="1">
        <f t="array" aca="1" ref="J65" ca="1">_FV(RTData[[#This Row],[Company Name]],"High")</f>
        <v>35.15</v>
      </c>
      <c r="K65" s="76" cm="1">
        <f t="array" ref="K65">IFERROR(_FV(RTData[[#This Row],[Company Name]],"P/E",TRUE),99)</f>
        <v>99</v>
      </c>
      <c r="L65" s="77" cm="1">
        <f t="array" aca="1" ref="L65" ca="1">_FV(RTData[[#This Row],[Company Name]],"Change")</f>
        <v>-1</v>
      </c>
      <c r="M65" s="78" cm="1">
        <f t="array" aca="1" ref="M65" ca="1">_FV(RTData[[#This Row],[Company Name]],"Change (%)",TRUE)</f>
        <v>-2.8531000000000001E-2</v>
      </c>
      <c r="N65" s="81" cm="1">
        <f t="array" aca="1" ref="N65" ca="1">_FV(RTData[[#This Row],[Company Name]],"52 week low",TRUE)</f>
        <v>2.1</v>
      </c>
      <c r="O65" s="81" cm="1">
        <f t="array" aca="1" ref="O65" ca="1">_FV(RTData[[#This Row],[Company Name]],"52 week high",TRUE)</f>
        <v>73.5</v>
      </c>
      <c r="P65" s="79" cm="1">
        <f t="array" aca="1" ref="P65" ca="1">_FV(RTData[[#This Row],[Company Name]],"Volume")</f>
        <v>41</v>
      </c>
      <c r="Q65" s="79" cm="1">
        <f t="array" aca="1" ref="Q65" ca="1">_FV(RTData[[#This Row],[Company Name]],"Volume average",TRUE)</f>
        <v>3130</v>
      </c>
      <c r="R65" s="74" cm="1">
        <f t="array" aca="1" ref="R65" ca="1">_FV(RTData[[#This Row],[Company Name]],"Beta")</f>
        <v>1.0087999999999999</v>
      </c>
      <c r="S65" s="80" t="s">
        <v>23</v>
      </c>
      <c r="T65" s="80" t="s">
        <v>24</v>
      </c>
      <c r="U65" s="80" t="str" cm="1">
        <f t="array" aca="1" ref="U65" ca="1">_FV(RTData[[#This Row],[Company Name]],"Exchange abbreviation",TRUE)</f>
        <v>XFRA</v>
      </c>
      <c r="V65" s="141">
        <f ca="1">IFERROR(RTData[[#This Row],[Volume]]/RTData[[#This Row],[Volume average]],1)</f>
        <v>1.3099041533546326E-2</v>
      </c>
      <c r="W65" s="141"/>
      <c r="X65" s="103">
        <f>[2]Sheet2!$E64</f>
        <v>0</v>
      </c>
      <c r="Y65" s="149">
        <f>[2]Sheet2!$F64</f>
        <v>0</v>
      </c>
      <c r="Z65" s="149">
        <f>[2]Sheet2!$G64</f>
        <v>0</v>
      </c>
      <c r="AA65" s="150">
        <f>[2]Sheet2!$H64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0.84645336041984087</v>
      </c>
      <c r="C66" s="43" t="e" vm="1">
        <v>#VALUE!</v>
      </c>
      <c r="D66" s="17" t="str" cm="1">
        <f t="array" aca="1" ref="D66" ca="1">_FV(RTData[[#This Row],[Company Name]],"Currency")</f>
        <v>USD</v>
      </c>
      <c r="E66" s="18" cm="1">
        <f t="array" aca="1" ref="E66" ca="1">_FV(RTData[[#This Row],[Company Name]],"Last trade time",TRUE)</f>
        <v>45923.84554741875</v>
      </c>
      <c r="F66" s="19" cm="1">
        <f t="array" aca="1" ref="F66" ca="1">_FV(RTData[[#This Row],[Company Name]],"Previous close",TRUE)</f>
        <v>256.08</v>
      </c>
      <c r="G66" s="19" cm="1">
        <f t="array" aca="1" ref="G66" ca="1">_FV(RTData[[#This Row],[Company Name]],"Open")</f>
        <v>255.875</v>
      </c>
      <c r="H66" s="19" cm="1">
        <f t="array" aca="1" ref="H66" ca="1">_FV(RTData[[#This Row],[Company Name]],"Price")</f>
        <v>254.43</v>
      </c>
      <c r="I66" s="19" cm="1">
        <f t="array" aca="1" ref="I66" ca="1">_FV(RTData[[#This Row],[Company Name]],"Low")</f>
        <v>253.58</v>
      </c>
      <c r="J66" s="19" cm="1">
        <f t="array" aca="1" ref="J66" ca="1">_FV(RTData[[#This Row],[Company Name]],"High")</f>
        <v>257.33999999999997</v>
      </c>
      <c r="K66" s="20" cm="1">
        <f t="array" aca="1" ref="K66" ca="1">IFERROR(_FV(RTData[[#This Row],[Company Name]],"P/E",TRUE),99)</f>
        <v>35.319800000000001</v>
      </c>
      <c r="L66" s="21" cm="1">
        <f t="array" aca="1" ref="L66" ca="1">_FV(RTData[[#This Row],[Company Name]],"Change")</f>
        <v>-1.65</v>
      </c>
      <c r="M66" s="22" cm="1">
        <f t="array" aca="1" ref="M66" ca="1">_FV(RTData[[#This Row],[Company Name]],"Change (%)",TRUE)</f>
        <v>-6.4429999999999999E-3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59999830</v>
      </c>
      <c r="Q66" s="23" cm="1">
        <f t="array" aca="1" ref="Q66" ca="1">_FV(RTData[[#This Row],[Company Name]],"Volume average",TRUE)</f>
        <v>54815993</v>
      </c>
      <c r="R66" s="19" cm="1">
        <f t="array" aca="1" ref="R66" ca="1">_FV(RTData[[#This Row],[Company Name]],"Beta")</f>
        <v>1.0958000000000001</v>
      </c>
      <c r="S66" t="s">
        <v>25</v>
      </c>
      <c r="T66" t="s">
        <v>26</v>
      </c>
      <c r="U66" t="str" cm="1">
        <f t="array" aca="1" ref="U66" ca="1">_FV(RTData[[#This Row],[Company Name]],"Exchange abbreviation",TRUE)</f>
        <v>XNAS</v>
      </c>
      <c r="V66" s="24">
        <f ca="1">IFERROR(RTData[[#This Row],[Volume]]/RTData[[#This Row],[Volume average]],1)</f>
        <v>1.0945679666881161</v>
      </c>
      <c r="W66" s="24"/>
      <c r="X66" s="103">
        <f>[2]Sheet2!$E65</f>
        <v>235.52553</v>
      </c>
      <c r="Y66" s="149">
        <f>[2]Sheet2!$F65</f>
        <v>45880</v>
      </c>
      <c r="Z66" s="149" t="str">
        <f>[2]Sheet2!$G65</f>
        <v>Oct 30, 2025</v>
      </c>
      <c r="AA66" s="150">
        <f>[2]Sheet2!$H65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0.84645336041984087</v>
      </c>
      <c r="C67" t="e" vm="4">
        <v>#VALUE!</v>
      </c>
      <c r="D67" s="17" t="str" cm="1">
        <f t="array" aca="1" ref="D67" ca="1">_FV(RTData[[#This Row],[Company Name]],"Currency")</f>
        <v>USD</v>
      </c>
      <c r="E67" s="18" cm="1">
        <f t="array" aca="1" ref="E67" ca="1">_FV(RTData[[#This Row],[Company Name]],"Last trade time",TRUE)</f>
        <v>45923.845619305466</v>
      </c>
      <c r="F67" s="19" cm="1">
        <f t="array" aca="1" ref="F67" ca="1">_FV(RTData[[#This Row],[Company Name]],"Previous close",TRUE)</f>
        <v>227.63</v>
      </c>
      <c r="G67" s="19" cm="1">
        <f t="array" aca="1" ref="G67" ca="1">_FV(RTData[[#This Row],[Company Name]],"Open")</f>
        <v>227.83</v>
      </c>
      <c r="H67" s="19" cm="1">
        <f t="array" aca="1" ref="H67" ca="1">_FV(RTData[[#This Row],[Company Name]],"Price")</f>
        <v>220.71</v>
      </c>
      <c r="I67" s="19" cm="1">
        <f t="array" aca="1" ref="I67" ca="1">_FV(RTData[[#This Row],[Company Name]],"Low")</f>
        <v>220.07</v>
      </c>
      <c r="J67" s="19" cm="1">
        <f t="array" aca="1" ref="J67" ca="1">_FV(RTData[[#This Row],[Company Name]],"High")</f>
        <v>227.86</v>
      </c>
      <c r="K67" s="20" cm="1">
        <f t="array" aca="1" ref="K67" ca="1">IFERROR(_FV(RTData[[#This Row],[Company Name]],"P/E",TRUE),99)</f>
        <v>34.735799999999998</v>
      </c>
      <c r="L67" s="21" cm="1">
        <f t="array" aca="1" ref="L67" ca="1">_FV(RTData[[#This Row],[Company Name]],"Change")</f>
        <v>-6.92</v>
      </c>
      <c r="M67" s="22" cm="1">
        <f t="array" aca="1" ref="M67" ca="1">_FV(RTData[[#This Row],[Company Name]],"Change (%)",TRUE)</f>
        <v>-3.04E-2</v>
      </c>
      <c r="N67" s="19" cm="1">
        <f t="array" aca="1" ref="N67" ca="1">_FV(RTData[[#This Row],[Company Name]],"52 week low",TRUE)</f>
        <v>161.38</v>
      </c>
      <c r="O67" s="19" cm="1">
        <f t="array" aca="1" ref="O67" ca="1">_FV(RTData[[#This Row],[Company Name]],"52 week high",TRUE)</f>
        <v>242.52</v>
      </c>
      <c r="P67" s="23" cm="1">
        <f t="array" aca="1" ref="P67" ca="1">_FV(RTData[[#This Row],[Company Name]],"Volume")</f>
        <v>70487678</v>
      </c>
      <c r="Q67" s="23" cm="1">
        <f t="array" aca="1" ref="Q67" ca="1">_FV(RTData[[#This Row],[Company Name]],"Volume average",TRUE)</f>
        <v>37967009</v>
      </c>
      <c r="R67" s="19" cm="1">
        <f t="array" aca="1" ref="R67" ca="1">_FV(RTData[[#This Row],[Company Name]],"Beta")</f>
        <v>1.2875000000000001</v>
      </c>
      <c r="S67" t="s">
        <v>25</v>
      </c>
      <c r="T67" t="s">
        <v>26</v>
      </c>
      <c r="U67" t="str" cm="1">
        <f t="array" aca="1" ref="U67" ca="1">_FV(RTData[[#This Row],[Company Name]],"Exchange abbreviation",TRUE)</f>
        <v>XNAS</v>
      </c>
      <c r="V67" s="24">
        <f ca="1">IFERROR(RTData[[#This Row],[Volume]]/RTData[[#This Row],[Volume average]],1)</f>
        <v>1.8565507227603839</v>
      </c>
      <c r="W67" s="24"/>
      <c r="X67" s="103">
        <f>[2]Sheet2!$E66</f>
        <v>263.18033000000003</v>
      </c>
      <c r="Y67" s="149">
        <f>[2]Sheet2!$F66</f>
        <v>0</v>
      </c>
      <c r="Z67" s="149" t="str">
        <f>[2]Sheet2!$G66</f>
        <v>Oct 30, 2025</v>
      </c>
      <c r="AA67" s="150">
        <f>[2]Sheet2!$H66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45923.666666666664</v>
      </c>
      <c r="F68" s="29" cm="1">
        <f t="array" aca="1" ref="F68" ca="1">_FV(RTData[[#This Row],[Company Name]],"Previous close",TRUE)</f>
        <v>810.8</v>
      </c>
      <c r="G68" s="29" cm="1">
        <f t="array" aca="1" ref="G68" ca="1">_FV(RTData[[#This Row],[Company Name]],"Open")</f>
        <v>803.6</v>
      </c>
      <c r="H68" s="29" cm="1">
        <f t="array" aca="1" ref="H68" ca="1">_FV(RTData[[#This Row],[Company Name]],"Price")</f>
        <v>819.8</v>
      </c>
      <c r="I68" s="29" cm="1">
        <f t="array" aca="1" ref="I68" ca="1">_FV(RTData[[#This Row],[Company Name]],"Low")</f>
        <v>796</v>
      </c>
      <c r="J68" s="29" cm="1">
        <f t="array" aca="1" ref="J68" ca="1">_FV(RTData[[#This Row],[Company Name]],"High")</f>
        <v>829.1</v>
      </c>
      <c r="K68" s="20" cm="1">
        <f t="array" aca="1" ref="K68" ca="1">IFERROR(_FV(RTData[[#This Row],[Company Name]],"P/E",TRUE),99)</f>
        <v>31.477399999999999</v>
      </c>
      <c r="L68" s="21" cm="1">
        <f t="array" aca="1" ref="L68" ca="1">_FV(RTData[[#This Row],[Company Name]],"Change")</f>
        <v>9</v>
      </c>
      <c r="M68" s="22" cm="1">
        <f t="array" aca="1" ref="M68" ca="1">_FV(RTData[[#This Row],[Company Name]],"Change (%)",TRUE)</f>
        <v>1.11E-2</v>
      </c>
      <c r="N68" s="29" cm="1">
        <f t="array" aca="1" ref="N68" ca="1">_FV(RTData[[#This Row],[Company Name]],"52 week low",TRUE)</f>
        <v>508.4</v>
      </c>
      <c r="O68" s="29" cm="1">
        <f t="array" aca="1" ref="O68" ca="1">_FV(RTData[[#This Row],[Company Name]],"52 week high",TRUE)</f>
        <v>829.1</v>
      </c>
      <c r="P68" s="23" cm="1">
        <f t="array" aca="1" ref="P68" ca="1">_FV(RTData[[#This Row],[Company Name]],"Volume")</f>
        <v>715673</v>
      </c>
      <c r="Q68" s="23" cm="1">
        <f t="array" aca="1" ref="Q68" ca="1">_FV(RTData[[#This Row],[Company Name]],"Volume average",TRUE)</f>
        <v>806010</v>
      </c>
      <c r="R68" s="19" cm="1">
        <f t="array" aca="1" ref="R68" ca="1">_FV(RTData[[#This Row],[Company Name]],"Beta")</f>
        <v>1.9211</v>
      </c>
      <c r="S68" t="s">
        <v>25</v>
      </c>
      <c r="T68" t="s">
        <v>26</v>
      </c>
      <c r="U68" t="str" cm="1">
        <f t="array" aca="1" ref="U68" ca="1">_FV(RTData[[#This Row],[Company Name]],"Exchange abbreviation",TRUE)</f>
        <v>XAMS</v>
      </c>
      <c r="V68" s="24">
        <f ca="1">IFERROR(RTData[[#This Row],[Volume]]/RTData[[#This Row],[Volume average]],1)</f>
        <v>0.88792074540018118</v>
      </c>
      <c r="W68" s="24"/>
      <c r="X68" s="103">
        <f>[2]Sheet2!$E67</f>
        <v>758</v>
      </c>
      <c r="Y68" s="149">
        <f>[2]Sheet2!$F67</f>
        <v>45866</v>
      </c>
      <c r="Z68" s="149">
        <f>[2]Sheet2!$G67</f>
        <v>0</v>
      </c>
      <c r="AA68" s="150">
        <f>[2]Sheet2!$H67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0.84645336041984087</v>
      </c>
      <c r="C69" t="e" vm="13">
        <v>#VALUE!</v>
      </c>
      <c r="D69" s="17" t="str" cm="1">
        <f t="array" aca="1" ref="D69" ca="1">_FV(RTData[[#This Row],[Company Name]],"Currency")</f>
        <v>USD</v>
      </c>
      <c r="E69" s="18" cm="1">
        <f t="array" aca="1" ref="E69" ca="1">_FV(RTData[[#This Row],[Company Name]],"Last trade time",TRUE)</f>
        <v>45923.844473043748</v>
      </c>
      <c r="F69" s="19" cm="1">
        <f t="array" aca="1" ref="F69" ca="1">_FV(RTData[[#This Row],[Company Name]],"Previous close",TRUE)</f>
        <v>2.5</v>
      </c>
      <c r="G69" s="19" cm="1">
        <f t="array" aca="1" ref="G69" ca="1">_FV(RTData[[#This Row],[Company Name]],"Open")</f>
        <v>2.6</v>
      </c>
      <c r="H69" s="19" cm="1">
        <f t="array" aca="1" ref="H69" ca="1">_FV(RTData[[#This Row],[Company Name]],"Price")</f>
        <v>2.81</v>
      </c>
      <c r="I69" s="19" cm="1">
        <f t="array" aca="1" ref="I69" ca="1">_FV(RTData[[#This Row],[Company Name]],"Low")</f>
        <v>2.59</v>
      </c>
      <c r="J69" s="19" cm="1">
        <f t="array" aca="1" ref="J69" ca="1">_FV(RTData[[#This Row],[Company Name]],"High")</f>
        <v>3.03</v>
      </c>
      <c r="K69" s="20" cm="1">
        <f t="array" ref="K69">IFERROR(_FV(RTData[[#This Row],[Company Name]],"P/E",TRUE),99)</f>
        <v>99</v>
      </c>
      <c r="L69" s="21" cm="1">
        <f t="array" aca="1" ref="L69" ca="1">_FV(RTData[[#This Row],[Company Name]],"Change")</f>
        <v>0.31</v>
      </c>
      <c r="M69" s="22" cm="1">
        <f t="array" aca="1" ref="M69" ca="1">_FV(RTData[[#This Row],[Company Name]],"Change (%)",TRUE)</f>
        <v>0.124</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10865788</v>
      </c>
      <c r="Q69" s="23" cm="1">
        <f t="array" aca="1" ref="Q69" ca="1">_FV(RTData[[#This Row],[Company Name]],"Volume average",TRUE)</f>
        <v>3751077</v>
      </c>
      <c r="R69" s="19" cm="1">
        <f t="array" aca="1" ref="R69" ca="1">_FV(RTData[[#This Row],[Company Name]],"Beta")</f>
        <v>2.0832999999999999</v>
      </c>
      <c r="S69" t="s">
        <v>25</v>
      </c>
      <c r="T69" t="s">
        <v>26</v>
      </c>
      <c r="U69" t="str" cm="1">
        <f t="array" aca="1" ref="U69" ca="1">_FV(RTData[[#This Row],[Company Name]],"Exchange abbreviation",TRUE)</f>
        <v>XNYS</v>
      </c>
      <c r="V69" s="24">
        <f ca="1">IFERROR(RTData[[#This Row],[Volume]]/RTData[[#This Row],[Volume average]],1)</f>
        <v>2.8967115311149305</v>
      </c>
      <c r="W69" s="24"/>
      <c r="X69" s="103">
        <f>[2]Sheet2!$E68</f>
        <v>3.25</v>
      </c>
      <c r="Y69" s="149">
        <f>[2]Sheet2!$F68</f>
        <v>0</v>
      </c>
      <c r="Z69" s="149" t="str">
        <f>[2]Sheet2!$G68</f>
        <v>Nov 10, 2025</v>
      </c>
      <c r="AA69" s="150">
        <f>[2]Sheet2!$H68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0.84645336041984087</v>
      </c>
      <c r="C70" s="43" t="e" vm="14">
        <v>#VALUE!</v>
      </c>
      <c r="D70" s="17" t="str" cm="1">
        <f t="array" aca="1" ref="D70" ca="1">_FV(RTData[[#This Row],[Company Name]],"Currency")</f>
        <v>USD</v>
      </c>
      <c r="E70" s="18" cm="1">
        <f t="array" aca="1" ref="E70" ca="1">_FV(RTData[[#This Row],[Company Name]],"Last trade time",TRUE)</f>
        <v>45923.845514003908</v>
      </c>
      <c r="F70" s="19" cm="1">
        <f t="array" aca="1" ref="F70" ca="1">_FV(RTData[[#This Row],[Company Name]],"Previous close",TRUE)</f>
        <v>112.56</v>
      </c>
      <c r="G70" s="19" cm="1">
        <f t="array" aca="1" ref="G70" ca="1">_FV(RTData[[#This Row],[Company Name]],"Open")</f>
        <v>112.72</v>
      </c>
      <c r="H70" s="19" cm="1">
        <f t="array" aca="1" ref="H70" ca="1">_FV(RTData[[#This Row],[Company Name]],"Price")</f>
        <v>112.27</v>
      </c>
      <c r="I70" s="19" cm="1">
        <f t="array" aca="1" ref="I70" ca="1">_FV(RTData[[#This Row],[Company Name]],"Low")</f>
        <v>111.6</v>
      </c>
      <c r="J70" s="19" cm="1">
        <f t="array" aca="1" ref="J70" ca="1">_FV(RTData[[#This Row],[Company Name]],"High")</f>
        <v>113.62</v>
      </c>
      <c r="K70" s="20" cm="1">
        <f t="array" aca="1" ref="K70" ca="1">IFERROR(_FV(RTData[[#This Row],[Company Name]],"P/E",TRUE),99)</f>
        <v>17.647099999999998</v>
      </c>
      <c r="L70" s="21" cm="1">
        <f t="array" aca="1" ref="L70" ca="1">_FV(RTData[[#This Row],[Company Name]],"Change")</f>
        <v>-0.28999999999999998</v>
      </c>
      <c r="M70" s="22" cm="1">
        <f t="array" aca="1" ref="M70" ca="1">_FV(RTData[[#This Row],[Company Name]],"Change (%)",TRUE)</f>
        <v>-2.5760000000000002E-3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12960312</v>
      </c>
      <c r="Q70" s="23" cm="1">
        <f t="array" aca="1" ref="Q70" ca="1">_FV(RTData[[#This Row],[Company Name]],"Volume average",TRUE)</f>
        <v>7590381</v>
      </c>
      <c r="R70" s="19" cm="1">
        <f t="array" aca="1" ref="R70" ca="1">_FV(RTData[[#This Row],[Company Name]],"Beta")</f>
        <v>1.5379</v>
      </c>
      <c r="S70" t="s">
        <v>25</v>
      </c>
      <c r="T70" t="s">
        <v>26</v>
      </c>
      <c r="U70" t="str" cm="1">
        <f t="array" aca="1" ref="U70" ca="1">_FV(RTData[[#This Row],[Company Name]],"Exchange abbreviation",TRUE)</f>
        <v>XNYS</v>
      </c>
      <c r="V70" s="24">
        <f ca="1">IFERROR(RTData[[#This Row],[Volume]]/RTData[[#This Row],[Volume average]],1)</f>
        <v>1.7074652774346901</v>
      </c>
      <c r="W70" s="24"/>
      <c r="X70" s="103">
        <f>[2]Sheet2!$E69</f>
        <v>132.22594000000001</v>
      </c>
      <c r="Y70" s="149">
        <f>[2]Sheet2!$F69</f>
        <v>45832</v>
      </c>
      <c r="Z70" s="149" t="str">
        <f>[2]Sheet2!$G69</f>
        <v>Aug 6, 2025</v>
      </c>
      <c r="AA70" s="150">
        <f>[2]Sheet2!$H69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0.84645336041984087</v>
      </c>
      <c r="C71" t="e" vm="20">
        <v>#VALUE!</v>
      </c>
      <c r="D71" s="17" t="str" cm="1">
        <f t="array" aca="1" ref="D71" ca="1">_FV(RTData[[#This Row],[Company Name]],"Currency")</f>
        <v>USD</v>
      </c>
      <c r="E71" s="18" cm="1">
        <f t="array" aca="1" ref="E71" ca="1">_FV(RTData[[#This Row],[Company Name]],"Last trade time",TRUE)</f>
        <v>45923.843817522655</v>
      </c>
      <c r="F71" s="19" cm="1">
        <f t="array" aca="1" ref="F71" ca="1">_FV(RTData[[#This Row],[Company Name]],"Previous close",TRUE)</f>
        <v>58.88</v>
      </c>
      <c r="G71" s="19" cm="1">
        <f t="array" aca="1" ref="G71" ca="1">_FV(RTData[[#This Row],[Company Name]],"Open")</f>
        <v>59.05</v>
      </c>
      <c r="H71" s="19" cm="1">
        <f t="array" aca="1" ref="H71" ca="1">_FV(RTData[[#This Row],[Company Name]],"Price")</f>
        <v>58.59</v>
      </c>
      <c r="I71" s="19" cm="1">
        <f t="array" aca="1" ref="I71" ca="1">_FV(RTData[[#This Row],[Company Name]],"Low")</f>
        <v>58.454999999999998</v>
      </c>
      <c r="J71" s="19" cm="1">
        <f t="array" aca="1" ref="J71" ca="1">_FV(RTData[[#This Row],[Company Name]],"High")</f>
        <v>59.92</v>
      </c>
      <c r="K71" s="20" cm="1">
        <f t="array" aca="1" ref="K71" ca="1">IFERROR(_FV(RTData[[#This Row],[Company Name]],"P/E",TRUE),99)</f>
        <v>8.4870999999999999</v>
      </c>
      <c r="L71" s="21" cm="1">
        <f t="array" aca="1" ref="L71" ca="1">_FV(RTData[[#This Row],[Company Name]],"Change")</f>
        <v>-0.28999999999999998</v>
      </c>
      <c r="M71" s="22" cm="1">
        <f t="array" aca="1" ref="M71" ca="1">_FV(RTData[[#This Row],[Company Name]],"Change (%)",TRUE)</f>
        <v>-4.9249999999999997E-3</v>
      </c>
      <c r="N71" s="19" cm="1">
        <f t="array" aca="1" ref="N71" ca="1">_FV(RTData[[#This Row],[Company Name]],"52 week low",TRUE)</f>
        <v>41.6</v>
      </c>
      <c r="O71" s="19" cm="1">
        <f t="array" aca="1" ref="O71" ca="1">_FV(RTData[[#This Row],[Company Name]],"52 week high",TRUE)</f>
        <v>61.24</v>
      </c>
      <c r="P71" s="23" cm="1">
        <f t="array" aca="1" ref="P71" ca="1">_FV(RTData[[#This Row],[Company Name]],"Volume")</f>
        <v>5744058</v>
      </c>
      <c r="Q71" s="23" cm="1">
        <f t="array" aca="1" ref="Q71" ca="1">_FV(RTData[[#This Row],[Company Name]],"Volume average",TRUE)</f>
        <v>6956912</v>
      </c>
      <c r="R71" s="19" cm="1">
        <f t="array" aca="1" ref="R71" ca="1">_FV(RTData[[#This Row],[Company Name]],"Beta")</f>
        <v>1.3292999999999999</v>
      </c>
      <c r="S71" t="s">
        <v>25</v>
      </c>
      <c r="T71" t="s">
        <v>26</v>
      </c>
      <c r="U71" t="str" cm="1">
        <f t="array" aca="1" ref="U71" ca="1">_FV(RTData[[#This Row],[Company Name]],"Exchange abbreviation",TRUE)</f>
        <v>XNYS</v>
      </c>
      <c r="V71" s="24">
        <f ca="1">IFERROR(RTData[[#This Row],[Volume]]/RTData[[#This Row],[Volume average]],1)</f>
        <v>0.82566201786079796</v>
      </c>
      <c r="W71" s="24"/>
      <c r="X71" s="103">
        <f>[2]Sheet2!$E70</f>
        <v>57.2</v>
      </c>
      <c r="Y71" s="149">
        <f>[2]Sheet2!$F70</f>
        <v>45905</v>
      </c>
      <c r="Z71" s="149" t="str">
        <f>[2]Sheet2!$G70</f>
        <v>Oct 21, 2025</v>
      </c>
      <c r="AA71" s="150">
        <f>[2]Sheet2!$H70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1.1450818733539449E-2</v>
      </c>
      <c r="C72" s="42" t="e" vm="23">
        <v>#VALUE!</v>
      </c>
      <c r="D72" s="17" t="str" cm="1">
        <f t="array" aca="1" ref="D72" ca="1">_FV(RTData[[#This Row],[Company Name]],"Currency")</f>
        <v>GBp</v>
      </c>
      <c r="E72" s="18" cm="1">
        <f t="array" aca="1" ref="E72" ca="1">_FV(RTData[[#This Row],[Company Name]],"Last trade time",TRUE)</f>
        <v>45923.644570520315</v>
      </c>
      <c r="F72" s="19" cm="1">
        <f t="array" aca="1" ref="F72" ca="1">_FV(RTData[[#This Row],[Company Name]],"Previous close",TRUE)</f>
        <v>378.2</v>
      </c>
      <c r="G72" s="19" cm="1">
        <f t="array" aca="1" ref="G72" ca="1">_FV(RTData[[#This Row],[Company Name]],"Open")</f>
        <v>380</v>
      </c>
      <c r="H72" s="19" cm="1">
        <f t="array" aca="1" ref="H72" ca="1">_FV(RTData[[#This Row],[Company Name]],"Price")</f>
        <v>382</v>
      </c>
      <c r="I72" s="19" cm="1">
        <f t="array" aca="1" ref="I72" ca="1">_FV(RTData[[#This Row],[Company Name]],"Low")</f>
        <v>378.8</v>
      </c>
      <c r="J72" s="19" cm="1">
        <f t="array" aca="1" ref="J72" ca="1">_FV(RTData[[#This Row],[Company Name]],"High")</f>
        <v>384.1</v>
      </c>
      <c r="K72" s="20" cm="1">
        <f t="array" aca="1" ref="K72" ca="1">IFERROR(_FV(RTData[[#This Row],[Company Name]],"P/E",TRUE),99)</f>
        <v>6.8132000000000001</v>
      </c>
      <c r="L72" s="21" cm="1">
        <f t="array" aca="1" ref="L72" ca="1">_FV(RTData[[#This Row],[Company Name]],"Change")</f>
        <v>3.8</v>
      </c>
      <c r="M72" s="22" cm="1">
        <f t="array" aca="1" ref="M72" ca="1">_FV(RTData[[#This Row],[Company Name]],"Change (%)",TRUE)</f>
        <v>1.0048E-2</v>
      </c>
      <c r="N72" s="19" cm="1">
        <f t="array" aca="1" ref="N72" ca="1">_FV(RTData[[#This Row],[Company Name]],"52 week low",TRUE)</f>
        <v>187</v>
      </c>
      <c r="O72" s="19" cm="1">
        <f t="array" aca="1" ref="O72" ca="1">_FV(RTData[[#This Row],[Company Name]],"52 week high",TRUE)</f>
        <v>398.7</v>
      </c>
      <c r="P72" s="23" cm="1">
        <f t="array" aca="1" ref="P72" ca="1">_FV(RTData[[#This Row],[Company Name]],"Volume")</f>
        <v>8349550</v>
      </c>
      <c r="Q72" s="23" cm="1">
        <f t="array" aca="1" ref="Q72" ca="1">_FV(RTData[[#This Row],[Company Name]],"Volume average",TRUE)</f>
        <v>13205710</v>
      </c>
      <c r="R72" s="19" cm="1">
        <f t="array" aca="1" ref="R72" ca="1">_FV(RTData[[#This Row],[Company Name]],"Beta")</f>
        <v>2.8050999999999999</v>
      </c>
      <c r="S72" t="s">
        <v>25</v>
      </c>
      <c r="T72" t="s">
        <v>26</v>
      </c>
      <c r="U72" t="str" cm="1">
        <f t="array" aca="1" ref="U72" ca="1">_FV(RTData[[#This Row],[Company Name]],"Exchange abbreviation",TRUE)</f>
        <v>XLON</v>
      </c>
      <c r="V72" s="24">
        <f ca="1">IFERROR(RTData[[#This Row],[Volume]]/RTData[[#This Row],[Volume average]],1)</f>
        <v>0.63226816278715803</v>
      </c>
      <c r="W72" s="24"/>
      <c r="X72" s="103">
        <f>[2]Sheet2!$E71</f>
        <v>435.83789999999999</v>
      </c>
      <c r="Y72" s="149">
        <f>[2]Sheet2!$F71</f>
        <v>45834</v>
      </c>
      <c r="Z72" s="149">
        <f>[2]Sheet2!$G71</f>
        <v>0</v>
      </c>
      <c r="AA72" s="150">
        <f>[2]Sheet2!$H71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0.84645336041984087</v>
      </c>
      <c r="C73" t="e" vm="27">
        <v>#VALUE!</v>
      </c>
      <c r="D73" s="17" t="str" cm="1">
        <f t="array" aca="1" ref="D73" ca="1">_FV(RTData[[#This Row],[Company Name]],"Currency")</f>
        <v>USD</v>
      </c>
      <c r="E73" s="18" cm="1">
        <f t="array" aca="1" ref="E73" ca="1">_FV(RTData[[#This Row],[Company Name]],"Last trade time",TRUE)</f>
        <v>45923.845467303123</v>
      </c>
      <c r="F73" s="19" cm="1">
        <f t="array" aca="1" ref="F73" ca="1">_FV(RTData[[#This Row],[Company Name]],"Previous close",TRUE)</f>
        <v>26.56</v>
      </c>
      <c r="G73" s="19" cm="1">
        <f t="array" aca="1" ref="G73" ca="1">_FV(RTData[[#This Row],[Company Name]],"Open")</f>
        <v>26.72</v>
      </c>
      <c r="H73" s="19" cm="1">
        <f t="array" aca="1" ref="H73" ca="1">_FV(RTData[[#This Row],[Company Name]],"Price")</f>
        <v>25.79</v>
      </c>
      <c r="I73" s="19" cm="1">
        <f t="array" aca="1" ref="I73" ca="1">_FV(RTData[[#This Row],[Company Name]],"Low")</f>
        <v>25.66</v>
      </c>
      <c r="J73" s="19" cm="1">
        <f t="array" aca="1" ref="J73" ca="1">_FV(RTData[[#This Row],[Company Name]],"High")</f>
        <v>26.97</v>
      </c>
      <c r="K73" s="20" cm="1">
        <f t="array" aca="1" ref="K73" ca="1">IFERROR(_FV(RTData[[#This Row],[Company Name]],"P/E",TRUE),99)</f>
        <v>0</v>
      </c>
      <c r="L73" s="21" cm="1">
        <f t="array" aca="1" ref="L73" ca="1">_FV(RTData[[#This Row],[Company Name]],"Change")</f>
        <v>-0.77</v>
      </c>
      <c r="M73" s="22" cm="1">
        <f t="array" aca="1" ref="M73" ca="1">_FV(RTData[[#This Row],[Company Name]],"Change (%)",TRUE)</f>
        <v>-2.8990999999999999E-2</v>
      </c>
      <c r="N73" s="19" cm="1">
        <f t="array" aca="1" ref="N73" ca="1">_FV(RTData[[#This Row],[Company Name]],"52 week low",TRUE)</f>
        <v>23.15</v>
      </c>
      <c r="O73" s="19" cm="1">
        <f t="array" aca="1" ref="O73" ca="1">_FV(RTData[[#This Row],[Company Name]],"52 week high",TRUE)</f>
        <v>67.959800000000001</v>
      </c>
      <c r="P73" s="23" cm="1">
        <f t="array" aca="1" ref="P73" ca="1">_FV(RTData[[#This Row],[Company Name]],"Volume")</f>
        <v>8908025</v>
      </c>
      <c r="Q73" s="23" cm="1">
        <f t="array" aca="1" ref="Q73" ca="1">_FV(RTData[[#This Row],[Company Name]],"Volume average",TRUE)</f>
        <v>12104688</v>
      </c>
      <c r="R73" s="19" cm="1">
        <f t="array" aca="1" ref="R73" ca="1">_FV(RTData[[#This Row],[Company Name]],"Beta")</f>
        <v>2.0125000000000002</v>
      </c>
      <c r="S73" t="s">
        <v>25</v>
      </c>
      <c r="T73" t="s">
        <v>26</v>
      </c>
      <c r="U73" t="str" cm="1">
        <f t="array" aca="1" ref="U73" ca="1">_FV(RTData[[#This Row],[Company Name]],"Exchange abbreviation",TRUE)</f>
        <v>XNAS</v>
      </c>
      <c r="V73" s="24">
        <f ca="1">IFERROR(RTData[[#This Row],[Volume]]/RTData[[#This Row],[Volume average]],1)</f>
        <v>0.7359152916622056</v>
      </c>
      <c r="W73" s="24"/>
      <c r="X73" s="103">
        <f>[2]Sheet2!$E72</f>
        <v>44.25</v>
      </c>
      <c r="Y73" s="149">
        <f>[2]Sheet2!$F72</f>
        <v>0</v>
      </c>
      <c r="Z73" s="149" t="str">
        <f>[2]Sheet2!$G72</f>
        <v>Aug 1, 2025</v>
      </c>
      <c r="AA73" s="150">
        <f>[2]Sheet2!$H72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0.84645336041984087</v>
      </c>
      <c r="C74" s="43" t="e" vm="56">
        <v>#VALUE!</v>
      </c>
      <c r="D74" s="17" t="str" cm="1">
        <f t="array" aca="1" ref="D74" ca="1">_FV(RTData[[#This Row],[Company Name]],"Currency")</f>
        <v>USD</v>
      </c>
      <c r="E74" s="18" cm="1">
        <f t="array" aca="1" ref="E74" ca="1">_FV(RTData[[#This Row],[Company Name]],"Last trade time",TRUE)</f>
        <v>45923.84041645781</v>
      </c>
      <c r="F74" s="19" cm="1">
        <f t="array" aca="1" ref="F74" ca="1">_FV(RTData[[#This Row],[Company Name]],"Previous close",TRUE)</f>
        <v>1.62</v>
      </c>
      <c r="G74" s="19" cm="1">
        <f t="array" aca="1" ref="G74" ca="1">_FV(RTData[[#This Row],[Company Name]],"Open")</f>
        <v>1.64</v>
      </c>
      <c r="H74" s="19" cm="1">
        <f t="array" aca="1" ref="H74" ca="1">_FV(RTData[[#This Row],[Company Name]],"Price")</f>
        <v>1.59</v>
      </c>
      <c r="I74" s="19" cm="1">
        <f t="array" aca="1" ref="I74" ca="1">_FV(RTData[[#This Row],[Company Name]],"Low")</f>
        <v>1.57</v>
      </c>
      <c r="J74" s="19" cm="1">
        <f t="array" aca="1" ref="J74" ca="1">_FV(RTData[[#This Row],[Company Name]],"High")</f>
        <v>1.72</v>
      </c>
      <c r="K74" s="20" cm="1">
        <f t="array" aca="1" ref="K74" ca="1">IFERROR(_FV(RTData[[#This Row],[Company Name]],"P/E",TRUE),99)</f>
        <v>0</v>
      </c>
      <c r="L74" s="21" cm="1">
        <f t="array" aca="1" ref="L74" ca="1">_FV(RTData[[#This Row],[Company Name]],"Change")</f>
        <v>-0.03</v>
      </c>
      <c r="M74" s="22" cm="1">
        <f t="array" aca="1" ref="M74" ca="1">_FV(RTData[[#This Row],[Company Name]],"Change (%)",TRUE)</f>
        <v>-1.8519000000000001E-2</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5322308</v>
      </c>
      <c r="Q74" s="23" cm="1">
        <f t="array" aca="1" ref="Q74" ca="1">_FV(RTData[[#This Row],[Company Name]],"Volume average",TRUE)</f>
        <v>4008387</v>
      </c>
      <c r="R74" s="19" cm="1">
        <f t="array" aca="1" ref="R74" ca="1">_FV(RTData[[#This Row],[Company Name]],"Beta")</f>
        <v>3.5388999999999999</v>
      </c>
      <c r="T74" t="s">
        <v>26</v>
      </c>
      <c r="U74" t="str" cm="1">
        <f t="array" aca="1" ref="U74" ca="1">_FV(RTData[[#This Row],[Company Name]],"Exchange abbreviation",TRUE)</f>
        <v>XNAS</v>
      </c>
      <c r="V74" s="24">
        <f ca="1">IFERROR(RTData[[#This Row],[Volume]]/RTData[[#This Row],[Volume average]],1)</f>
        <v>1.3277929501318111</v>
      </c>
      <c r="W74" s="24"/>
      <c r="X74" s="103">
        <v>2.4</v>
      </c>
      <c r="Y74" s="149">
        <f>[2]Sheet2!$F73</f>
        <v>0</v>
      </c>
      <c r="Z74" s="149" t="str">
        <f>[2]Sheet2!$G73</f>
        <v>Nov 6, 2025</v>
      </c>
      <c r="AA74" s="150">
        <f>[2]Sheet2!$H73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45923.666666666664</v>
      </c>
      <c r="F75" s="29" cm="1">
        <f t="array" aca="1" ref="F75" ca="1">_FV(RTData[[#This Row],[Company Name]],"Previous close",TRUE)</f>
        <v>14.59</v>
      </c>
      <c r="G75" s="29" cm="1">
        <f t="array" aca="1" ref="G75" ca="1">_FV(RTData[[#This Row],[Company Name]],"Open")</f>
        <v>14.6</v>
      </c>
      <c r="H75" s="29" cm="1">
        <f t="array" aca="1" ref="H75" ca="1">_FV(RTData[[#This Row],[Company Name]],"Price")</f>
        <v>14.84</v>
      </c>
      <c r="I75" s="29" cm="1">
        <f t="array" aca="1" ref="I75" ca="1">_FV(RTData[[#This Row],[Company Name]],"Low")</f>
        <v>14.56</v>
      </c>
      <c r="J75" s="29" cm="1">
        <f t="array" aca="1" ref="J75" ca="1">_FV(RTData[[#This Row],[Company Name]],"High")</f>
        <v>14.914</v>
      </c>
      <c r="K75" s="20" cm="1">
        <f t="array" aca="1" ref="K75" ca="1">IFERROR(_FV(RTData[[#This Row],[Company Name]],"P/E",TRUE),99)</f>
        <v>18.540700000000001</v>
      </c>
      <c r="L75" s="21" cm="1">
        <f t="array" aca="1" ref="L75" ca="1">_FV(RTData[[#This Row],[Company Name]],"Change")</f>
        <v>0.25</v>
      </c>
      <c r="M75" s="22" cm="1">
        <f t="array" aca="1" ref="M75" ca="1">_FV(RTData[[#This Row],[Company Name]],"Change (%)",TRUE)</f>
        <v>1.7135000000000001E-2</v>
      </c>
      <c r="N75" s="29" cm="1">
        <f t="array" aca="1" ref="N75" ca="1">_FV(RTData[[#This Row],[Company Name]],"52 week low",TRUE)</f>
        <v>11.01</v>
      </c>
      <c r="O75" s="29" cm="1">
        <f t="array" aca="1" ref="O75" ca="1">_FV(RTData[[#This Row],[Company Name]],"52 week high",TRUE)</f>
        <v>15.39</v>
      </c>
      <c r="P75" s="23" cm="1">
        <f t="array" aca="1" ref="P75" ca="1">_FV(RTData[[#This Row],[Company Name]],"Volume")</f>
        <v>10978661</v>
      </c>
      <c r="Q75" s="23" cm="1">
        <f t="array" aca="1" ref="Q75" ca="1">_FV(RTData[[#This Row],[Company Name]],"Volume average",TRUE)</f>
        <v>9398690</v>
      </c>
      <c r="R75" s="19" cm="1">
        <f t="array" aca="1" ref="R75" ca="1">_FV(RTData[[#This Row],[Company Name]],"Beta")</f>
        <v>1.1025</v>
      </c>
      <c r="T75" t="s">
        <v>26</v>
      </c>
      <c r="U75" t="str" cm="1">
        <f t="array" aca="1" ref="U75" ca="1">_FV(RTData[[#This Row],[Company Name]],"Exchange abbreviation",TRUE)</f>
        <v>XMIL</v>
      </c>
      <c r="V75" s="24">
        <f ca="1">IFERROR(RTData[[#This Row],[Volume]]/RTData[[#This Row],[Volume average]],1)</f>
        <v>1.1681054487380689</v>
      </c>
      <c r="W75" s="24"/>
      <c r="X75" s="103">
        <v>15.23</v>
      </c>
      <c r="Y75" s="149">
        <f>[2]Sheet2!$F74</f>
        <v>45986</v>
      </c>
      <c r="Z75" s="149">
        <f>[2]Sheet2!$G74</f>
        <v>0</v>
      </c>
      <c r="AA75" s="150">
        <f>[2]Sheet2!$H74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1.1450818733539449E-2</v>
      </c>
      <c r="C76" s="43" t="e" vm="57">
        <v>#VALUE!</v>
      </c>
      <c r="D76" s="17" t="str" cm="1">
        <f t="array" aca="1" ref="D76" ca="1">_FV(RTData[[#This Row],[Company Name]],"Currency")</f>
        <v>GBp</v>
      </c>
      <c r="E76" s="18" cm="1">
        <f t="array" aca="1" ref="E76" ca="1">_FV(RTData[[#This Row],[Company Name]],"Last trade time",TRUE)</f>
        <v>45923.633064698435</v>
      </c>
      <c r="F76" s="19" cm="1">
        <f t="array" aca="1" ref="F76" ca="1">_FV(RTData[[#This Row],[Company Name]],"Previous close",TRUE)</f>
        <v>447.3</v>
      </c>
      <c r="G76" s="19" cm="1">
        <f t="array" aca="1" ref="G76" ca="1">_FV(RTData[[#This Row],[Company Name]],"Open")</f>
        <v>451</v>
      </c>
      <c r="H76" s="19" cm="1">
        <f t="array" aca="1" ref="H76" ca="1">_FV(RTData[[#This Row],[Company Name]],"Price")</f>
        <v>457.2</v>
      </c>
      <c r="I76" s="19" cm="1">
        <f t="array" aca="1" ref="I76" ca="1">_FV(RTData[[#This Row],[Company Name]],"Low")</f>
        <v>448.8</v>
      </c>
      <c r="J76" s="19" cm="1">
        <f t="array" aca="1" ref="J76" ca="1">_FV(RTData[[#This Row],[Company Name]],"High")</f>
        <v>461.2</v>
      </c>
      <c r="K76" s="20" cm="1">
        <f t="array" aca="1" ref="K76" ca="1">IFERROR(_FV(RTData[[#This Row],[Company Name]],"P/E",TRUE),99)</f>
        <v>8.0900999999999996</v>
      </c>
      <c r="L76" s="21" cm="1">
        <f t="array" aca="1" ref="L76" ca="1">_FV(RTData[[#This Row],[Company Name]],"Change")</f>
        <v>9.9</v>
      </c>
      <c r="M76" s="22" cm="1">
        <f t="array" aca="1" ref="M76" ca="1">_FV(RTData[[#This Row],[Company Name]],"Change (%)",TRUE)</f>
        <v>2.2133E-2</v>
      </c>
      <c r="N76" s="19" cm="1">
        <f t="array" aca="1" ref="N76" ca="1">_FV(RTData[[#This Row],[Company Name]],"52 week low",TRUE)</f>
        <v>401.05</v>
      </c>
      <c r="O76" s="19" cm="1">
        <f t="array" aca="1" ref="O76" ca="1">_FV(RTData[[#This Row],[Company Name]],"52 week high",TRUE)</f>
        <v>594</v>
      </c>
      <c r="P76" s="23" cm="1">
        <f t="array" aca="1" ref="P76" ca="1">_FV(RTData[[#This Row],[Company Name]],"Volume")</f>
        <v>3691457</v>
      </c>
      <c r="Q76" s="23" cm="1">
        <f t="array" aca="1" ref="Q76" ca="1">_FV(RTData[[#This Row],[Company Name]],"Volume average",TRUE)</f>
        <v>4438360</v>
      </c>
      <c r="R76" s="19" cm="1">
        <f t="array" aca="1" ref="R76" ca="1">_FV(RTData[[#This Row],[Company Name]],"Beta")</f>
        <v>2.7949000000000002</v>
      </c>
      <c r="T76" t="s">
        <v>26</v>
      </c>
      <c r="U76" t="str" cm="1">
        <f t="array" aca="1" ref="U76" ca="1">_FV(RTData[[#This Row],[Company Name]],"Exchange abbreviation",TRUE)</f>
        <v>XLON</v>
      </c>
      <c r="V76" s="24">
        <f ca="1">IFERROR(RTData[[#This Row],[Volume]]/RTData[[#This Row],[Volume average]],1)</f>
        <v>0.83171644481294893</v>
      </c>
      <c r="W76" s="24"/>
      <c r="X76" s="103">
        <v>658.68</v>
      </c>
      <c r="Y76" s="149">
        <f>[2]Sheet2!$F75</f>
        <v>45708</v>
      </c>
      <c r="Z76" s="149">
        <f>[2]Sheet2!$G75</f>
        <v>0</v>
      </c>
      <c r="AA76" s="150">
        <f>[2]Sheet2!$H75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0.84645336041984087</v>
      </c>
      <c r="C77" s="43" t="e" vm="58">
        <v>#VALUE!</v>
      </c>
      <c r="D77" s="17" t="str" cm="1">
        <f t="array" aca="1" ref="D77" ca="1">_FV(RTData[[#This Row],[Company Name]],"Currency")</f>
        <v>USD</v>
      </c>
      <c r="E77" s="18" cm="1">
        <f t="array" aca="1" ref="E77" ca="1">_FV(RTData[[#This Row],[Company Name]],"Last trade time",TRUE)</f>
        <v>45923.844973772655</v>
      </c>
      <c r="F77" s="19" cm="1">
        <f t="array" aca="1" ref="F77" ca="1">_FV(RTData[[#This Row],[Company Name]],"Previous close",TRUE)</f>
        <v>11.66</v>
      </c>
      <c r="G77" s="19" cm="1">
        <f t="array" aca="1" ref="G77" ca="1">_FV(RTData[[#This Row],[Company Name]],"Open")</f>
        <v>11.7</v>
      </c>
      <c r="H77" s="19" cm="1">
        <f t="array" aca="1" ref="H77" ca="1">_FV(RTData[[#This Row],[Company Name]],"Price")</f>
        <v>11.744999999999999</v>
      </c>
      <c r="I77" s="19" cm="1">
        <f t="array" aca="1" ref="I77" ca="1">_FV(RTData[[#This Row],[Company Name]],"Low")</f>
        <v>11.695</v>
      </c>
      <c r="J77" s="19" cm="1">
        <f t="array" aca="1" ref="J77" ca="1">_FV(RTData[[#This Row],[Company Name]],"High")</f>
        <v>11.93</v>
      </c>
      <c r="K77" s="20" cm="1">
        <f t="array" aca="1" ref="K77" ca="1">IFERROR(_FV(RTData[[#This Row],[Company Name]],"P/E",TRUE),99)</f>
        <v>14.9099</v>
      </c>
      <c r="L77" s="21" cm="1">
        <f t="array" aca="1" ref="L77" ca="1">_FV(RTData[[#This Row],[Company Name]],"Change")</f>
        <v>8.5000000000000006E-2</v>
      </c>
      <c r="M77" s="22" cm="1">
        <f t="array" aca="1" ref="M77" ca="1">_FV(RTData[[#This Row],[Company Name]],"Change (%)",TRUE)</f>
        <v>7.2899999999999996E-3</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55599323</v>
      </c>
      <c r="Q77" s="23" cm="1">
        <f t="array" aca="1" ref="Q77" ca="1">_FV(RTData[[#This Row],[Company Name]],"Volume average",TRUE)</f>
        <v>50636962</v>
      </c>
      <c r="R77" s="19" cm="1">
        <f t="array" aca="1" ref="R77" ca="1">_FV(RTData[[#This Row],[Company Name]],"Beta")</f>
        <v>1.528</v>
      </c>
      <c r="T77" t="s">
        <v>26</v>
      </c>
      <c r="U77" t="str" cm="1">
        <f t="array" aca="1" ref="U77" ca="1">_FV(RTData[[#This Row],[Company Name]],"Exchange abbreviation",TRUE)</f>
        <v>XNYS</v>
      </c>
      <c r="V77" s="24">
        <f ca="1">IFERROR(RTData[[#This Row],[Volume]]/RTData[[#This Row],[Volume average]],1)</f>
        <v>1.0979987898958077</v>
      </c>
      <c r="W77" s="24"/>
      <c r="X77" s="103">
        <v>10.79</v>
      </c>
      <c r="Y77" s="149">
        <f>[2]Sheet2!$F76</f>
        <v>45880</v>
      </c>
      <c r="Z77" s="149" t="str">
        <f>[2]Sheet2!$G76</f>
        <v>Oct 29, 2025</v>
      </c>
      <c r="AA77" s="150">
        <f>[2]Sheet2!$H76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45923.666666666664</v>
      </c>
      <c r="F78" s="29" cm="1">
        <f t="array" aca="1" ref="F78" ca="1">_FV(RTData[[#This Row],[Company Name]],"Previous close",TRUE)</f>
        <v>57.36</v>
      </c>
      <c r="G78" s="29" cm="1">
        <f t="array" aca="1" ref="G78" ca="1">_FV(RTData[[#This Row],[Company Name]],"Open")</f>
        <v>57.76</v>
      </c>
      <c r="H78" s="29" cm="1">
        <f t="array" aca="1" ref="H78" ca="1">_FV(RTData[[#This Row],[Company Name]],"Price")</f>
        <v>56.84</v>
      </c>
      <c r="I78" s="29" cm="1">
        <f t="array" aca="1" ref="I78" ca="1">_FV(RTData[[#This Row],[Company Name]],"Low")</f>
        <v>56.4</v>
      </c>
      <c r="J78" s="29" cm="1">
        <f t="array" aca="1" ref="J78" ca="1">_FV(RTData[[#This Row],[Company Name]],"High")</f>
        <v>57.86</v>
      </c>
      <c r="K78" s="20" cm="1">
        <f t="array" aca="1" ref="K78" ca="1">IFERROR(_FV(RTData[[#This Row],[Company Name]],"P/E",TRUE),99)</f>
        <v>9.6068999999999996</v>
      </c>
      <c r="L78" s="21" cm="1">
        <f t="array" aca="1" ref="L78" ca="1">_FV(RTData[[#This Row],[Company Name]],"Change")</f>
        <v>-0.52</v>
      </c>
      <c r="M78" s="22" cm="1">
        <f t="array" aca="1" ref="M78" ca="1">_FV(RTData[[#This Row],[Company Name]],"Change (%)",TRUE)</f>
        <v>-9.0659999999999994E-3</v>
      </c>
      <c r="N78" s="29" cm="1">
        <f t="array" aca="1" ref="N78" ca="1">_FV(RTData[[#This Row],[Company Name]],"52 week low",TRUE)</f>
        <v>21.67</v>
      </c>
      <c r="O78" s="29" cm="1">
        <f t="array" aca="1" ref="O78" ca="1">_FV(RTData[[#This Row],[Company Name]],"52 week high",TRUE)</f>
        <v>59.42</v>
      </c>
      <c r="P78" s="23" cm="1">
        <f t="array" aca="1" ref="P78" ca="1">_FV(RTData[[#This Row],[Company Name]],"Volume")</f>
        <v>1573948</v>
      </c>
      <c r="Q78" s="23" cm="1">
        <f t="array" aca="1" ref="Q78" ca="1">_FV(RTData[[#This Row],[Company Name]],"Volume average",TRUE)</f>
        <v>2106770</v>
      </c>
      <c r="R78" s="19" cm="1">
        <f t="array" aca="1" ref="R78" ca="1">_FV(RTData[[#This Row],[Company Name]],"Beta")</f>
        <v>1.5679000000000001</v>
      </c>
      <c r="T78" t="s">
        <v>26</v>
      </c>
      <c r="U78" t="str" cm="1">
        <f t="array" aca="1" ref="U78" ca="1">_FV(RTData[[#This Row],[Company Name]],"Exchange abbreviation",TRUE)</f>
        <v>XPAR</v>
      </c>
      <c r="V78" s="24">
        <f ca="1">IFERROR(RTData[[#This Row],[Volume]]/RTData[[#This Row],[Volume average]],1)</f>
        <v>0.74709056992457645</v>
      </c>
      <c r="W78" s="24"/>
      <c r="X78" s="103">
        <v>60.69</v>
      </c>
      <c r="Y78" s="149">
        <f>[2]Sheet2!$F77</f>
        <v>45937</v>
      </c>
      <c r="Z78" s="149" t="str">
        <f>[2]Sheet2!$G77</f>
        <v>Oct 30, 2025</v>
      </c>
      <c r="AA78" s="150">
        <f>[2]Sheet2!$H77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0.84645336041984087</v>
      </c>
      <c r="C79" s="43" t="e" vm="59">
        <v>#VALUE!</v>
      </c>
      <c r="D79" s="17" t="str" cm="1">
        <f t="array" aca="1" ref="D79" ca="1">_FV(RTData[[#This Row],[Company Name]],"Currency")</f>
        <v>USD</v>
      </c>
      <c r="E79" s="18" cm="1">
        <f t="array" aca="1" ref="E79" ca="1">_FV(RTData[[#This Row],[Company Name]],"Last trade time",TRUE)</f>
        <v>45923.845555948436</v>
      </c>
      <c r="F79" s="19" cm="1">
        <f t="array" aca="1" ref="F79" ca="1">_FV(RTData[[#This Row],[Company Name]],"Previous close",TRUE)</f>
        <v>185.86</v>
      </c>
      <c r="G79" s="19" cm="1">
        <f t="array" aca="1" ref="G79" ca="1">_FV(RTData[[#This Row],[Company Name]],"Open")</f>
        <v>186.79</v>
      </c>
      <c r="H79" s="19" cm="1">
        <f t="array" aca="1" ref="H79" ca="1">_FV(RTData[[#This Row],[Company Name]],"Price")</f>
        <v>166.78</v>
      </c>
      <c r="I79" s="19" cm="1">
        <f t="array" aca="1" ref="I79" ca="1">_FV(RTData[[#This Row],[Company Name]],"Low")</f>
        <v>166.17</v>
      </c>
      <c r="J79" s="19" cm="1">
        <f t="array" aca="1" ref="J79" ca="1">_FV(RTData[[#This Row],[Company Name]],"High")</f>
        <v>187.81479999999999</v>
      </c>
      <c r="K79" s="20" cm="1">
        <f t="array" aca="1" ref="K79" ca="1">IFERROR(_FV(RTData[[#This Row],[Company Name]],"P/E",TRUE),99)</f>
        <v>30.862500000000001</v>
      </c>
      <c r="L79" s="21" cm="1">
        <f t="array" aca="1" ref="L79" ca="1">_FV(RTData[[#This Row],[Company Name]],"Change")</f>
        <v>-19.079999999999998</v>
      </c>
      <c r="M79" s="22" cm="1">
        <f t="array" aca="1" ref="M79" ca="1">_FV(RTData[[#This Row],[Company Name]],"Change (%)",TRUE)</f>
        <v>-0.102658</v>
      </c>
      <c r="N79" s="19" cm="1">
        <f t="array" aca="1" ref="N79" ca="1">_FV(RTData[[#This Row],[Company Name]],"52 week low",TRUE)</f>
        <v>99.5</v>
      </c>
      <c r="O79" s="19" cm="1">
        <f t="array" aca="1" ref="O79" ca="1">_FV(RTData[[#This Row],[Company Name]],"52 week high",TRUE)</f>
        <v>203.2499</v>
      </c>
      <c r="P79" s="23" cm="1">
        <f t="array" aca="1" ref="P79" ca="1">_FV(RTData[[#This Row],[Company Name]],"Volume")</f>
        <v>2315615</v>
      </c>
      <c r="Q79" s="23" cm="1">
        <f t="array" aca="1" ref="Q79" ca="1">_FV(RTData[[#This Row],[Company Name]],"Volume average",TRUE)</f>
        <v>876495</v>
      </c>
      <c r="R79" s="19" cm="1">
        <f t="array" aca="1" ref="R79" ca="1">_FV(RTData[[#This Row],[Company Name]],"Beta")</f>
        <v>1.6612</v>
      </c>
      <c r="T79" t="s">
        <v>26</v>
      </c>
      <c r="U79" t="str" cm="1">
        <f t="array" aca="1" ref="U79" ca="1">_FV(RTData[[#This Row],[Company Name]],"Exchange abbreviation",TRUE)</f>
        <v>XNYS</v>
      </c>
      <c r="V79" s="24">
        <f ca="1">IFERROR(RTData[[#This Row],[Volume]]/RTData[[#This Row],[Volume average]],1)</f>
        <v>2.6419032624259122</v>
      </c>
      <c r="W79" s="24"/>
      <c r="X79" s="103">
        <f>[2]Sheet2!$E78</f>
        <v>204.5</v>
      </c>
      <c r="Y79" s="149">
        <f>[2]Sheet2!$F78</f>
        <v>41435</v>
      </c>
      <c r="Z79" s="149" t="str">
        <f>[2]Sheet2!$G78</f>
        <v>Oct 30, 2025</v>
      </c>
      <c r="AA79" s="150">
        <f>[2]Sheet2!$H78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0.84645336041984087</v>
      </c>
      <c r="C80" t="e" vm="60">
        <v>#VALUE!</v>
      </c>
      <c r="D80" s="17" t="str" cm="1">
        <f t="array" aca="1" ref="D80" ca="1">_FV(RTData[[#This Row],[Company Name]],"Currency")</f>
        <v>USD</v>
      </c>
      <c r="E80" s="18" cm="1">
        <f t="array" aca="1" ref="E80" ca="1">_FV(RTData[[#This Row],[Company Name]],"Last trade time",TRUE)</f>
        <v>45923.843819710157</v>
      </c>
      <c r="F80" s="19" cm="1">
        <f t="array" aca="1" ref="F80" ca="1">_FV(RTData[[#This Row],[Company Name]],"Previous close",TRUE)</f>
        <v>805.56</v>
      </c>
      <c r="G80" s="19" cm="1">
        <f t="array" aca="1" ref="G80" ca="1">_FV(RTData[[#This Row],[Company Name]],"Open")</f>
        <v>807.1</v>
      </c>
      <c r="H80" s="19" cm="1">
        <f t="array" aca="1" ref="H80" ca="1">_FV(RTData[[#This Row],[Company Name]],"Price")</f>
        <v>806.85</v>
      </c>
      <c r="I80" s="19" cm="1">
        <f t="array" aca="1" ref="I80" ca="1">_FV(RTData[[#This Row],[Company Name]],"Low")</f>
        <v>802</v>
      </c>
      <c r="J80" s="19" cm="1">
        <f t="array" aca="1" ref="J80" ca="1">_FV(RTData[[#This Row],[Company Name]],"High")</f>
        <v>825.25</v>
      </c>
      <c r="K80" s="20" cm="1">
        <f t="array" aca="1" ref="K80" ca="1">IFERROR(_FV(RTData[[#This Row],[Company Name]],"P/E",TRUE),99)</f>
        <v>17.752600000000001</v>
      </c>
      <c r="L80" s="21" cm="1">
        <f t="array" aca="1" ref="L80" ca="1">_FV(RTData[[#This Row],[Company Name]],"Change")</f>
        <v>1.29</v>
      </c>
      <c r="M80" s="22" cm="1">
        <f t="array" aca="1" ref="M80" ca="1">_FV(RTData[[#This Row],[Company Name]],"Change (%)",TRUE)</f>
        <v>1.601E-3</v>
      </c>
      <c r="N80" s="19" cm="1">
        <f t="array" aca="1" ref="N80" ca="1">_FV(RTData[[#This Row],[Company Name]],"52 week low",TRUE)</f>
        <v>439.38</v>
      </c>
      <c r="O80" s="19" cm="1">
        <f t="array" aca="1" ref="O80" ca="1">_FV(RTData[[#This Row],[Company Name]],"52 week high",TRUE)</f>
        <v>825.25</v>
      </c>
      <c r="P80" s="23" cm="1">
        <f t="array" aca="1" ref="P80" ca="1">_FV(RTData[[#This Row],[Company Name]],"Volume")</f>
        <v>1755841</v>
      </c>
      <c r="Q80" s="23" cm="1">
        <f t="array" aca="1" ref="Q80" ca="1">_FV(RTData[[#This Row],[Company Name]],"Volume average",TRUE)</f>
        <v>1723259</v>
      </c>
      <c r="R80" s="19" cm="1">
        <f t="array" aca="1" ref="R80" ca="1">_FV(RTData[[#This Row],[Company Name]],"Beta")</f>
        <v>1.4175</v>
      </c>
      <c r="T80" t="s">
        <v>26</v>
      </c>
      <c r="U80" t="str" cm="1">
        <f t="array" aca="1" ref="U80" ca="1">_FV(RTData[[#This Row],[Company Name]],"Exchange abbreviation",TRUE)</f>
        <v>XNYS</v>
      </c>
      <c r="V80" s="24">
        <f ca="1">IFERROR(RTData[[#This Row],[Volume]]/RTData[[#This Row],[Volume average]],1)</f>
        <v>1.0189071985116573</v>
      </c>
      <c r="W80" s="24"/>
      <c r="X80" s="103">
        <f>[2]Sheet2!$E79</f>
        <v>710.57899999999995</v>
      </c>
      <c r="Y80" s="149">
        <f>[2]Sheet2!$F79</f>
        <v>45898</v>
      </c>
      <c r="Z80" s="149" t="str">
        <f>[2]Sheet2!$G79</f>
        <v>Oct 14, 2025</v>
      </c>
      <c r="AA80" s="150">
        <f>[2]Sheet2!$H79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0.84645336041984087</v>
      </c>
      <c r="C81" s="43" t="e" vm="61">
        <v>#VALUE!</v>
      </c>
      <c r="D81" s="17" t="str" cm="1">
        <f t="array" aca="1" ref="D81" ca="1">_FV(RTData[[#This Row],[Company Name]],"Currency")</f>
        <v>USD</v>
      </c>
      <c r="E81" s="18" cm="1">
        <f t="array" aca="1" ref="E81" ca="1">_FV(RTData[[#This Row],[Company Name]],"Last trade time",TRUE)</f>
        <v>45923.845484258592</v>
      </c>
      <c r="F81" s="19" cm="1">
        <f t="array" aca="1" ref="F81" ca="1">_FV(RTData[[#This Row],[Company Name]],"Previous close",TRUE)</f>
        <v>2.17</v>
      </c>
      <c r="G81" s="19" cm="1">
        <f t="array" aca="1" ref="G81" ca="1">_FV(RTData[[#This Row],[Company Name]],"Open")</f>
        <v>2.17</v>
      </c>
      <c r="H81" s="19" cm="1">
        <f t="array" aca="1" ref="H81" ca="1">_FV(RTData[[#This Row],[Company Name]],"Price")</f>
        <v>2.2999999999999998</v>
      </c>
      <c r="I81" s="19" cm="1">
        <f t="array" aca="1" ref="I81" ca="1">_FV(RTData[[#This Row],[Company Name]],"Low")</f>
        <v>2.14</v>
      </c>
      <c r="J81" s="19" cm="1">
        <f t="array" aca="1" ref="J81" ca="1">_FV(RTData[[#This Row],[Company Name]],"High")</f>
        <v>2.46</v>
      </c>
      <c r="K81" s="20" cm="1">
        <f t="array" aca="1" ref="K81" ca="1">IFERROR(_FV(RTData[[#This Row],[Company Name]],"P/E",TRUE),99)</f>
        <v>0</v>
      </c>
      <c r="L81" s="21" cm="1">
        <f t="array" aca="1" ref="L81" ca="1">_FV(RTData[[#This Row],[Company Name]],"Change")</f>
        <v>0.13</v>
      </c>
      <c r="M81" s="22" cm="1">
        <f t="array" aca="1" ref="M81" ca="1">_FV(RTData[[#This Row],[Company Name]],"Change (%)",TRUE)</f>
        <v>5.9908000000000003E-2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6480583</v>
      </c>
      <c r="Q81" s="23" cm="1">
        <f t="array" aca="1" ref="Q81" ca="1">_FV(RTData[[#This Row],[Company Name]],"Volume average",TRUE)</f>
        <v>4570475</v>
      </c>
      <c r="R81" s="19" cm="1">
        <f t="array" aca="1" ref="R81" ca="1">_FV(RTData[[#This Row],[Company Name]],"Beta")</f>
        <v>2.0781000000000001</v>
      </c>
      <c r="T81" t="s">
        <v>26</v>
      </c>
      <c r="U81" t="str" cm="1">
        <f t="array" aca="1" ref="U81" ca="1">_FV(RTData[[#This Row],[Company Name]],"Exchange abbreviation",TRUE)</f>
        <v>XNAS</v>
      </c>
      <c r="V81" s="24">
        <f ca="1">IFERROR(RTData[[#This Row],[Volume]]/RTData[[#This Row],[Volume average]],1)</f>
        <v>1.4179233011886072</v>
      </c>
      <c r="W81" s="24"/>
      <c r="X81" s="103">
        <v>3</v>
      </c>
      <c r="Y81" s="149">
        <f>[2]Sheet2!$F80</f>
        <v>0</v>
      </c>
      <c r="Z81" s="149" t="str">
        <f>[2]Sheet2!$G80</f>
        <v>Aug 12, 2025</v>
      </c>
      <c r="AA81" s="150">
        <f>[2]Sheet2!$H80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0.84645336041984087</v>
      </c>
      <c r="C82" s="43" t="e" vm="62">
        <v>#VALUE!</v>
      </c>
      <c r="D82" s="17" t="str" cm="1">
        <f t="array" aca="1" ref="D82" ca="1">_FV(RTData[[#This Row],[Company Name]],"Currency")</f>
        <v>USD</v>
      </c>
      <c r="E82" s="18" cm="1">
        <f t="array" aca="1" ref="E82" ca="1">_FV(RTData[[#This Row],[Company Name]],"Last trade time",TRUE)</f>
        <v>45923.843835624997</v>
      </c>
      <c r="F82" s="19" cm="1">
        <f t="array" aca="1" ref="F82" ca="1">_FV(RTData[[#This Row],[Company Name]],"Previous close",TRUE)</f>
        <v>32.299999999999997</v>
      </c>
      <c r="G82" s="19" cm="1">
        <f t="array" aca="1" ref="G82" ca="1">_FV(RTData[[#This Row],[Company Name]],"Open")</f>
        <v>32.25</v>
      </c>
      <c r="H82" s="19" cm="1">
        <f t="array" aca="1" ref="H82" ca="1">_FV(RTData[[#This Row],[Company Name]],"Price")</f>
        <v>33.335000000000001</v>
      </c>
      <c r="I82" s="19" cm="1">
        <f t="array" aca="1" ref="I82" ca="1">_FV(RTData[[#This Row],[Company Name]],"Low")</f>
        <v>32.234999999999999</v>
      </c>
      <c r="J82" s="19" cm="1">
        <f t="array" aca="1" ref="J82" ca="1">_FV(RTData[[#This Row],[Company Name]],"High")</f>
        <v>33.409999999999997</v>
      </c>
      <c r="K82" s="20" cm="1">
        <f t="array" aca="1" ref="K82" ca="1">IFERROR(_FV(RTData[[#This Row],[Company Name]],"P/E",TRUE),99)</f>
        <v>38.774999999999999</v>
      </c>
      <c r="L82" s="21" cm="1">
        <f t="array" aca="1" ref="L82" ca="1">_FV(RTData[[#This Row],[Company Name]],"Change")</f>
        <v>1.0349999999999999</v>
      </c>
      <c r="M82" s="22" cm="1">
        <f t="array" aca="1" ref="M82" ca="1">_FV(RTData[[#This Row],[Company Name]],"Change (%)",TRUE)</f>
        <v>3.2043000000000002E-2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12636636</v>
      </c>
      <c r="Q82" s="23" cm="1">
        <f t="array" aca="1" ref="Q82" ca="1">_FV(RTData[[#This Row],[Company Name]],"Volume average",TRUE)</f>
        <v>8318147</v>
      </c>
      <c r="R82" s="19" cm="1">
        <f t="array" aca="1" ref="R82" ca="1">_FV(RTData[[#This Row],[Company Name]],"Beta")</f>
        <v>1.202</v>
      </c>
      <c r="T82" t="s">
        <v>26</v>
      </c>
      <c r="U82" t="str" cm="1">
        <f t="array" aca="1" ref="U82" ca="1">_FV(RTData[[#This Row],[Company Name]],"Exchange abbreviation",TRUE)</f>
        <v>XNYS</v>
      </c>
      <c r="V82" s="24">
        <f ca="1">IFERROR(RTData[[#This Row],[Volume]]/RTData[[#This Row],[Volume average]],1)</f>
        <v>1.5191647851378438</v>
      </c>
      <c r="W82" s="24"/>
      <c r="X82" s="103">
        <f>[2]Sheet2!$E81</f>
        <v>32.06</v>
      </c>
      <c r="Y82" s="149">
        <f>[2]Sheet2!$F81</f>
        <v>45903</v>
      </c>
      <c r="Z82" s="149" t="str">
        <f>[2]Sheet2!$G81</f>
        <v>Oct 22, 2025</v>
      </c>
      <c r="AA82" s="150">
        <f>[2]Sheet2!$H81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0.84645336041984087</v>
      </c>
      <c r="C83" s="43" t="e" vm="63">
        <v>#VALUE!</v>
      </c>
      <c r="D83" s="17" t="str" cm="1">
        <f t="array" aca="1" ref="D83" ca="1">_FV(RTData[[#This Row],[Company Name]],"Currency")</f>
        <v>USD</v>
      </c>
      <c r="E83" s="18" cm="1">
        <f t="array" aca="1" ref="E83" ca="1">_FV(RTData[[#This Row],[Company Name]],"Last trade time",TRUE)</f>
        <v>45923.844511573436</v>
      </c>
      <c r="F83" s="19" cm="1">
        <f t="array" aca="1" ref="F83" ca="1">_FV(RTData[[#This Row],[Company Name]],"Previous close",TRUE)</f>
        <v>584.49</v>
      </c>
      <c r="G83" s="19" cm="1">
        <f t="array" aca="1" ref="G83" ca="1">_FV(RTData[[#This Row],[Company Name]],"Open")</f>
        <v>585.45000000000005</v>
      </c>
      <c r="H83" s="19" cm="1">
        <f t="array" aca="1" ref="H83" ca="1">_FV(RTData[[#This Row],[Company Name]],"Price")</f>
        <v>570.16</v>
      </c>
      <c r="I83" s="19" cm="1">
        <f t="array" aca="1" ref="I83" ca="1">_FV(RTData[[#This Row],[Company Name]],"Low")</f>
        <v>568.25</v>
      </c>
      <c r="J83" s="19" cm="1">
        <f t="array" aca="1" ref="J83" ca="1">_FV(RTData[[#This Row],[Company Name]],"High")</f>
        <v>586.86</v>
      </c>
      <c r="K83" s="20" cm="1">
        <f t="array" aca="1" ref="K83" ca="1">IFERROR(_FV(RTData[[#This Row],[Company Name]],"P/E",TRUE),99)</f>
        <v>39.417400000000001</v>
      </c>
      <c r="L83" s="21" cm="1">
        <f t="array" aca="1" ref="L83" ca="1">_FV(RTData[[#This Row],[Company Name]],"Change")</f>
        <v>-14.33</v>
      </c>
      <c r="M83" s="22" cm="1">
        <f t="array" aca="1" ref="M83" ca="1">_FV(RTData[[#This Row],[Company Name]],"Change (%)",TRUE)</f>
        <v>-2.4517000000000001E-2</v>
      </c>
      <c r="N83" s="19" cm="1">
        <f t="array" aca="1" ref="N83" ca="1">_FV(RTData[[#This Row],[Company Name]],"52 week low",TRUE)</f>
        <v>465.59</v>
      </c>
      <c r="O83" s="19" cm="1">
        <f t="array" aca="1" ref="O83" ca="1">_FV(RTData[[#This Row],[Company Name]],"52 week high",TRUE)</f>
        <v>601.77</v>
      </c>
      <c r="P83" s="23" cm="1">
        <f t="array" aca="1" ref="P83" ca="1">_FV(RTData[[#This Row],[Company Name]],"Volume")</f>
        <v>3212228</v>
      </c>
      <c r="Q83" s="23" cm="1">
        <f t="array" aca="1" ref="Q83" ca="1">_FV(RTData[[#This Row],[Company Name]],"Volume average",TRUE)</f>
        <v>2599364</v>
      </c>
      <c r="R83" s="19" cm="1">
        <f t="array" aca="1" ref="R83" ca="1">_FV(RTData[[#This Row],[Company Name]],"Beta")</f>
        <v>0.9718</v>
      </c>
      <c r="T83" t="s">
        <v>26</v>
      </c>
      <c r="U83" t="str" cm="1">
        <f t="array" aca="1" ref="U83" ca="1">_FV(RTData[[#This Row],[Company Name]],"Exchange abbreviation",TRUE)</f>
        <v>XNYS</v>
      </c>
      <c r="V83" s="24">
        <f ca="1">IFERROR(RTData[[#This Row],[Volume]]/RTData[[#This Row],[Volume average]],1)</f>
        <v>1.2357745971706926</v>
      </c>
      <c r="W83" s="24"/>
      <c r="X83" s="103">
        <f>[2]Sheet2!$E82</f>
        <v>644.55150000000003</v>
      </c>
      <c r="Y83" s="149">
        <f>[2]Sheet2!$F82</f>
        <v>45847</v>
      </c>
      <c r="Z83" s="149" t="str">
        <f>[2]Sheet2!$G82</f>
        <v>Oct 30, 2025</v>
      </c>
      <c r="AA83" s="150">
        <f>[2]Sheet2!$H82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0.84645336041984087</v>
      </c>
      <c r="C84" s="43" t="e" vm="64">
        <v>#VALUE!</v>
      </c>
      <c r="D84" s="17" t="str" cm="1">
        <f t="array" aca="1" ref="D84" ca="1">_FV(RTData[[#This Row],[Company Name]],"Currency")</f>
        <v>USD</v>
      </c>
      <c r="E84" s="18" cm="1">
        <f t="array" aca="1" ref="E84" ca="1">_FV(RTData[[#This Row],[Company Name]],"Last trade time",TRUE)</f>
        <v>45923.844195068748</v>
      </c>
      <c r="F84" s="19" cm="1">
        <f t="array" aca="1" ref="F84" ca="1">_FV(RTData[[#This Row],[Company Name]],"Previous close",TRUE)</f>
        <v>8.8699999999999992</v>
      </c>
      <c r="G84" s="19" cm="1">
        <f t="array" aca="1" ref="G84" ca="1">_FV(RTData[[#This Row],[Company Name]],"Open")</f>
        <v>8.9</v>
      </c>
      <c r="H84" s="19" cm="1">
        <f t="array" aca="1" ref="H84" ca="1">_FV(RTData[[#This Row],[Company Name]],"Price")</f>
        <v>8.67</v>
      </c>
      <c r="I84" s="19" cm="1">
        <f t="array" aca="1" ref="I84" ca="1">_FV(RTData[[#This Row],[Company Name]],"Low")</f>
        <v>8.6549999999999994</v>
      </c>
      <c r="J84" s="19" cm="1">
        <f t="array" aca="1" ref="J84" ca="1">_FV(RTData[[#This Row],[Company Name]],"High")</f>
        <v>9.0399999999999991</v>
      </c>
      <c r="K84" s="20" cm="1">
        <f t="array" aca="1" ref="K84" ca="1">IFERROR(_FV(RTData[[#This Row],[Company Name]],"P/E",TRUE),99)</f>
        <v>3.8780999999999999</v>
      </c>
      <c r="L84" s="21" cm="1">
        <f t="array" aca="1" ref="L84" ca="1">_FV(RTData[[#This Row],[Company Name]],"Change")</f>
        <v>-0.2</v>
      </c>
      <c r="M84" s="22" cm="1">
        <f t="array" aca="1" ref="M84" ca="1">_FV(RTData[[#This Row],[Company Name]],"Change (%)",TRUE)</f>
        <v>-2.2547999999999999E-2</v>
      </c>
      <c r="N84" s="19" cm="1">
        <f t="array" aca="1" ref="N84" ca="1">_FV(RTData[[#This Row],[Company Name]],"52 week low",TRUE)</f>
        <v>5.01</v>
      </c>
      <c r="O84" s="19" cm="1">
        <f t="array" aca="1" ref="O84" ca="1">_FV(RTData[[#This Row],[Company Name]],"52 week high",TRUE)</f>
        <v>15.22</v>
      </c>
      <c r="P84" s="23" cm="1">
        <f t="array" aca="1" ref="P84" ca="1">_FV(RTData[[#This Row],[Company Name]],"Volume")</f>
        <v>3833742</v>
      </c>
      <c r="Q84" s="23" cm="1">
        <f t="array" aca="1" ref="Q84" ca="1">_FV(RTData[[#This Row],[Company Name]],"Volume average",TRUE)</f>
        <v>6543071</v>
      </c>
      <c r="R84" s="19" cm="1">
        <f t="array" aca="1" ref="R84" ca="1">_FV(RTData[[#This Row],[Company Name]],"Beta")</f>
        <v>2.7509999999999999</v>
      </c>
      <c r="T84" t="s">
        <v>26</v>
      </c>
      <c r="U84" t="str" cm="1">
        <f t="array" aca="1" ref="U84" ca="1">_FV(RTData[[#This Row],[Company Name]],"Exchange abbreviation",TRUE)</f>
        <v>XNAS</v>
      </c>
      <c r="V84" s="24">
        <f ca="1">IFERROR(RTData[[#This Row],[Volume]]/RTData[[#This Row],[Volume average]],1)</f>
        <v>0.58592394916698898</v>
      </c>
      <c r="W84" s="24"/>
      <c r="X84" s="103">
        <f>[2]Sheet2!$E83</f>
        <v>12.5</v>
      </c>
      <c r="Y84" s="149">
        <f>[2]Sheet2!$F83</f>
        <v>0</v>
      </c>
      <c r="Z84" s="149" t="str">
        <f>[2]Sheet2!$G83</f>
        <v>Aug 6, 2025</v>
      </c>
      <c r="AA84" s="150">
        <f>[2]Sheet2!$H83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0.84645336041984087</v>
      </c>
      <c r="C85" t="e" vm="65">
        <v>#VALUE!</v>
      </c>
      <c r="D85" s="17" t="str" cm="1">
        <f t="array" aca="1" ref="D85" ca="1">_FV(RTData[[#This Row],[Company Name]],"Currency")</f>
        <v>USD</v>
      </c>
      <c r="E85" s="18" cm="1">
        <f t="array" aca="1" ref="E85" ca="1">_FV(RTData[[#This Row],[Company Name]],"Last trade time",TRUE)</f>
        <v>45923.843799142967</v>
      </c>
      <c r="F85" s="19" cm="1">
        <f t="array" aca="1" ref="F85" ca="1">_FV(RTData[[#This Row],[Company Name]],"Previous close",TRUE)</f>
        <v>123.36</v>
      </c>
      <c r="G85" s="19" cm="1">
        <f t="array" aca="1" ref="G85" ca="1">_FV(RTData[[#This Row],[Company Name]],"Open")</f>
        <v>122.99</v>
      </c>
      <c r="H85" s="19" cm="1">
        <f t="array" aca="1" ref="H85" ca="1">_FV(RTData[[#This Row],[Company Name]],"Price")</f>
        <v>122.82</v>
      </c>
      <c r="I85" s="19" cm="1">
        <f t="array" aca="1" ref="I85" ca="1">_FV(RTData[[#This Row],[Company Name]],"Low")</f>
        <v>122.535</v>
      </c>
      <c r="J85" s="19" cm="1">
        <f t="array" aca="1" ref="J85" ca="1">_FV(RTData[[#This Row],[Company Name]],"High")</f>
        <v>123.4</v>
      </c>
      <c r="K85" s="20" cm="1">
        <f t="array" aca="1" ref="K85" ca="1">IFERROR(_FV(RTData[[#This Row],[Company Name]],"P/E",TRUE),99)</f>
        <v>17.981200000000001</v>
      </c>
      <c r="L85" s="21" cm="1">
        <f t="array" aca="1" ref="L85" ca="1">_FV(RTData[[#This Row],[Company Name]],"Change")</f>
        <v>-0.54</v>
      </c>
      <c r="M85" s="22" cm="1">
        <f t="array" aca="1" ref="M85" ca="1">_FV(RTData[[#This Row],[Company Name]],"Change (%)",TRUE)</f>
        <v>-4.3769999999999998E-3</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754942</v>
      </c>
      <c r="Q85" s="23" cm="1">
        <f t="array" aca="1" ref="Q85" ca="1">_FV(RTData[[#This Row],[Company Name]],"Volume average",TRUE)</f>
        <v>1108081</v>
      </c>
      <c r="R85" s="19" cm="1">
        <f t="array" aca="1" ref="R85" ca="1">_FV(RTData[[#This Row],[Company Name]],"Beta")</f>
        <v>0.62509999999999999</v>
      </c>
      <c r="T85" t="s">
        <v>26</v>
      </c>
      <c r="U85" t="str" cm="1">
        <f t="array" aca="1" ref="U85" ca="1">_FV(RTData[[#This Row],[Company Name]],"Exchange abbreviation",TRUE)</f>
        <v>XNYS</v>
      </c>
      <c r="V85" s="24">
        <f ca="1">IFERROR(RTData[[#This Row],[Volume]]/RTData[[#This Row],[Volume average]],1)</f>
        <v>0.68130578901722894</v>
      </c>
      <c r="W85" s="24"/>
      <c r="X85" s="103">
        <f>[2]Sheet2!$E84</f>
        <v>118.545</v>
      </c>
      <c r="Y85" s="149">
        <f>[2]Sheet2!$F84</f>
        <v>45728</v>
      </c>
      <c r="Z85" s="149" t="str">
        <f>[2]Sheet2!$G84</f>
        <v>Jul 17, 2025</v>
      </c>
      <c r="AA85" s="150">
        <f>[2]Sheet2!$H84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45923.666666666664</v>
      </c>
      <c r="F86" s="29" cm="1">
        <f t="array" aca="1" ref="F86" ca="1">_FV(RTData[[#This Row],[Company Name]],"Previous close",TRUE)</f>
        <v>13.71</v>
      </c>
      <c r="G86" s="29" cm="1">
        <f t="array" aca="1" ref="G86" ca="1">_FV(RTData[[#This Row],[Company Name]],"Open")</f>
        <v>13.75</v>
      </c>
      <c r="H86" s="29" cm="1">
        <f t="array" aca="1" ref="H86" ca="1">_FV(RTData[[#This Row],[Company Name]],"Price")</f>
        <v>13.62</v>
      </c>
      <c r="I86" s="29" cm="1">
        <f t="array" aca="1" ref="I86" ca="1">_FV(RTData[[#This Row],[Company Name]],"Low")</f>
        <v>13.62</v>
      </c>
      <c r="J86" s="29" cm="1">
        <f t="array" aca="1" ref="J86" ca="1">_FV(RTData[[#This Row],[Company Name]],"High")</f>
        <v>13.79</v>
      </c>
      <c r="K86" s="20" cm="1">
        <f t="array" aca="1" ref="K86" ca="1">IFERROR(_FV(RTData[[#This Row],[Company Name]],"P/E",TRUE),99)</f>
        <v>43.019599999999997</v>
      </c>
      <c r="L86" s="21" cm="1">
        <f t="array" aca="1" ref="L86" ca="1">_FV(RTData[[#This Row],[Company Name]],"Change")</f>
        <v>-0.09</v>
      </c>
      <c r="M86" s="22" cm="1">
        <f t="array" aca="1" ref="M86" ca="1">_FV(RTData[[#This Row],[Company Name]],"Change (%)",TRUE)</f>
        <v>-6.5649999999999997E-3</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2838584</v>
      </c>
      <c r="Q86" s="23" cm="1">
        <f t="array" aca="1" ref="Q86" ca="1">_FV(RTData[[#This Row],[Company Name]],"Volume average",TRUE)</f>
        <v>4300150</v>
      </c>
      <c r="R86" s="19" cm="1">
        <f t="array" aca="1" ref="R86" ca="1">_FV(RTData[[#This Row],[Company Name]],"Beta")</f>
        <v>0.27229999999999999</v>
      </c>
      <c r="T86" t="s">
        <v>26</v>
      </c>
      <c r="U86" t="str" cm="1">
        <f t="array" aca="1" ref="U86" ca="1">_FV(RTData[[#This Row],[Company Name]],"Exchange abbreviation",TRUE)</f>
        <v>XPAR</v>
      </c>
      <c r="V86" s="24">
        <f ca="1">IFERROR(RTData[[#This Row],[Volume]]/RTData[[#This Row],[Volume average]],1)</f>
        <v>0.66011278676325247</v>
      </c>
      <c r="W86" s="24"/>
      <c r="X86" s="103">
        <v>14.92</v>
      </c>
      <c r="Y86" s="149">
        <f>[2]Sheet2!$F85</f>
        <v>45993</v>
      </c>
      <c r="Z86" s="149">
        <v>45953</v>
      </c>
      <c r="AA86" s="150">
        <f>[2]Sheet2!$H85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0.84645336041984087</v>
      </c>
      <c r="C87" s="43" t="e" vm="66">
        <v>#VALUE!</v>
      </c>
      <c r="D87" s="17" t="str" cm="1">
        <f t="array" aca="1" ref="D87" ca="1">_FV(RTData[[#This Row],[Company Name]],"Currency")</f>
        <v>USD</v>
      </c>
      <c r="E87" s="18" cm="1">
        <f t="array" aca="1" ref="E87" ca="1">_FV(RTData[[#This Row],[Company Name]],"Last trade time",TRUE)</f>
        <v>45923.845469247659</v>
      </c>
      <c r="F87" s="19" cm="1">
        <f t="array" aca="1" ref="F87" ca="1">_FV(RTData[[#This Row],[Company Name]],"Previous close",TRUE)</f>
        <v>45.76</v>
      </c>
      <c r="G87" s="19" cm="1">
        <f t="array" aca="1" ref="G87" ca="1">_FV(RTData[[#This Row],[Company Name]],"Open")</f>
        <v>46.11</v>
      </c>
      <c r="H87" s="19" cm="1">
        <f t="array" aca="1" ref="H87" ca="1">_FV(RTData[[#This Row],[Company Name]],"Price")</f>
        <v>46.42</v>
      </c>
      <c r="I87" s="19" cm="1">
        <f t="array" aca="1" ref="I87" ca="1">_FV(RTData[[#This Row],[Company Name]],"Low")</f>
        <v>45.994999999999997</v>
      </c>
      <c r="J87" s="19" cm="1">
        <f t="array" aca="1" ref="J87" ca="1">_FV(RTData[[#This Row],[Company Name]],"High")</f>
        <v>47.234999999999999</v>
      </c>
      <c r="K87" s="20" cm="1">
        <f t="array" aca="1" ref="K87" ca="1">IFERROR(_FV(RTData[[#This Row],[Company Name]],"P/E",TRUE),99)</f>
        <v>26.954699999999999</v>
      </c>
      <c r="L87" s="21" cm="1">
        <f t="array" aca="1" ref="L87" ca="1">_FV(RTData[[#This Row],[Company Name]],"Change")</f>
        <v>0.66</v>
      </c>
      <c r="M87" s="22" cm="1">
        <f t="array" aca="1" ref="M87" ca="1">_FV(RTData[[#This Row],[Company Name]],"Change (%)",TRUE)</f>
        <v>1.4422999999999998E-2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8987880</v>
      </c>
      <c r="Q87" s="23" cm="1">
        <f t="array" aca="1" ref="Q87" ca="1">_FV(RTData[[#This Row],[Company Name]],"Volume average",TRUE)</f>
        <v>8356136</v>
      </c>
      <c r="R87" s="19" cm="1">
        <f t="array" aca="1" ref="R87" ca="1">_FV(RTData[[#This Row],[Company Name]],"Beta")</f>
        <v>0.94430000000000003</v>
      </c>
      <c r="T87" t="s">
        <v>26</v>
      </c>
      <c r="U87" t="str" cm="1">
        <f t="array" aca="1" ref="U87" ca="1">_FV(RTData[[#This Row],[Company Name]],"Exchange abbreviation",TRUE)</f>
        <v>XNYS</v>
      </c>
      <c r="V87" s="24">
        <f ca="1">IFERROR(RTData[[#This Row],[Volume]]/RTData[[#This Row],[Volume average]],1)</f>
        <v>1.0756024076199813</v>
      </c>
      <c r="W87" s="24"/>
      <c r="X87" s="103">
        <f>[2]Sheet2!$E86</f>
        <v>50.652169999999998</v>
      </c>
      <c r="Y87" s="149">
        <f>[2]Sheet2!$F86</f>
        <v>45910</v>
      </c>
      <c r="Z87" s="149" t="str">
        <f>[2]Sheet2!$G86</f>
        <v>Aug 6, 2025</v>
      </c>
      <c r="AA87" s="150">
        <f>[2]Sheet2!$H86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0.84645336041984087</v>
      </c>
      <c r="C88" s="43" t="e" vm="67">
        <v>#VALUE!</v>
      </c>
      <c r="D88" s="17" t="str" cm="1">
        <f t="array" aca="1" ref="D88" ca="1">_FV(RTData[[#This Row],[Company Name]],"Currency")</f>
        <v>USD</v>
      </c>
      <c r="E88" s="18" cm="1">
        <f t="array" aca="1" ref="E88" ca="1">_FV(RTData[[#This Row],[Company Name]],"Last trade time",TRUE)</f>
        <v>45923.845364235938</v>
      </c>
      <c r="F88" s="19" cm="1">
        <f t="array" aca="1" ref="F88" ca="1">_FV(RTData[[#This Row],[Company Name]],"Previous close",TRUE)</f>
        <v>24.04</v>
      </c>
      <c r="G88" s="19" cm="1">
        <f t="array" aca="1" ref="G88" ca="1">_FV(RTData[[#This Row],[Company Name]],"Open")</f>
        <v>24.1</v>
      </c>
      <c r="H88" s="19" cm="1">
        <f t="array" aca="1" ref="H88" ca="1">_FV(RTData[[#This Row],[Company Name]],"Price")</f>
        <v>24.138000000000002</v>
      </c>
      <c r="I88" s="19" cm="1">
        <f t="array" aca="1" ref="I88" ca="1">_FV(RTData[[#This Row],[Company Name]],"Low")</f>
        <v>24.05</v>
      </c>
      <c r="J88" s="19" cm="1">
        <f t="array" aca="1" ref="J88" ca="1">_FV(RTData[[#This Row],[Company Name]],"High")</f>
        <v>24.36</v>
      </c>
      <c r="K88" s="20" cm="1">
        <f t="array" aca="1" ref="K88" ca="1">IFERROR(_FV(RTData[[#This Row],[Company Name]],"P/E",TRUE),99)</f>
        <v>17.433299999999999</v>
      </c>
      <c r="L88" s="21" cm="1">
        <f t="array" aca="1" ref="L88" ca="1">_FV(RTData[[#This Row],[Company Name]],"Change")</f>
        <v>9.8000000000000004E-2</v>
      </c>
      <c r="M88" s="22" cm="1">
        <f t="array" aca="1" ref="M88" ca="1">_FV(RTData[[#This Row],[Company Name]],"Change (%)",TRUE)</f>
        <v>4.0769999999999999E-3</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38464113</v>
      </c>
      <c r="Q88" s="23" cm="1">
        <f t="array" aca="1" ref="Q88" ca="1">_FV(RTData[[#This Row],[Company Name]],"Volume average",TRUE)</f>
        <v>43697588</v>
      </c>
      <c r="R88" s="19" cm="1">
        <f t="array" aca="1" ref="R88" ca="1">_FV(RTData[[#This Row],[Company Name]],"Beta")</f>
        <v>0.50009999999999999</v>
      </c>
      <c r="T88" t="s">
        <v>26</v>
      </c>
      <c r="U88" t="str" cm="1">
        <f t="array" aca="1" ref="U88" ca="1">_FV(RTData[[#This Row],[Company Name]],"Exchange abbreviation",TRUE)</f>
        <v>XNYS</v>
      </c>
      <c r="V88" s="24">
        <f ca="1">IFERROR(RTData[[#This Row],[Volume]]/RTData[[#This Row],[Volume average]],1)</f>
        <v>0.8802342362695168</v>
      </c>
      <c r="W88" s="24"/>
      <c r="X88" s="103">
        <f>[2]Sheet2!$E87</f>
        <v>28.857140000000001</v>
      </c>
      <c r="Y88" s="149">
        <f>[2]Sheet2!$F87</f>
        <v>45863</v>
      </c>
      <c r="Z88" s="149" t="str">
        <f>[2]Sheet2!$G87</f>
        <v>Nov 4, 2025</v>
      </c>
      <c r="AA88" s="150">
        <f>[2]Sheet2!$H87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0.84645336041984087</v>
      </c>
      <c r="C89" s="44" t="e" vm="68">
        <v>#VALUE!</v>
      </c>
      <c r="D89" s="17" t="str" cm="1">
        <f t="array" aca="1" ref="D89" ca="1">_FV(RTData[[#This Row],[Company Name]],"Currency")</f>
        <v>USD</v>
      </c>
      <c r="E89" s="18" cm="1">
        <f t="array" aca="1" ref="E89" ca="1">_FV(RTData[[#This Row],[Company Name]],"Last trade time",TRUE)</f>
        <v>45923.843370705472</v>
      </c>
      <c r="F89" s="19" cm="1">
        <f t="array" aca="1" ref="F89" ca="1">_FV(RTData[[#This Row],[Company Name]],"Previous close",TRUE)</f>
        <v>3.39</v>
      </c>
      <c r="G89" s="19" cm="1">
        <f t="array" aca="1" ref="G89" ca="1">_FV(RTData[[#This Row],[Company Name]],"Open")</f>
        <v>3.45</v>
      </c>
      <c r="H89" s="19" cm="1">
        <f t="array" aca="1" ref="H89" ca="1">_FV(RTData[[#This Row],[Company Name]],"Price")</f>
        <v>3.5350000000000001</v>
      </c>
      <c r="I89" s="19" cm="1">
        <f t="array" aca="1" ref="I89" ca="1">_FV(RTData[[#This Row],[Company Name]],"Low")</f>
        <v>3.44</v>
      </c>
      <c r="J89" s="19" cm="1">
        <f t="array" aca="1" ref="J89" ca="1">_FV(RTData[[#This Row],[Company Name]],"High")</f>
        <v>3.81</v>
      </c>
      <c r="K89" s="20" cm="1">
        <f t="array" ref="K89">IFERROR(_FV(RTData[[#This Row],[Company Name]],"P/E",TRUE),99)</f>
        <v>99</v>
      </c>
      <c r="L89" s="21" cm="1">
        <f t="array" aca="1" ref="L89" ca="1">_FV(RTData[[#This Row],[Company Name]],"Change")</f>
        <v>0.14499999999999999</v>
      </c>
      <c r="M89" s="22" cm="1">
        <f t="array" aca="1" ref="M89" ca="1">_FV(RTData[[#This Row],[Company Name]],"Change (%)",TRUE)</f>
        <v>4.2773000000000005E-2</v>
      </c>
      <c r="N89" s="19" cm="1">
        <f t="array" aca="1" ref="N89" ca="1">_FV(RTData[[#This Row],[Company Name]],"52 week low",TRUE)</f>
        <v>1.97</v>
      </c>
      <c r="O89" s="19" cm="1">
        <f t="array" aca="1" ref="O89" ca="1">_FV(RTData[[#This Row],[Company Name]],"52 week high",TRUE)</f>
        <v>4.74</v>
      </c>
      <c r="P89" s="23" cm="1">
        <f t="array" aca="1" ref="P89" ca="1">_FV(RTData[[#This Row],[Company Name]],"Volume")</f>
        <v>56770691</v>
      </c>
      <c r="Q89" s="23" cm="1">
        <f t="array" aca="1" ref="Q89" ca="1">_FV(RTData[[#This Row],[Company Name]],"Volume average",TRUE)</f>
        <v>24723200</v>
      </c>
      <c r="R89" s="19" cm="1">
        <f t="array" aca="1" ref="R89" ca="1">_FV(RTData[[#This Row],[Company Name]],"Beta")</f>
        <v>2.6907999999999999</v>
      </c>
      <c r="T89" t="s">
        <v>26</v>
      </c>
      <c r="U89" t="str" cm="1">
        <f t="array" aca="1" ref="U89" ca="1">_FV(RTData[[#This Row],[Company Name]],"Exchange abbreviation",TRUE)</f>
        <v>XNYS</v>
      </c>
      <c r="V89" s="24">
        <f ca="1">IFERROR(RTData[[#This Row],[Volume]]/RTData[[#This Row],[Volume average]],1)</f>
        <v>2.2962517392570541</v>
      </c>
      <c r="W89" s="24"/>
      <c r="X89" s="103">
        <v>3.89</v>
      </c>
      <c r="Y89" s="149">
        <f>[2]Sheet2!$F88</f>
        <v>42237</v>
      </c>
      <c r="Z89" s="149" t="str">
        <f>[2]Sheet2!$G88</f>
        <v>Nov 3, 2025</v>
      </c>
      <c r="AA89" s="150">
        <f>[2]Sheet2!$H88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0.84645336041984087</v>
      </c>
      <c r="C90" s="43" t="e" vm="69">
        <v>#VALUE!</v>
      </c>
      <c r="D90" s="17" t="str" cm="1">
        <f t="array" aca="1" ref="D90" ca="1">_FV(RTData[[#This Row],[Company Name]],"Currency")</f>
        <v>USD</v>
      </c>
      <c r="E90" s="18" cm="1">
        <f t="array" aca="1" ref="E90" ca="1">_FV(RTData[[#This Row],[Company Name]],"Last trade time",TRUE)</f>
        <v>45923.840328495309</v>
      </c>
      <c r="F90" s="19" cm="1">
        <f t="array" aca="1" ref="F90" ca="1">_FV(RTData[[#This Row],[Company Name]],"Previous close",TRUE)</f>
        <v>34.93</v>
      </c>
      <c r="G90" s="19" cm="1">
        <f t="array" aca="1" ref="G90" ca="1">_FV(RTData[[#This Row],[Company Name]],"Open")</f>
        <v>35</v>
      </c>
      <c r="H90" s="19" cm="1">
        <f t="array" aca="1" ref="H90" ca="1">_FV(RTData[[#This Row],[Company Name]],"Price")</f>
        <v>35.75</v>
      </c>
      <c r="I90" s="19" cm="1">
        <f t="array" aca="1" ref="I90" ca="1">_FV(RTData[[#This Row],[Company Name]],"Low")</f>
        <v>35</v>
      </c>
      <c r="J90" s="19" cm="1">
        <f t="array" aca="1" ref="J90" ca="1">_FV(RTData[[#This Row],[Company Name]],"High")</f>
        <v>36.159999999999997</v>
      </c>
      <c r="K90" s="20" cm="1">
        <f t="array" aca="1" ref="K90" ca="1">IFERROR(_FV(RTData[[#This Row],[Company Name]],"P/E",TRUE),99)</f>
        <v>31.323399999999999</v>
      </c>
      <c r="L90" s="21" cm="1">
        <f t="array" aca="1" ref="L90" ca="1">_FV(RTData[[#This Row],[Company Name]],"Change")</f>
        <v>0.82</v>
      </c>
      <c r="M90" s="22" cm="1">
        <f t="array" aca="1" ref="M90" ca="1">_FV(RTData[[#This Row],[Company Name]],"Change (%)",TRUE)</f>
        <v>2.3476E-2</v>
      </c>
      <c r="N90" s="19" cm="1">
        <f t="array" aca="1" ref="N90" ca="1">_FV(RTData[[#This Row],[Company Name]],"52 week low",TRUE)</f>
        <v>28.99</v>
      </c>
      <c r="O90" s="19" cm="1">
        <f t="array" aca="1" ref="O90" ca="1">_FV(RTData[[#This Row],[Company Name]],"52 week high",TRUE)</f>
        <v>43.5</v>
      </c>
      <c r="P90" s="23" cm="1">
        <f t="array" aca="1" ref="P90" ca="1">_FV(RTData[[#This Row],[Company Name]],"Volume")</f>
        <v>3820919</v>
      </c>
      <c r="Q90" s="23" cm="1">
        <f t="array" aca="1" ref="Q90" ca="1">_FV(RTData[[#This Row],[Company Name]],"Volume average",TRUE)</f>
        <v>2972887</v>
      </c>
      <c r="R90" s="19" cm="1">
        <f t="array" aca="1" ref="R90" ca="1">_FV(RTData[[#This Row],[Company Name]],"Beta")</f>
        <v>0.49890000000000001</v>
      </c>
      <c r="T90" t="s">
        <v>26</v>
      </c>
      <c r="U90" t="str" cm="1">
        <f t="array" aca="1" ref="U90" ca="1">_FV(RTData[[#This Row],[Company Name]],"Exchange abbreviation",TRUE)</f>
        <v>XNYS</v>
      </c>
      <c r="V90" s="24">
        <f ca="1">IFERROR(RTData[[#This Row],[Volume]]/RTData[[#This Row],[Volume average]],1)</f>
        <v>1.2852553763395649</v>
      </c>
      <c r="W90" s="24"/>
      <c r="X90" s="103">
        <v>43.21</v>
      </c>
      <c r="Y90" s="149">
        <f>[2]Sheet2!$F89</f>
        <v>45912</v>
      </c>
      <c r="Z90" s="149" t="str">
        <f>[2]Sheet2!$G89</f>
        <v>Oct 21, 2025</v>
      </c>
      <c r="AA90" s="150">
        <f>[2]Sheet2!$H89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0.84645336041984087</v>
      </c>
      <c r="C91" s="43" t="e" vm="70">
        <v>#VALUE!</v>
      </c>
      <c r="D91" s="17" t="str" cm="1">
        <f t="array" aca="1" ref="D91" ca="1">_FV(RTData[[#This Row],[Company Name]],"Currency")</f>
        <v>USD</v>
      </c>
      <c r="E91" s="18" cm="1">
        <f t="array" aca="1" ref="E91" ca="1">_FV(RTData[[#This Row],[Company Name]],"Last trade time",TRUE)</f>
        <v>45923.84500201328</v>
      </c>
      <c r="F91" s="19" cm="1">
        <f t="array" aca="1" ref="F91" ca="1">_FV(RTData[[#This Row],[Company Name]],"Previous close",TRUE)</f>
        <v>77.41</v>
      </c>
      <c r="G91" s="19" cm="1">
        <f t="array" aca="1" ref="G91" ca="1">_FV(RTData[[#This Row],[Company Name]],"Open")</f>
        <v>77.69</v>
      </c>
      <c r="H91" s="19" cm="1">
        <f t="array" aca="1" ref="H91" ca="1">_FV(RTData[[#This Row],[Company Name]],"Price")</f>
        <v>76.655000000000001</v>
      </c>
      <c r="I91" s="19" cm="1">
        <f t="array" aca="1" ref="I91" ca="1">_FV(RTData[[#This Row],[Company Name]],"Low")</f>
        <v>75.48</v>
      </c>
      <c r="J91" s="19" cm="1">
        <f t="array" aca="1" ref="J91" ca="1">_FV(RTData[[#This Row],[Company Name]],"High")</f>
        <v>79</v>
      </c>
      <c r="K91" s="20" cm="1">
        <f t="array" aca="1" ref="K91" ca="1">IFERROR(_FV(RTData[[#This Row],[Company Name]],"P/E",TRUE),99)</f>
        <v>45.713799999999999</v>
      </c>
      <c r="L91" s="21" cm="1">
        <f t="array" aca="1" ref="L91" ca="1">_FV(RTData[[#This Row],[Company Name]],"Change")</f>
        <v>-0.755</v>
      </c>
      <c r="M91" s="22" cm="1">
        <f t="array" aca="1" ref="M91" ca="1">_FV(RTData[[#This Row],[Company Name]],"Change (%)",TRUE)</f>
        <v>-9.7529999999999995E-3</v>
      </c>
      <c r="N91" s="19" cm="1">
        <f t="array" aca="1" ref="N91" ca="1">_FV(RTData[[#This Row],[Company Name]],"52 week low",TRUE)</f>
        <v>44.27</v>
      </c>
      <c r="O91" s="19" cm="1">
        <f t="array" aca="1" ref="O91" ca="1">_FV(RTData[[#This Row],[Company Name]],"52 week high",TRUE)</f>
        <v>99.26</v>
      </c>
      <c r="P91" s="23" cm="1">
        <f t="array" aca="1" ref="P91" ca="1">_FV(RTData[[#This Row],[Company Name]],"Volume")</f>
        <v>7207727</v>
      </c>
      <c r="Q91" s="23" cm="1">
        <f t="array" aca="1" ref="Q91" ca="1">_FV(RTData[[#This Row],[Company Name]],"Volume average",TRUE)</f>
        <v>5993196</v>
      </c>
      <c r="R91" s="19" cm="1">
        <f t="array" aca="1" ref="R91" ca="1">_FV(RTData[[#This Row],[Company Name]],"Beta")</f>
        <v>2.7254</v>
      </c>
      <c r="T91" t="s">
        <v>26</v>
      </c>
      <c r="U91" t="str" cm="1">
        <f t="array" aca="1" ref="U91" ca="1">_FV(RTData[[#This Row],[Company Name]],"Exchange abbreviation",TRUE)</f>
        <v>XNYS</v>
      </c>
      <c r="V91" s="24">
        <f ca="1">IFERROR(RTData[[#This Row],[Volume]]/RTData[[#This Row],[Volume average]],1)</f>
        <v>1.202651640293426</v>
      </c>
      <c r="W91" s="24"/>
      <c r="X91" s="103">
        <v>85.42</v>
      </c>
      <c r="Y91" s="149">
        <f>[2]Sheet2!$F90</f>
        <v>0</v>
      </c>
      <c r="Z91" s="149" t="str">
        <f>[2]Sheet2!$G90</f>
        <v>Nov 6, 2025</v>
      </c>
      <c r="AA91" s="150">
        <f>[2]Sheet2!$H90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0.84645336041984087</v>
      </c>
      <c r="C92" s="43" t="e" vm="71">
        <v>#VALUE!</v>
      </c>
      <c r="D92" s="17" t="str" cm="1">
        <f t="array" aca="1" ref="D92" ca="1">_FV(RTData[[#This Row],[Company Name]],"Currency")</f>
        <v>USD</v>
      </c>
      <c r="E92" s="18" cm="1">
        <f t="array" aca="1" ref="E92" ca="1">_FV(RTData[[#This Row],[Company Name]],"Last trade time",TRUE)</f>
        <v>45923.840328899998</v>
      </c>
      <c r="F92" s="19" cm="1">
        <f t="array" aca="1" ref="F92" ca="1">_FV(RTData[[#This Row],[Company Name]],"Previous close",TRUE)</f>
        <v>194.06</v>
      </c>
      <c r="G92" s="19" cm="1">
        <f t="array" aca="1" ref="G92" ca="1">_FV(RTData[[#This Row],[Company Name]],"Open")</f>
        <v>194.48</v>
      </c>
      <c r="H92" s="19" cm="1">
        <f t="array" aca="1" ref="H92" ca="1">_FV(RTData[[#This Row],[Company Name]],"Price")</f>
        <v>192.99</v>
      </c>
      <c r="I92" s="19" cm="1">
        <f t="array" aca="1" ref="I92" ca="1">_FV(RTData[[#This Row],[Company Name]],"Low")</f>
        <v>192.54</v>
      </c>
      <c r="J92" s="19" cm="1">
        <f t="array" aca="1" ref="J92" ca="1">_FV(RTData[[#This Row],[Company Name]],"High")</f>
        <v>198.60499999999999</v>
      </c>
      <c r="K92" s="20" cm="1">
        <f t="array" aca="1" ref="K92" ca="1">IFERROR(_FV(RTData[[#This Row],[Company Name]],"P/E",TRUE),99)</f>
        <v>12.831</v>
      </c>
      <c r="L92" s="21" cm="1">
        <f t="array" aca="1" ref="L92" ca="1">_FV(RTData[[#This Row],[Company Name]],"Change")</f>
        <v>-1.07</v>
      </c>
      <c r="M92" s="22" cm="1">
        <f t="array" aca="1" ref="M92" ca="1">_FV(RTData[[#This Row],[Company Name]],"Change (%)",TRUE)</f>
        <v>-5.5139999999999998E-3</v>
      </c>
      <c r="N92" s="19" cm="1">
        <f t="array" aca="1" ref="N92" ca="1">_FV(RTData[[#This Row],[Company Name]],"52 week low",TRUE)</f>
        <v>109.82389999999999</v>
      </c>
      <c r="O92" s="19" cm="1">
        <f t="array" aca="1" ref="O92" ca="1">_FV(RTData[[#This Row],[Company Name]],"52 week high",TRUE)</f>
        <v>199.99</v>
      </c>
      <c r="P92" s="23" cm="1">
        <f t="array" aca="1" ref="P92" ca="1">_FV(RTData[[#This Row],[Company Name]],"Volume")</f>
        <v>756763</v>
      </c>
      <c r="Q92" s="23" cm="1">
        <f t="array" aca="1" ref="Q92" ca="1">_FV(RTData[[#This Row],[Company Name]],"Volume average",TRUE)</f>
        <v>1213992</v>
      </c>
      <c r="R92" s="19" cm="1">
        <f t="array" aca="1" ref="R92" ca="1">_FV(RTData[[#This Row],[Company Name]],"Beta")</f>
        <v>1.5139</v>
      </c>
      <c r="T92" t="s">
        <v>26</v>
      </c>
      <c r="U92" t="str" cm="1">
        <f t="array" aca="1" ref="U92" ca="1">_FV(RTData[[#This Row],[Company Name]],"Exchange abbreviation",TRUE)</f>
        <v>XNYS</v>
      </c>
      <c r="V92" s="24">
        <f ca="1">IFERROR(RTData[[#This Row],[Volume]]/RTData[[#This Row],[Volume average]],1)</f>
        <v>0.62336736980144847</v>
      </c>
      <c r="W92" s="24"/>
      <c r="X92" s="103">
        <f>[2]Sheet2!$E91</f>
        <v>197.52379999999999</v>
      </c>
      <c r="Y92" s="149">
        <f>[2]Sheet2!$F91</f>
        <v>36598</v>
      </c>
      <c r="Z92" s="149" t="str">
        <f>[2]Sheet2!$G91</f>
        <v>Jul 22, 2025</v>
      </c>
      <c r="AA92" s="150">
        <f>[2]Sheet2!$H91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0.84645336041984087</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[2]Sheet2!$E92</f>
        <v>0</v>
      </c>
      <c r="Y93" s="149">
        <f>[2]Sheet2!$F92</f>
        <v>0</v>
      </c>
      <c r="Z93" s="149">
        <f>[2]Sheet2!$G92</f>
        <v>0</v>
      </c>
      <c r="AA93" s="150">
        <f>[2]Sheet2!$H92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45923.770833333336</v>
      </c>
      <c r="F94" s="138" cm="1">
        <f t="array" aca="1" ref="F94" ca="1">_FV(RTData[[#This Row],[Company Name]],"Previous close",TRUE)</f>
        <v>15.635</v>
      </c>
      <c r="G94" s="138" cm="1">
        <f t="array" aca="1" ref="G94" ca="1">_FV(RTData[[#This Row],[Company Name]],"Open")</f>
        <v>15.744999999999999</v>
      </c>
      <c r="H94" s="138" cm="1">
        <f t="array" aca="1" ref="H94" ca="1">_FV(RTData[[#This Row],[Company Name]],"Price")</f>
        <v>15.67</v>
      </c>
      <c r="I94" s="138" cm="1">
        <f t="array" aca="1" ref="I94" ca="1">_FV(RTData[[#This Row],[Company Name]],"Low")</f>
        <v>15.67</v>
      </c>
      <c r="J94" s="138" cm="1">
        <f t="array" aca="1" ref="J94" ca="1">_FV(RTData[[#This Row],[Company Name]],"High")</f>
        <v>15.904999999999999</v>
      </c>
      <c r="K94" s="62" cm="1">
        <f t="array" aca="1" ref="K94" ca="1">IFERROR(_FV(RTData[[#This Row],[Company Name]],"P/E",TRUE),99)</f>
        <v>12.9482</v>
      </c>
      <c r="L94" s="63" cm="1">
        <f t="array" aca="1" ref="L94" ca="1">_FV(RTData[[#This Row],[Company Name]],"Change")</f>
        <v>3.5000000000000003E-2</v>
      </c>
      <c r="M94" s="64" cm="1">
        <f t="array" aca="1" ref="M94" ca="1">_FV(RTData[[#This Row],[Company Name]],"Change (%)",TRUE)</f>
        <v>2.2389999999999997E-3</v>
      </c>
      <c r="N94" s="138" cm="1">
        <f t="array" aca="1" ref="N94" ca="1">_FV(RTData[[#This Row],[Company Name]],"52 week low",TRUE)</f>
        <v>10.435</v>
      </c>
      <c r="O94" s="138" cm="1">
        <f t="array" aca="1" ref="O94" ca="1">_FV(RTData[[#This Row],[Company Name]],"52 week high",TRUE)</f>
        <v>16.55</v>
      </c>
      <c r="P94" s="65" cm="1">
        <f t="array" aca="1" ref="P94" ca="1">_FV(RTData[[#This Row],[Company Name]],"Volume")</f>
        <v>2910064</v>
      </c>
      <c r="Q94" s="65" cm="1">
        <f t="array" aca="1" ref="Q94" ca="1">_FV(RTData[[#This Row],[Company Name]],"Volume average",TRUE)</f>
        <v>4752370</v>
      </c>
      <c r="R94" s="60" cm="1">
        <f t="array" aca="1" ref="R94" ca="1">_FV(RTData[[#This Row],[Company Name]],"Beta")</f>
        <v>0.70750000000000002</v>
      </c>
      <c r="S94" s="66" t="s">
        <v>21</v>
      </c>
      <c r="T94" s="66" t="s">
        <v>22</v>
      </c>
      <c r="U94" s="66" t="str" cm="1">
        <f t="array" aca="1" ref="U94" ca="1">_FV(RTData[[#This Row],[Company Name]],"Exchange abbreviation",TRUE)</f>
        <v>XETR</v>
      </c>
      <c r="V94" s="142">
        <f ca="1">IFERROR(RTData[[#This Row],[Volume]]/RTData[[#This Row],[Volume average]],1)</f>
        <v>0.61233952743578468</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45923.651847499998</v>
      </c>
      <c r="F95" s="29" cm="1">
        <f t="array" aca="1" ref="F95" ca="1">_FV(RTData[[#This Row],[Company Name]],"Previous close",TRUE)</f>
        <v>10.43</v>
      </c>
      <c r="G95" s="29" cm="1">
        <f t="array" aca="1" ref="G95" ca="1">_FV(RTData[[#This Row],[Company Name]],"Open")</f>
        <v>10.47</v>
      </c>
      <c r="H95" s="29" cm="1">
        <f t="array" aca="1" ref="H95" ca="1">_FV(RTData[[#This Row],[Company Name]],"Price")</f>
        <v>10.462</v>
      </c>
      <c r="I95" s="29" cm="1">
        <f t="array" aca="1" ref="I95" ca="1">_FV(RTData[[#This Row],[Company Name]],"Low")</f>
        <v>10.46</v>
      </c>
      <c r="J95" s="29" cm="1">
        <f t="array" aca="1" ref="J95" ca="1">_FV(RTData[[#This Row],[Company Name]],"High")</f>
        <v>10.492000000000001</v>
      </c>
      <c r="K95" s="20" cm="1">
        <f t="array" ref="K95">IFERROR(_FV(RTData[[#This Row],[Company Name]],"P/E",TRUE),99)</f>
        <v>99</v>
      </c>
      <c r="L95" s="21" cm="1">
        <f t="array" aca="1" ref="L95" ca="1">_FV(RTData[[#This Row],[Company Name]],"Change")</f>
        <v>3.2000000000000001E-2</v>
      </c>
      <c r="M95" s="22" cm="1">
        <f t="array" aca="1" ref="M95" ca="1">_FV(RTData[[#This Row],[Company Name]],"Change (%)",TRUE)</f>
        <v>3.068E-3</v>
      </c>
      <c r="N95" s="29" cm="1">
        <f t="array" aca="1" ref="N95" ca="1">_FV(RTData[[#This Row],[Company Name]],"52 week low",TRUE)</f>
        <v>7.351</v>
      </c>
      <c r="O95" s="29" cm="1">
        <f t="array" aca="1" ref="O95" ca="1">_FV(RTData[[#This Row],[Company Name]],"52 week high",TRUE)</f>
        <v>10.492000000000001</v>
      </c>
      <c r="P95" s="23" cm="1">
        <f t="array" aca="1" ref="P95" ca="1">_FV(RTData[[#This Row],[Company Name]],"Volume")</f>
        <v>14472</v>
      </c>
      <c r="Q95" s="23" t="e" cm="1" vm="74">
        <f t="array" ref="Q95">_FV(RTData[[#This Row],[Company Name]],"Volume average",TRUE)</f>
        <v>#VALUE!</v>
      </c>
      <c r="R95" s="19" cm="1">
        <f t="array" aca="1" ref="R95" ca="1">_FV(RTData[[#This Row],[Company Name]],"Beta")</f>
        <v>0.62690000000000001</v>
      </c>
      <c r="S95" t="s">
        <v>32</v>
      </c>
      <c r="T95" t="s">
        <v>20</v>
      </c>
      <c r="U95" t="str" cm="1">
        <f t="array" aca="1" ref="U95" ca="1">_FV(RTData[[#This Row],[Company Name]],"Exchange abbreviation",TRUE)</f>
        <v>XLON</v>
      </c>
      <c r="V95" s="24">
        <f ca="1">IFERROR(RTData[[#This Row],[Volume]]/RTData[[#This Row],[Volume average]],1)</f>
        <v>1</v>
      </c>
      <c r="W95" s="24"/>
      <c r="X95" s="103">
        <f>[2]Sheet2!$E94</f>
        <v>0</v>
      </c>
      <c r="Y95" s="149">
        <f>[2]Sheet2!$F94</f>
        <v>0</v>
      </c>
      <c r="Z95" s="149">
        <f>[2]Sheet2!$G94</f>
        <v>0</v>
      </c>
      <c r="AA95" s="150">
        <f>[2]Sheet2!$H94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-0.19214516129032252</v>
      </c>
      <c r="M96" s="48">
        <f ca="1">SUBTOTAL(104,RTData[Change%])</f>
        <v>0.17674399999999998</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1.1814</v>
      </c>
      <c r="C98" s="53" cm="1">
        <f t="array" aca="1" ref="C98" ca="1">_FV(A98,"52 week high",TRUE)</f>
        <v>1.1918</v>
      </c>
      <c r="D98" s="19">
        <f ca="1">1/RTExR[[#This Row],[RT]]</f>
        <v>0.84645336041984087</v>
      </c>
      <c r="P98" s="54"/>
      <c r="R98"/>
      <c r="W98" s="84"/>
      <c r="X98" s="51"/>
    </row>
    <row r="99" spans="1:26" x14ac:dyDescent="0.3">
      <c r="A99" t="e" vm="77">
        <v>#VALUE!</v>
      </c>
      <c r="B99" s="52" cm="1">
        <f t="array" aca="1" ref="B99" ca="1">_FV(A99,"Price")</f>
        <v>0.93469999999999998</v>
      </c>
      <c r="C99" s="56" cm="1">
        <f t="array" aca="1" ref="C99" ca="1">_FV(A99,"52 week high",TRUE)</f>
        <v>0.96609999999999996</v>
      </c>
      <c r="D99" s="19">
        <f ca="1">1/RTExR[[#This Row],[RT]]</f>
        <v>1.0698619878035733</v>
      </c>
      <c r="P99" s="54"/>
      <c r="R99"/>
    </row>
    <row r="100" spans="1:26" x14ac:dyDescent="0.3">
      <c r="A100" t="e" vm="78">
        <v>#VALUE!</v>
      </c>
      <c r="B100" s="52" cm="1">
        <f t="array" aca="1" ref="B100" ca="1">_FV(A100,"Price")</f>
        <v>0.87329999999999997</v>
      </c>
      <c r="C100" s="57" cm="1">
        <f t="array" aca="1" ref="C100" ca="1">_FV(A100,"52 week high",TRUE)</f>
        <v>0.87629999999999997</v>
      </c>
      <c r="D100" s="19">
        <f ca="1">1/RTExR[[#This Row],[RT]]</f>
        <v>1.145081873353945</v>
      </c>
      <c r="P100" s="54"/>
      <c r="R100"/>
    </row>
    <row r="101" spans="1:26" x14ac:dyDescent="0.3">
      <c r="A101" t="e" vm="79">
        <v>#VALUE!</v>
      </c>
      <c r="B101" s="52" cm="1">
        <f t="array" aca="1" ref="B101" ca="1">_FV(A101,"Price")</f>
        <v>1.79</v>
      </c>
      <c r="C101" s="53" cm="1">
        <f t="array" aca="1" ref="C101" ca="1">_FV(A101,"52 week high",TRUE)</f>
        <v>1.8554999999999999</v>
      </c>
      <c r="D101" s="19">
        <f ca="1">1/RTExR[[#This Row],[RT]]</f>
        <v>0.55865921787709494</v>
      </c>
      <c r="P101" s="54"/>
      <c r="R101"/>
    </row>
    <row r="102" spans="1:26" x14ac:dyDescent="0.3">
      <c r="A102" t="e" vm="80">
        <v>#VALUE!</v>
      </c>
      <c r="B102" s="52" cm="1">
        <f t="array" aca="1" ref="B102" ca="1">_FV(A102,"Price")</f>
        <v>1.6349</v>
      </c>
      <c r="C102" s="53" cm="1">
        <f t="array" aca="1" ref="C102" ca="1">_FV(A102,"52 week high",TRUE)</f>
        <v>1.6359999999999999</v>
      </c>
      <c r="D102" s="19">
        <f ca="1">1/RTExR[[#This Row],[RT]]</f>
        <v>0.6116582053948254</v>
      </c>
      <c r="P102" s="54"/>
      <c r="R102"/>
    </row>
    <row r="103" spans="1:26" x14ac:dyDescent="0.3">
      <c r="A103" t="e" vm="81">
        <v>#VALUE!</v>
      </c>
      <c r="B103" s="52" cm="1">
        <f t="array" aca="1" ref="B103" ca="1">_FV(A103,"Price")</f>
        <v>147.62</v>
      </c>
      <c r="C103" s="58" cm="1">
        <f t="array" aca="1" ref="C103" ca="1">_FV(A103,"52 week high",TRUE)</f>
        <v>158.87</v>
      </c>
      <c r="D103" s="19">
        <f ca="1">1/RTExR[[#This Row],[RT]]</f>
        <v>6.7741498441945529E-3</v>
      </c>
      <c r="P103" s="54"/>
      <c r="R103"/>
    </row>
    <row r="104" spans="1:26" x14ac:dyDescent="0.3">
      <c r="A104" t="e" vm="82">
        <v>#VALUE!</v>
      </c>
      <c r="B104" s="52" cm="1">
        <f t="array" aca="1" ref="B104" ca="1">_FV(A104,"Price")</f>
        <v>0.79120000000000001</v>
      </c>
      <c r="C104" s="56" cm="1">
        <f t="array" aca="1" ref="C104" ca="1">_FV(A104,"52 week high",TRUE)</f>
        <v>0.92</v>
      </c>
      <c r="D104" s="19">
        <f ca="1">1/RTExR[[#This Row],[RT]]</f>
        <v>1.2639029322548028</v>
      </c>
    </row>
    <row r="105" spans="1:26" x14ac:dyDescent="0.3">
      <c r="A105" t="e" vm="83">
        <v>#VALUE!</v>
      </c>
      <c r="B105" s="52" cm="1">
        <f t="array" aca="1" ref="B105" ca="1">_FV(A105,"Price")</f>
        <v>0.73919999999999997</v>
      </c>
      <c r="C105" s="57" cm="1">
        <f t="array" aca="1" ref="C105" ca="1">_FV(A105,"52 week high",TRUE)</f>
        <v>0.82650000000000001</v>
      </c>
      <c r="D105" s="19">
        <f ca="1">1/RTExR[[#This Row],[RT]]</f>
        <v>1.3528138528138529</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46364.11</v>
      </c>
      <c r="F107" s="19" cm="1">
        <f t="array" aca="1" ref="F107" ca="1">_FV(C108,"Price")</f>
        <v>46292.78</v>
      </c>
      <c r="X107" s="19"/>
      <c r="Y107" s="19"/>
      <c r="Z107" s="19"/>
    </row>
    <row r="108" spans="1:26" x14ac:dyDescent="0.3">
      <c r="C108" t="e" vm="84">
        <v>#VALUE!</v>
      </c>
      <c r="D108" s="19" cm="1">
        <f t="array" aca="1" ref="D108" ca="1">_FV(C108,"Previous close",TRUE)</f>
        <v>46381.54</v>
      </c>
      <c r="E108" s="19" cm="1">
        <f t="array" aca="1" ref="E108" ca="1">_FV(C109,"Open")</f>
        <v>57.31</v>
      </c>
      <c r="F108" s="19" cm="1">
        <f t="array" aca="1" ref="F108" ca="1">_FV(C109,"Price")</f>
        <v>57.18</v>
      </c>
    </row>
    <row r="109" spans="1:26" x14ac:dyDescent="0.3">
      <c r="C109" s="49" t="e" vm="85">
        <v>#VALUE!</v>
      </c>
      <c r="D109" s="19" cm="1">
        <f t="array" aca="1" ref="D109" ca="1">_FV(C109,"Previous close",TRUE)</f>
        <v>57.05</v>
      </c>
    </row>
    <row r="110" spans="1:26" x14ac:dyDescent="0.3">
      <c r="C110" s="49" t="s">
        <v>85</v>
      </c>
      <c r="D110" t="e" cm="1" vm="86">
        <f t="array" ref="D110">_FV(C110,"Instrument type",TRUE)</f>
        <v>#VALUE!</v>
      </c>
      <c r="E110" s="19" cm="1">
        <f t="array" aca="1" ref="E110" ca="1">_FV(C111,"Open")</f>
        <v>44.3</v>
      </c>
      <c r="F110" s="19" cm="1">
        <f t="array" aca="1" ref="F110" ca="1">_FV(C111,"Price")</f>
        <v>44.26</v>
      </c>
    </row>
    <row r="111" spans="1:26" x14ac:dyDescent="0.3">
      <c r="C111" s="49" t="e" vm="87">
        <v>#VALUE!</v>
      </c>
      <c r="D111" s="19" cm="1">
        <f t="array" aca="1" ref="D111" ca="1">_FV(C111,"Previous close",TRUE)</f>
        <v>44.28</v>
      </c>
    </row>
    <row r="112" spans="1:26" x14ac:dyDescent="0.3">
      <c r="A112" s="49"/>
      <c r="C112" s="49" t="s">
        <v>86</v>
      </c>
    </row>
    <row r="113" spans="4:4" x14ac:dyDescent="0.3">
      <c r="D113" s="49"/>
    </row>
  </sheetData>
  <phoneticPr fontId="19" type="noConversion"/>
  <conditionalFormatting sqref="AA3:AA95">
    <cfRule type="cellIs" dxfId="626"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45923.929164004629</v>
      </c>
      <c r="D4" s="51"/>
      <c r="F4" s="106"/>
    </row>
    <row r="5" spans="1:8" x14ac:dyDescent="0.3">
      <c r="A5" t="s">
        <v>40</v>
      </c>
      <c r="B5" s="107">
        <f ca="1">TODAY()</f>
        <v>45923</v>
      </c>
      <c r="F5" s="108" t="s">
        <v>41</v>
      </c>
      <c r="G5" s="108" t="str">
        <f ca="1">IF((NOW()-TODAY()-TIME(9,0,0))-CETZoneShift&lt;0,"Yesterday",NOW()-TODAY()-TIME(9,0,0)-CETZoneShift)&amp;" CET"</f>
        <v>0.51249733796188 CET</v>
      </c>
    </row>
    <row r="6" spans="1:8" ht="23" thickBot="1" x14ac:dyDescent="0.35">
      <c r="A6" t="s">
        <v>42</v>
      </c>
      <c r="B6" s="109">
        <f ca="1">NOW()-TODAY()</f>
        <v>0.92916400462854654</v>
      </c>
      <c r="C6" t="s">
        <v>43</v>
      </c>
      <c r="E6" t="s">
        <v>44</v>
      </c>
      <c r="F6" s="110">
        <f ca="1">NOW()</f>
        <v>45923.929164004629</v>
      </c>
      <c r="G6" s="110">
        <f ca="1">NOW()-TODAY()-CETZoneShift+1</f>
        <v>1.88749733796188</v>
      </c>
    </row>
    <row r="7" spans="1:8" x14ac:dyDescent="0.3">
      <c r="A7" t="s">
        <v>45</v>
      </c>
      <c r="B7" s="109">
        <f ca="1">IF(NOW()-TODAY()-CETZoneShift&lt;0,NOW()-TODAY()-CETZoneShift+1,NOW()-TODAY()-CETZoneShift)</f>
        <v>0.88749733796187991</v>
      </c>
      <c r="C7" t="s">
        <v>46</v>
      </c>
      <c r="D7" s="111">
        <f ca="1">ExtEntry!E20</f>
        <v>45923.770833333336</v>
      </c>
      <c r="E7"/>
      <c r="F7" s="106"/>
    </row>
    <row r="8" spans="1:8" x14ac:dyDescent="0.3">
      <c r="A8" t="s">
        <v>47</v>
      </c>
      <c r="B8" s="109">
        <f ca="1">IF(CET-TIME(1,0,0)&lt;0,CET-TIME(1,0,0)+TIME(23,0,0),CET-TIME(1,0,0))</f>
        <v>0.84583067129521328</v>
      </c>
      <c r="C8" t="s">
        <v>48</v>
      </c>
      <c r="D8" s="111">
        <f ca="1">NOW()-LastTradeTimeEOAN-CETZoneShift</f>
        <v>0.11666446758802826</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45923.375</v>
      </c>
      <c r="E11" s="117"/>
      <c r="F11" s="108"/>
      <c r="G11" s="117"/>
      <c r="H11" s="115"/>
    </row>
    <row r="12" spans="1:8" x14ac:dyDescent="0.3">
      <c r="A12" s="118" t="s">
        <v>52</v>
      </c>
      <c r="B12" s="109"/>
      <c r="C12" t="s">
        <v>53</v>
      </c>
      <c r="D12" s="119">
        <f ca="1">B4-D11</f>
        <v>0.55416400462854654</v>
      </c>
      <c r="F12" s="120" t="str">
        <f ca="1">IFERROR(IF(NONWORKINGDAYCRITERIA&gt;1,"None-Working Day",IF(OR(D12/D13&lt;0,D12&gt;D13),"Closed",D12/D13)),"Closed")</f>
        <v>Closed</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0.88749733796187991</v>
      </c>
    </row>
    <row r="17" spans="1:8" x14ac:dyDescent="0.3">
      <c r="A17" s="114" t="s">
        <v>56</v>
      </c>
      <c r="B17" s="115"/>
      <c r="C17" s="115" t="s">
        <v>57</v>
      </c>
      <c r="D17" s="116">
        <f ca="1">TODAY()+TIME(9,0,0)</f>
        <v>45923.375</v>
      </c>
      <c r="E17" s="117"/>
      <c r="F17" s="108"/>
      <c r="G17" s="117"/>
      <c r="H17" s="115"/>
    </row>
    <row r="18" spans="1:8" x14ac:dyDescent="0.3">
      <c r="A18" s="118" t="s">
        <v>58</v>
      </c>
      <c r="C18" t="s">
        <v>53</v>
      </c>
      <c r="D18" s="119">
        <f ca="1">D12</f>
        <v>0.55416400462854654</v>
      </c>
      <c r="F18" s="120" t="str">
        <f ca="1">IFERROR(IF(NONWORKINGDAYCRITERIA&gt;1,"None-Working Day",IF(OR(D18/D19&lt;0,D18&gt;D19),"Closed",D18/D19)),"Closed")</f>
        <v>Closed</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1.2497453702962957E-2</v>
      </c>
      <c r="F20" s="108" t="s">
        <v>60</v>
      </c>
      <c r="H20" s="128">
        <f ca="1">ABS(NOW()-F22)</f>
        <v>45923.283330671293</v>
      </c>
    </row>
    <row r="21" spans="1:8" ht="23" thickBot="1" x14ac:dyDescent="0.35">
      <c r="A21" s="129" t="s">
        <v>74</v>
      </c>
      <c r="B21" s="136">
        <f ca="1">F23-OpenTrade</f>
        <v>0.28333067129521328</v>
      </c>
      <c r="C21" s="129"/>
      <c r="D21" s="137">
        <f ca="1">F23-OpenTrade</f>
        <v>0.28333067129521328</v>
      </c>
      <c r="E21" s="130" t="s">
        <v>61</v>
      </c>
      <c r="F21" s="131">
        <f ca="1">IF(ActTime-CETZoneShift&lt;0,ActTime-TIME(6,0,0)-CETZoneShift+1,ActTime-TIME(6,0,0)-CETZoneShift)</f>
        <v>0.63749733796187991</v>
      </c>
      <c r="G21" s="130" t="s">
        <v>62</v>
      </c>
      <c r="H21" s="125" t="str">
        <f ca="1">TEXT(H20,"HH:MM")</f>
        <v>06:48</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45923.916666666664</v>
      </c>
      <c r="H22" s="115"/>
    </row>
    <row r="23" spans="1:8" x14ac:dyDescent="0.3">
      <c r="A23" s="118" t="s">
        <v>66</v>
      </c>
      <c r="C23" t="s">
        <v>67</v>
      </c>
      <c r="D23" t="s">
        <v>68</v>
      </c>
      <c r="E23" s="133">
        <f ca="1">ActTime</f>
        <v>0.92916400462854654</v>
      </c>
      <c r="F23" s="133">
        <f ca="1">ActTime</f>
        <v>0.92916400462854654</v>
      </c>
      <c r="G23" s="133">
        <f ca="1">ActTime</f>
        <v>0.92916400462854654</v>
      </c>
    </row>
    <row r="24" spans="1:8" ht="23" thickBot="1" x14ac:dyDescent="0.35">
      <c r="A24" s="118"/>
      <c r="B24" s="112" t="s">
        <v>69</v>
      </c>
      <c r="C24" s="122" t="s">
        <v>70</v>
      </c>
      <c r="D24" t="s">
        <v>71</v>
      </c>
      <c r="E24" s="119">
        <f>TIME(15,30,0)</f>
        <v>0.64583333333333337</v>
      </c>
      <c r="F24" s="119">
        <f>TIME(22,0,0)</f>
        <v>0.91666666666666663</v>
      </c>
      <c r="G24" s="119">
        <f ca="1">TODAY()+1+OpenPost+TIME(4,0,0)</f>
        <v>91848.083333333328</v>
      </c>
    </row>
    <row r="25" spans="1:8" ht="23" thickBot="1" x14ac:dyDescent="0.35">
      <c r="A25" s="121" t="s">
        <v>72</v>
      </c>
      <c r="B25" s="122"/>
      <c r="C25" s="122"/>
      <c r="D25" s="122" t="s">
        <v>73</v>
      </c>
      <c r="E25" s="134">
        <f>E24-OpenPre</f>
        <v>0.22916666666666669</v>
      </c>
      <c r="F25" s="134">
        <f>F24-OpenTrade</f>
        <v>0.27083333333333337</v>
      </c>
      <c r="G25" s="134">
        <f ca="1">G24-OpenPost</f>
        <v>45924.166666666664</v>
      </c>
      <c r="H25" s="122"/>
    </row>
    <row r="26" spans="1:8" x14ac:dyDescent="0.3">
      <c r="E26" s="120" t="str">
        <f ca="1">IF(OR(E23&lt;E22,E23&gt;E24),"Closed",E23/E24)</f>
        <v>Closed</v>
      </c>
      <c r="F26" s="120" t="str">
        <f ca="1">IF(OR(F23&lt;F22,F23&gt;F24),"Closed",(F23-F22)/F25)</f>
        <v>Closed</v>
      </c>
      <c r="G26" s="120" t="str">
        <f ca="1">IF(OR(G23&lt;G22,G23&gt;G24),"Closed",G23/G24)</f>
        <v>Closed</v>
      </c>
    </row>
    <row r="27" spans="1:8" x14ac:dyDescent="0.3">
      <c r="E27" s="135" t="str">
        <f ca="1">IF(AND(E23&gt;E22,E23&lt;E24),(E23-OpenPre)/E25,"CLOSED")</f>
        <v>CLOSED</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4FFEE-00AF-0943-8FE4-84A5C5F094F3}">
  <sheetPr codeName="Sheet4"/>
  <dimension ref="A1:I113"/>
  <sheetViews>
    <sheetView workbookViewId="0">
      <selection activeCell="D5" sqref="D5"/>
    </sheetView>
  </sheetViews>
  <sheetFormatPr baseColWidth="10" defaultRowHeight="22" x14ac:dyDescent="0.3"/>
  <cols>
    <col min="1" max="1" width="12.75" customWidth="1"/>
    <col min="3" max="3" width="46.5" customWidth="1"/>
    <col min="6" max="6" width="13" bestFit="1" customWidth="1"/>
  </cols>
  <sheetData>
    <row r="1" spans="1:9" ht="23" thickBot="1" x14ac:dyDescent="0.35">
      <c r="A1" s="156"/>
      <c r="B1" s="156"/>
      <c r="C1" s="156"/>
    </row>
    <row r="2" spans="1:9" ht="23" thickBot="1" x14ac:dyDescent="0.35">
      <c r="A2" s="156" t="s">
        <v>216</v>
      </c>
      <c r="B2" s="172">
        <f ca="1">WORKDAY(B3,-1)</f>
        <v>45922</v>
      </c>
      <c r="C2" s="156"/>
      <c r="D2" t="s">
        <v>215</v>
      </c>
    </row>
    <row r="3" spans="1:9" ht="23" thickBot="1" x14ac:dyDescent="0.35">
      <c r="A3" s="156"/>
      <c r="B3" s="171">
        <f ca="1">TODAY()</f>
        <v>45923</v>
      </c>
      <c r="C3" s="156" t="s">
        <v>214</v>
      </c>
      <c r="D3" s="167">
        <f>[1]Calc!M1</f>
        <v>0</v>
      </c>
      <c r="E3" s="166">
        <f>[1]Calc!BB1</f>
        <v>0</v>
      </c>
      <c r="F3" s="165">
        <f>[1]Calc!CY1</f>
        <v>0</v>
      </c>
      <c r="G3" s="164" t="str">
        <f>[1]Calc!N1</f>
        <v>Forecast</v>
      </c>
    </row>
    <row r="4" spans="1:9" x14ac:dyDescent="0.3">
      <c r="A4" s="170" t="s">
        <v>213</v>
      </c>
      <c r="B4" s="170" t="s">
        <v>212</v>
      </c>
      <c r="C4" s="169" t="s">
        <v>211</v>
      </c>
      <c r="D4" s="158" t="s">
        <v>11</v>
      </c>
      <c r="E4" t="s">
        <v>210</v>
      </c>
      <c r="F4" t="s">
        <v>209</v>
      </c>
      <c r="G4" s="24" t="s">
        <v>208</v>
      </c>
      <c r="H4" t="s">
        <v>207</v>
      </c>
      <c r="I4" t="s">
        <v>206</v>
      </c>
    </row>
    <row r="5" spans="1:9" ht="23" thickBot="1" x14ac:dyDescent="0.35">
      <c r="A5" s="160" t="str">
        <f ca="1">[1]Calc!H3</f>
        <v>AAPL</v>
      </c>
      <c r="B5" s="168">
        <v>45919</v>
      </c>
      <c r="C5" s="161" t="s">
        <v>205</v>
      </c>
      <c r="D5" s="167">
        <f ca="1">[1]Calc!M3</f>
        <v>-6.4429999999999999E-3</v>
      </c>
      <c r="E5" s="166">
        <f ca="1">[1]Calc!BB3</f>
        <v>1.0945679666881161</v>
      </c>
      <c r="F5" s="165">
        <f ca="1">[1]Calc!CY3</f>
        <v>24679.71</v>
      </c>
      <c r="G5" s="164">
        <f>[1]Calc!N3</f>
        <v>0.52380952380952384</v>
      </c>
    </row>
    <row r="6" spans="1:9" x14ac:dyDescent="0.3">
      <c r="A6" s="160" t="str">
        <f ca="1">[1]Calc!H4</f>
        <v>ADEA</v>
      </c>
      <c r="B6" s="162">
        <v>45460</v>
      </c>
      <c r="C6" s="161" t="s">
        <v>204</v>
      </c>
      <c r="D6" s="167">
        <v>5.4279999999999997E-3</v>
      </c>
      <c r="E6" s="166">
        <v>1.1414229424244919</v>
      </c>
      <c r="F6" s="165">
        <v>23137.960000000003</v>
      </c>
      <c r="G6" s="164">
        <v>0.47619047619047616</v>
      </c>
    </row>
    <row r="7" spans="1:9" x14ac:dyDescent="0.3">
      <c r="A7" s="160" t="str">
        <f ca="1">[1]Calc!H5</f>
        <v>AET</v>
      </c>
      <c r="B7" s="162">
        <v>45524</v>
      </c>
      <c r="C7" s="161" t="s">
        <v>203</v>
      </c>
      <c r="D7" s="158">
        <v>-2.2133E-2</v>
      </c>
      <c r="E7" s="145">
        <v>0.48601989776287585</v>
      </c>
      <c r="F7" s="157"/>
      <c r="G7" s="24">
        <v>0.38095238095238093</v>
      </c>
    </row>
    <row r="8" spans="1:9" x14ac:dyDescent="0.3">
      <c r="A8" s="160" t="str">
        <f ca="1">[1]Calc!H6</f>
        <v>AMZN</v>
      </c>
      <c r="B8" s="162">
        <v>45460</v>
      </c>
      <c r="C8" s="161" t="s">
        <v>202</v>
      </c>
      <c r="D8" s="158">
        <v>6.7469999999999995E-3</v>
      </c>
      <c r="E8" s="145">
        <v>1.1765310671460252</v>
      </c>
      <c r="F8" s="157">
        <v>38643.14</v>
      </c>
      <c r="G8" s="24">
        <v>0.47619047619047616</v>
      </c>
    </row>
    <row r="9" spans="1:9" hidden="1" x14ac:dyDescent="0.3">
      <c r="A9" s="160" t="str">
        <f ca="1">[1]Calc!H7</f>
        <v>ALDNE</v>
      </c>
      <c r="B9" s="162">
        <v>45460</v>
      </c>
      <c r="C9" s="161" t="s">
        <v>201</v>
      </c>
      <c r="D9" s="158">
        <v>-2.5463E-2</v>
      </c>
      <c r="E9" s="145">
        <v>2.6456</v>
      </c>
      <c r="F9" s="157"/>
      <c r="G9" s="24">
        <v>0</v>
      </c>
    </row>
    <row r="10" spans="1:9" hidden="1" x14ac:dyDescent="0.3">
      <c r="A10" s="160" t="str">
        <f ca="1">[1]Calc!H8</f>
        <v>ASML</v>
      </c>
      <c r="B10" s="162">
        <v>45460</v>
      </c>
      <c r="C10" s="161" t="s">
        <v>200</v>
      </c>
      <c r="D10" s="158">
        <v>-3.7780000000000002E-4</v>
      </c>
      <c r="E10" s="145">
        <v>2.321530139103555</v>
      </c>
      <c r="F10" s="157">
        <v>27779.5</v>
      </c>
      <c r="G10" s="24">
        <v>0.7142857142857143</v>
      </c>
    </row>
    <row r="11" spans="1:9" hidden="1" x14ac:dyDescent="0.3">
      <c r="A11" s="160" t="str">
        <f ca="1">[1]Calc!H9</f>
        <v>AZN</v>
      </c>
      <c r="B11" s="162">
        <v>45460</v>
      </c>
      <c r="C11" s="161" t="s">
        <v>199</v>
      </c>
      <c r="D11" s="158">
        <v>-6.3579999999999999E-3</v>
      </c>
      <c r="E11" s="145">
        <v>1.6596785321977423</v>
      </c>
      <c r="F11" s="157">
        <v>56745.78</v>
      </c>
      <c r="G11" s="24">
        <v>0.42857142857142855</v>
      </c>
    </row>
    <row r="12" spans="1:9" hidden="1" x14ac:dyDescent="0.3">
      <c r="A12" s="160" t="str">
        <f ca="1">[1]Calc!H10</f>
        <v>BLDP</v>
      </c>
      <c r="B12" s="162">
        <v>45460</v>
      </c>
      <c r="C12" s="161" t="s">
        <v>198</v>
      </c>
      <c r="D12" s="158">
        <v>4.3893000000000001E-2</v>
      </c>
      <c r="E12" s="145">
        <v>1.8900144833027201</v>
      </c>
      <c r="F12" s="157">
        <v>20900.87</v>
      </c>
      <c r="G12" s="24">
        <v>0.52380952380952384</v>
      </c>
    </row>
    <row r="13" spans="1:9" hidden="1" x14ac:dyDescent="0.3">
      <c r="A13" s="160" t="str">
        <f ca="1">[1]Calc!H11</f>
        <v>BMRA</v>
      </c>
      <c r="B13" s="162">
        <v>45460</v>
      </c>
      <c r="C13" s="161" t="s">
        <v>197</v>
      </c>
      <c r="D13" s="158">
        <v>-1.3651999999999999E-2</v>
      </c>
      <c r="E13" s="145">
        <v>2.8182085764065595E-2</v>
      </c>
      <c r="F13" s="157"/>
      <c r="G13" s="24">
        <v>0</v>
      </c>
    </row>
    <row r="14" spans="1:9" hidden="1" x14ac:dyDescent="0.3">
      <c r="A14" s="160" t="str">
        <f ca="1">[1]Calc!H12</f>
        <v>C</v>
      </c>
      <c r="B14" s="159">
        <v>45460</v>
      </c>
      <c r="C14" s="161" t="s">
        <v>196</v>
      </c>
      <c r="D14" s="158">
        <v>4.052E-3</v>
      </c>
      <c r="E14" s="145">
        <v>0.69965672865075734</v>
      </c>
      <c r="F14" s="157">
        <v>12750.300000000001</v>
      </c>
      <c r="G14" s="24">
        <v>0.5714285714285714</v>
      </c>
    </row>
    <row r="15" spans="1:9" hidden="1" x14ac:dyDescent="0.3">
      <c r="A15" s="160" t="str">
        <f ca="1">[1]Calc!H13</f>
        <v>CSCO</v>
      </c>
      <c r="B15" s="162">
        <v>45552</v>
      </c>
      <c r="C15" s="161" t="s">
        <v>195</v>
      </c>
      <c r="D15" s="158">
        <v>-9.5150000000000009E-3</v>
      </c>
      <c r="E15" s="145">
        <v>1.1597736739769799</v>
      </c>
      <c r="F15" s="157">
        <v>37346.548499999997</v>
      </c>
      <c r="G15" s="24">
        <v>0.47619047619047616</v>
      </c>
    </row>
    <row r="16" spans="1:9" hidden="1" x14ac:dyDescent="0.3">
      <c r="A16" s="160" t="str">
        <f ca="1">[1]Calc!H14</f>
        <v>CVS</v>
      </c>
      <c r="B16" s="162">
        <v>45482</v>
      </c>
      <c r="C16" s="161" t="s">
        <v>194</v>
      </c>
      <c r="D16" s="158">
        <v>1.4646999999999999E-2</v>
      </c>
      <c r="E16" s="145">
        <v>1.174196787898647</v>
      </c>
      <c r="F16" s="157">
        <v>19406.07</v>
      </c>
      <c r="G16" s="24">
        <v>0</v>
      </c>
    </row>
    <row r="17" spans="1:7" hidden="1" x14ac:dyDescent="0.3">
      <c r="A17" s="160" t="str">
        <f ca="1">[1]Calc!H15</f>
        <v>DDD</v>
      </c>
      <c r="B17" s="162">
        <v>45460</v>
      </c>
      <c r="C17" s="161" t="s">
        <v>193</v>
      </c>
      <c r="D17" s="158">
        <v>-1.8218999999999999E-2</v>
      </c>
      <c r="E17" s="145">
        <v>0.91182641596811098</v>
      </c>
      <c r="F17" s="157"/>
      <c r="G17" s="24">
        <v>0.42857142857142855</v>
      </c>
    </row>
    <row r="18" spans="1:7" hidden="1" x14ac:dyDescent="0.3">
      <c r="A18" s="160" t="str">
        <f ca="1">[1]Calc!H16</f>
        <v>DIS</v>
      </c>
      <c r="B18" s="162">
        <v>45460</v>
      </c>
      <c r="C18" s="161" t="s">
        <v>192</v>
      </c>
      <c r="D18" s="158">
        <v>-2.0068000000000003E-2</v>
      </c>
      <c r="E18" s="145">
        <v>2.6599394164335122</v>
      </c>
      <c r="F18" s="157"/>
      <c r="G18" s="24">
        <v>0.38095238095238093</v>
      </c>
    </row>
    <row r="19" spans="1:7" hidden="1" x14ac:dyDescent="0.3">
      <c r="A19" s="160" t="str">
        <f ca="1">[1]Calc!H17</f>
        <v>DSY</v>
      </c>
      <c r="B19" s="162">
        <v>45919</v>
      </c>
      <c r="C19" s="161" t="s">
        <v>191</v>
      </c>
      <c r="D19" s="158">
        <v>-1.5178000000000001E-2</v>
      </c>
      <c r="E19" s="145">
        <v>1.9266751012719989</v>
      </c>
      <c r="F19" s="157"/>
      <c r="G19" s="24">
        <v>0.61904761904761907</v>
      </c>
    </row>
    <row r="20" spans="1:7" hidden="1" x14ac:dyDescent="0.3">
      <c r="A20" s="160" t="str">
        <f ca="1">[1]Calc!H18</f>
        <v>DVA</v>
      </c>
      <c r="B20" s="162">
        <v>45545</v>
      </c>
      <c r="C20" s="161" t="s">
        <v>190</v>
      </c>
      <c r="D20" s="158">
        <v>-6.9110000000000005E-4</v>
      </c>
      <c r="E20" s="145">
        <v>0.5301802839164399</v>
      </c>
      <c r="F20" s="157"/>
      <c r="G20" s="24">
        <v>0</v>
      </c>
    </row>
    <row r="21" spans="1:7" hidden="1" x14ac:dyDescent="0.3">
      <c r="A21" s="160" t="str">
        <f ca="1">[1]Calc!H19</f>
        <v>DXC</v>
      </c>
      <c r="B21" s="162">
        <v>45460</v>
      </c>
      <c r="C21" s="161" t="s">
        <v>189</v>
      </c>
      <c r="D21" s="158">
        <v>-1.822E-2</v>
      </c>
      <c r="E21" s="145">
        <v>0.47917018806870765</v>
      </c>
      <c r="F21" s="157"/>
      <c r="G21" s="24">
        <v>0</v>
      </c>
    </row>
    <row r="22" spans="1:7" hidden="1" x14ac:dyDescent="0.3">
      <c r="A22" s="160" t="str">
        <f ca="1">[1]Calc!H20</f>
        <v>EOAN</v>
      </c>
      <c r="B22" s="159">
        <v>45460</v>
      </c>
      <c r="C22" s="161" t="s">
        <v>188</v>
      </c>
      <c r="D22" s="158">
        <v>5.1700000000000001E-3</v>
      </c>
      <c r="E22" s="145">
        <v>4.0616594839527167</v>
      </c>
      <c r="F22" s="157">
        <v>100345.30499999999</v>
      </c>
      <c r="G22" s="24">
        <v>0</v>
      </c>
    </row>
    <row r="23" spans="1:7" hidden="1" x14ac:dyDescent="0.3">
      <c r="A23" s="160" t="str">
        <f ca="1">[1]Calc!H21</f>
        <v>EPIX</v>
      </c>
      <c r="B23" s="162">
        <v>45553</v>
      </c>
      <c r="C23" s="161" t="s">
        <v>187</v>
      </c>
      <c r="D23" s="158">
        <v>0</v>
      </c>
      <c r="E23" s="145">
        <v>0.12172355493878159</v>
      </c>
      <c r="F23" s="157"/>
      <c r="G23" s="24">
        <v>0</v>
      </c>
    </row>
    <row r="24" spans="1:7" hidden="1" x14ac:dyDescent="0.3">
      <c r="A24" s="160" t="str">
        <f ca="1">[1]Calc!H22</f>
        <v>GM</v>
      </c>
      <c r="B24" s="162">
        <v>45460</v>
      </c>
      <c r="C24" s="161" t="s">
        <v>186</v>
      </c>
      <c r="D24" s="158">
        <v>-4.2190000000000001E-4</v>
      </c>
      <c r="E24" s="145">
        <v>0.59540838817642716</v>
      </c>
      <c r="F24" s="157">
        <v>23575.53</v>
      </c>
      <c r="G24" s="24">
        <v>0</v>
      </c>
    </row>
    <row r="25" spans="1:7" hidden="1" x14ac:dyDescent="0.3">
      <c r="A25" s="160" t="str">
        <f ca="1">[1]Calc!H23</f>
        <v>HPE</v>
      </c>
      <c r="B25" s="159">
        <v>45554</v>
      </c>
      <c r="C25" s="161" t="s">
        <v>185</v>
      </c>
      <c r="D25" s="158">
        <v>-6.9329999999999999E-3</v>
      </c>
      <c r="E25" s="145">
        <v>0.62491300777173364</v>
      </c>
      <c r="F25" s="157">
        <v>23561.100000000002</v>
      </c>
      <c r="G25" s="24">
        <v>0</v>
      </c>
    </row>
    <row r="26" spans="1:7" hidden="1" x14ac:dyDescent="0.3">
      <c r="A26" s="160" t="str">
        <f ca="1">[1]Calc!H24</f>
        <v>HPQ</v>
      </c>
      <c r="B26" s="162">
        <v>45460</v>
      </c>
      <c r="C26" s="161" t="s">
        <v>184</v>
      </c>
      <c r="D26" s="158">
        <v>-4.7799999999999995E-3</v>
      </c>
      <c r="E26" s="145">
        <v>0.39284107066996649</v>
      </c>
      <c r="F26" s="157">
        <v>44518.32</v>
      </c>
      <c r="G26" s="24">
        <v>0.52380952380952384</v>
      </c>
    </row>
    <row r="27" spans="1:7" hidden="1" x14ac:dyDescent="0.3">
      <c r="A27" s="160" t="str">
        <f ca="1">[1]Calc!H25</f>
        <v>IAG</v>
      </c>
      <c r="B27" s="162">
        <v>45461</v>
      </c>
      <c r="C27" s="161" t="s">
        <v>183</v>
      </c>
      <c r="D27" s="158">
        <v>-1.3020000000000002E-3</v>
      </c>
      <c r="E27" s="145">
        <v>1.4521224567749358</v>
      </c>
      <c r="F27" s="157">
        <v>10738</v>
      </c>
      <c r="G27" s="24">
        <v>0.76190476190476186</v>
      </c>
    </row>
    <row r="28" spans="1:7" hidden="1" x14ac:dyDescent="0.3">
      <c r="A28" s="160" t="str">
        <f ca="1">[1]Calc!H26</f>
        <v>KR</v>
      </c>
      <c r="B28" s="162">
        <v>45463</v>
      </c>
      <c r="C28" s="161" t="s">
        <v>182</v>
      </c>
      <c r="D28" s="158">
        <v>-8.4860000000000005E-3</v>
      </c>
      <c r="E28" s="145">
        <v>1.4332136024860711</v>
      </c>
      <c r="F28" s="157"/>
      <c r="G28" s="24">
        <v>0</v>
      </c>
    </row>
    <row r="29" spans="1:7" hidden="1" x14ac:dyDescent="0.3">
      <c r="A29" s="160" t="str">
        <f ca="1">[1]Calc!H27</f>
        <v>LNSR</v>
      </c>
      <c r="B29" s="162">
        <v>45460</v>
      </c>
      <c r="C29" s="161" t="s">
        <v>181</v>
      </c>
      <c r="D29" s="158">
        <v>-2.4190000000000001E-3</v>
      </c>
      <c r="E29" s="145">
        <v>0.86651789386493594</v>
      </c>
      <c r="F29" s="157">
        <v>4997.4799999999996</v>
      </c>
      <c r="G29" s="24">
        <v>0.42857142857142855</v>
      </c>
    </row>
    <row r="30" spans="1:7" hidden="1" x14ac:dyDescent="0.3">
      <c r="A30" s="160" t="str">
        <f ca="1">[1]Calc!H28</f>
        <v>LUMN</v>
      </c>
      <c r="B30" s="159">
        <v>45553</v>
      </c>
      <c r="C30" s="161" t="s">
        <v>180</v>
      </c>
      <c r="D30" s="158">
        <v>-7.8259999999999996E-3</v>
      </c>
      <c r="E30" s="145">
        <v>0.84274486773182655</v>
      </c>
      <c r="F30" s="157">
        <v>44795.66</v>
      </c>
      <c r="G30" s="24">
        <v>0</v>
      </c>
    </row>
    <row r="31" spans="1:7" hidden="1" x14ac:dyDescent="0.3">
      <c r="A31" s="160" t="str">
        <f ca="1">[1]Calc!H29</f>
        <v>MRNA</v>
      </c>
      <c r="B31" s="162">
        <v>45506</v>
      </c>
      <c r="C31" s="161" t="s">
        <v>179</v>
      </c>
      <c r="D31" s="158">
        <v>-1.4145000000000001E-2</v>
      </c>
      <c r="E31" s="145">
        <v>0.68244646072628012</v>
      </c>
      <c r="F31" s="157"/>
      <c r="G31" s="24">
        <v>0.42857142857142855</v>
      </c>
    </row>
    <row r="32" spans="1:7" hidden="1" x14ac:dyDescent="0.3">
      <c r="A32" s="160" t="str">
        <f ca="1">[1]Calc!H30</f>
        <v>MSFT</v>
      </c>
      <c r="B32" s="162">
        <v>45495</v>
      </c>
      <c r="C32" s="161" t="s">
        <v>178</v>
      </c>
      <c r="D32" s="158">
        <v>5.94E-3</v>
      </c>
      <c r="E32" s="145">
        <v>1.3059817664634426</v>
      </c>
      <c r="F32" s="157">
        <v>12786.75</v>
      </c>
      <c r="G32" s="24">
        <v>0</v>
      </c>
    </row>
    <row r="33" spans="1:7" hidden="1" x14ac:dyDescent="0.3">
      <c r="A33" s="160" t="str">
        <f ca="1">[1]Calc!H31</f>
        <v>NEE</v>
      </c>
      <c r="B33" s="162">
        <v>45519</v>
      </c>
      <c r="C33" s="161" t="s">
        <v>177</v>
      </c>
      <c r="D33" s="158">
        <v>2.8249999999999998E-4</v>
      </c>
      <c r="E33" s="145">
        <v>0.94148276915977691</v>
      </c>
      <c r="F33" s="157"/>
      <c r="G33" s="24">
        <v>0</v>
      </c>
    </row>
    <row r="34" spans="1:7" hidden="1" x14ac:dyDescent="0.3">
      <c r="A34" s="160" t="str">
        <f ca="1">[1]Calc!H32</f>
        <v>NEM</v>
      </c>
      <c r="B34" s="162">
        <v>45460</v>
      </c>
      <c r="C34" s="161" t="s">
        <v>176</v>
      </c>
      <c r="D34" s="158">
        <v>4.4305000000000004E-2</v>
      </c>
      <c r="E34" s="145">
        <v>1.1654874899045418</v>
      </c>
      <c r="F34" s="157">
        <v>11205.230000000001</v>
      </c>
      <c r="G34" s="24">
        <v>0.61904761904761907</v>
      </c>
    </row>
    <row r="35" spans="1:7" hidden="1" x14ac:dyDescent="0.3">
      <c r="A35" s="160" t="str">
        <f ca="1">[1]Calc!H33</f>
        <v>NFLX</v>
      </c>
      <c r="B35" s="162">
        <v>45460</v>
      </c>
      <c r="C35" s="161" t="s">
        <v>175</v>
      </c>
      <c r="D35" s="158">
        <v>1.1798999999999999E-2</v>
      </c>
      <c r="E35" s="145">
        <v>1.1854451857346238</v>
      </c>
      <c r="F35" s="157">
        <v>62323.53</v>
      </c>
      <c r="G35" s="24">
        <v>0.47619047619047616</v>
      </c>
    </row>
    <row r="36" spans="1:7" hidden="1" x14ac:dyDescent="0.3">
      <c r="A36" s="160" t="str">
        <f ca="1">[1]Calc!H34</f>
        <v>NOTE</v>
      </c>
      <c r="B36" s="162">
        <v>45505</v>
      </c>
      <c r="C36" s="161" t="s">
        <v>174</v>
      </c>
      <c r="D36" s="158">
        <v>-1.7659999999999999E-2</v>
      </c>
      <c r="E36" s="145">
        <v>0.76676235970902384</v>
      </c>
      <c r="F36" s="157"/>
      <c r="G36" s="24">
        <v>0</v>
      </c>
    </row>
    <row r="37" spans="1:7" hidden="1" x14ac:dyDescent="0.3">
      <c r="A37" s="160" t="str">
        <f ca="1">[1]Calc!H35</f>
        <v>PAAS</v>
      </c>
      <c r="B37" s="162">
        <v>45460</v>
      </c>
      <c r="C37" s="161" t="s">
        <v>173</v>
      </c>
      <c r="D37" s="158">
        <v>2.1721000000000001E-2</v>
      </c>
      <c r="E37" s="145">
        <v>0.93947530342783758</v>
      </c>
      <c r="F37" s="157">
        <v>16301.205</v>
      </c>
      <c r="G37" s="24">
        <v>0.52380952380952384</v>
      </c>
    </row>
    <row r="38" spans="1:7" hidden="1" x14ac:dyDescent="0.3">
      <c r="A38" s="160" t="str">
        <f ca="1">[1]Calc!H36</f>
        <v>PROF</v>
      </c>
      <c r="B38" s="162">
        <v>45519</v>
      </c>
      <c r="C38" s="161" t="s">
        <v>172</v>
      </c>
      <c r="D38" s="158">
        <v>6.6585999999999992E-2</v>
      </c>
      <c r="E38" s="145">
        <v>0.82326283787864651</v>
      </c>
      <c r="F38" s="157"/>
      <c r="G38" s="24">
        <v>0.42857142857142855</v>
      </c>
    </row>
    <row r="39" spans="1:7" hidden="1" x14ac:dyDescent="0.3">
      <c r="A39" s="160" t="str">
        <f ca="1">[1]Calc!H37</f>
        <v>POET</v>
      </c>
      <c r="B39" s="159">
        <v>45552</v>
      </c>
      <c r="C39" s="161" t="s">
        <v>171</v>
      </c>
      <c r="D39" s="158">
        <v>2.8649999999999999E-3</v>
      </c>
      <c r="E39" s="145">
        <v>0.94771229339887997</v>
      </c>
      <c r="F39" s="157"/>
      <c r="G39" s="24">
        <v>0.52380952380952384</v>
      </c>
    </row>
    <row r="40" spans="1:7" hidden="1" x14ac:dyDescent="0.3">
      <c r="A40" s="160" t="str">
        <f ca="1">[1]Calc!H38</f>
        <v>PW</v>
      </c>
      <c r="B40" s="162">
        <v>45519</v>
      </c>
      <c r="C40" s="161" t="s">
        <v>170</v>
      </c>
      <c r="D40" s="158">
        <v>-4.7028999999999994E-2</v>
      </c>
      <c r="E40" s="145">
        <v>0.23392306503194968</v>
      </c>
      <c r="F40" s="157"/>
      <c r="G40" s="24">
        <v>0</v>
      </c>
    </row>
    <row r="41" spans="1:7" hidden="1" x14ac:dyDescent="0.3">
      <c r="A41" s="160" t="str">
        <f ca="1">[1]Calc!H39</f>
        <v>RIGL</v>
      </c>
      <c r="B41" s="162">
        <v>45495</v>
      </c>
      <c r="C41" s="161" t="s">
        <v>169</v>
      </c>
      <c r="D41" s="158">
        <v>-1.4622999999999999E-2</v>
      </c>
      <c r="E41" s="145">
        <v>0.76008507518618096</v>
      </c>
      <c r="F41" s="157">
        <v>10828.7358</v>
      </c>
      <c r="G41" s="24">
        <v>0</v>
      </c>
    </row>
    <row r="42" spans="1:7" hidden="1" x14ac:dyDescent="0.3">
      <c r="A42" s="160" t="str">
        <f ca="1">[1]Calc!H40</f>
        <v>RWE</v>
      </c>
      <c r="B42" s="162">
        <v>45460</v>
      </c>
      <c r="C42" s="161" t="s">
        <v>168</v>
      </c>
      <c r="D42" s="158">
        <v>5.6740000000000002E-3</v>
      </c>
      <c r="E42" s="145">
        <v>3.165028108686923</v>
      </c>
      <c r="F42" s="157">
        <v>25027.7</v>
      </c>
      <c r="G42" s="24">
        <v>0.47619047619047616</v>
      </c>
    </row>
    <row r="43" spans="1:7" hidden="1" x14ac:dyDescent="0.3">
      <c r="A43" s="160" t="str">
        <f ca="1">[1]Calc!H41</f>
        <v>SAP</v>
      </c>
      <c r="B43" s="162">
        <v>45505</v>
      </c>
      <c r="C43" s="161" t="s">
        <v>167</v>
      </c>
      <c r="D43" s="158">
        <v>-8.4969999999999993E-3</v>
      </c>
      <c r="E43" s="145">
        <v>3.3634600513470878</v>
      </c>
      <c r="F43" s="157"/>
      <c r="G43" s="24">
        <v>0.47619047619047616</v>
      </c>
    </row>
    <row r="44" spans="1:7" hidden="1" x14ac:dyDescent="0.3">
      <c r="A44" s="160" t="str">
        <f ca="1">[1]Calc!H42</f>
        <v>SHECY</v>
      </c>
      <c r="B44" s="162">
        <v>45460</v>
      </c>
      <c r="C44" s="161" t="s">
        <v>166</v>
      </c>
      <c r="D44" s="158">
        <v>0</v>
      </c>
      <c r="E44" s="145">
        <v>1.4186433805053723E-2</v>
      </c>
      <c r="F44" s="157"/>
      <c r="G44" s="24">
        <v>0</v>
      </c>
    </row>
    <row r="45" spans="1:7" hidden="1" x14ac:dyDescent="0.3">
      <c r="A45" s="160" t="str">
        <f ca="1">[1]Calc!H43</f>
        <v>SSYS</v>
      </c>
      <c r="B45" s="162">
        <v>45460</v>
      </c>
      <c r="C45" s="161" t="s">
        <v>165</v>
      </c>
      <c r="D45" s="158">
        <v>1.3091999999999999E-2</v>
      </c>
      <c r="E45" s="145">
        <v>0.43486355091450157</v>
      </c>
      <c r="F45" s="157"/>
      <c r="G45" s="24">
        <v>0.47619047619047616</v>
      </c>
    </row>
    <row r="46" spans="1:7" hidden="1" x14ac:dyDescent="0.3">
      <c r="A46" s="160" t="str">
        <f ca="1">[1]Calc!H44</f>
        <v>TSLA</v>
      </c>
      <c r="B46" s="162">
        <v>45460</v>
      </c>
      <c r="C46" s="161" t="s">
        <v>164</v>
      </c>
      <c r="D46" s="158">
        <v>1.6840999999999998E-2</v>
      </c>
      <c r="E46" s="145">
        <v>1.0913498515453366</v>
      </c>
      <c r="F46" s="157">
        <v>24160.59</v>
      </c>
      <c r="G46" s="24">
        <v>0.61904761904761907</v>
      </c>
    </row>
    <row r="47" spans="1:7" hidden="1" x14ac:dyDescent="0.3">
      <c r="A47" s="160" t="str">
        <f ca="1">[1]Calc!H45</f>
        <v>TSM</v>
      </c>
      <c r="B47" s="162">
        <v>45525</v>
      </c>
      <c r="C47" s="161" t="s">
        <v>163</v>
      </c>
      <c r="D47" s="158">
        <v>-1.3661000000000001E-2</v>
      </c>
      <c r="E47" s="145">
        <v>1.0809741863119016</v>
      </c>
      <c r="F47" s="157">
        <v>17223.050000000003</v>
      </c>
      <c r="G47" s="24">
        <v>0.66666666666666663</v>
      </c>
    </row>
    <row r="48" spans="1:7" hidden="1" x14ac:dyDescent="0.3">
      <c r="A48" s="160" t="str">
        <f ca="1">[1]Calc!H46</f>
        <v>UN0</v>
      </c>
      <c r="B48" s="159">
        <v>45460</v>
      </c>
      <c r="C48" s="161" t="s">
        <v>162</v>
      </c>
      <c r="D48" s="158">
        <v>-4.8209000000000002E-2</v>
      </c>
      <c r="E48" s="145">
        <v>6.2275449101796408E-2</v>
      </c>
      <c r="F48" s="157"/>
      <c r="G48" s="24">
        <v>0</v>
      </c>
    </row>
    <row r="49" spans="1:7" hidden="1" x14ac:dyDescent="0.3">
      <c r="A49" s="160" t="str">
        <f ca="1">[1]Calc!H47</f>
        <v>UNIT</v>
      </c>
      <c r="B49" s="162">
        <v>45460</v>
      </c>
      <c r="C49" s="161" t="s">
        <v>161</v>
      </c>
      <c r="D49" s="158">
        <v>-2.2529E-2</v>
      </c>
      <c r="E49" s="145">
        <v>0.6230414742163608</v>
      </c>
      <c r="F49" s="157"/>
      <c r="G49" s="24">
        <v>0</v>
      </c>
    </row>
    <row r="50" spans="1:7" hidden="1" x14ac:dyDescent="0.3">
      <c r="A50" s="160" t="str">
        <f ca="1">[1]Calc!H48</f>
        <v>AVGO</v>
      </c>
      <c r="B50" s="162">
        <v>45495</v>
      </c>
      <c r="C50" s="161" t="s">
        <v>160</v>
      </c>
      <c r="D50" s="158">
        <v>-4.1120000000000002E-3</v>
      </c>
      <c r="E50" s="145">
        <v>0.93803543348713303</v>
      </c>
      <c r="F50" s="157">
        <v>12037.550000000001</v>
      </c>
      <c r="G50" s="24">
        <v>0.61904761904761907</v>
      </c>
    </row>
    <row r="51" spans="1:7" hidden="1" x14ac:dyDescent="0.3">
      <c r="A51" s="160" t="str">
        <f ca="1">[1]Calc!H49</f>
        <v>VLVLY</v>
      </c>
      <c r="B51" s="162">
        <v>45460</v>
      </c>
      <c r="C51" s="161" t="s">
        <v>159</v>
      </c>
      <c r="D51" s="158">
        <v>-1.0156E-2</v>
      </c>
      <c r="E51" s="145">
        <v>1.1389418249252856E-2</v>
      </c>
      <c r="F51" s="157">
        <v>28713.679999999997</v>
      </c>
      <c r="G51" s="24">
        <v>0</v>
      </c>
    </row>
    <row r="52" spans="1:7" hidden="1" x14ac:dyDescent="0.3">
      <c r="A52" s="160" t="str">
        <f ca="1">[1]Calc!H50</f>
        <v>VONN</v>
      </c>
      <c r="B52" s="162">
        <v>45506</v>
      </c>
      <c r="C52" s="161" t="s">
        <v>158</v>
      </c>
      <c r="D52" s="158">
        <v>1.6559999999999999E-3</v>
      </c>
      <c r="E52" s="145">
        <v>1.9581168831168831</v>
      </c>
      <c r="F52" s="157">
        <v>656546</v>
      </c>
      <c r="G52" s="24">
        <v>0.38095238095238093</v>
      </c>
    </row>
    <row r="53" spans="1:7" hidden="1" x14ac:dyDescent="0.3">
      <c r="A53" s="160" t="str">
        <f ca="1">[1]Calc!H51</f>
        <v>VTRS</v>
      </c>
      <c r="B53" s="162">
        <v>45460</v>
      </c>
      <c r="C53" s="161" t="s">
        <v>157</v>
      </c>
      <c r="D53" s="158">
        <v>1.7748E-2</v>
      </c>
      <c r="E53" s="145">
        <v>1.2060821805753896</v>
      </c>
      <c r="F53" s="157">
        <v>27796.95</v>
      </c>
      <c r="G53" s="24">
        <v>0</v>
      </c>
    </row>
    <row r="54" spans="1:7" hidden="1" x14ac:dyDescent="0.3">
      <c r="A54" s="160" t="str">
        <f ca="1">[1]Calc!H52</f>
        <v>WBA</v>
      </c>
      <c r="B54" s="162">
        <v>45460</v>
      </c>
      <c r="C54" s="161" t="s">
        <v>156</v>
      </c>
      <c r="D54" s="158">
        <v>0</v>
      </c>
      <c r="E54" s="145">
        <v>24.33668817861566</v>
      </c>
      <c r="F54" s="157">
        <v>31195.920000000002</v>
      </c>
      <c r="G54" s="24">
        <v>0</v>
      </c>
    </row>
    <row r="55" spans="1:7" hidden="1" x14ac:dyDescent="0.3">
      <c r="A55" s="160" t="str">
        <f ca="1">[1]Calc!H53</f>
        <v>XOM</v>
      </c>
      <c r="B55" s="162">
        <v>45460</v>
      </c>
      <c r="C55" s="161" t="s">
        <v>155</v>
      </c>
      <c r="D55" s="158">
        <v>-7.724E-3</v>
      </c>
      <c r="E55" s="145">
        <v>1.0441993697250496</v>
      </c>
      <c r="F55" s="157">
        <v>81169.899999999994</v>
      </c>
      <c r="G55" s="24">
        <v>0.80952380952380953</v>
      </c>
    </row>
    <row r="56" spans="1:7" hidden="1" x14ac:dyDescent="0.3">
      <c r="A56" s="160" t="str">
        <f ca="1">[1]Calc!H54</f>
        <v>XPER</v>
      </c>
      <c r="B56" s="162">
        <v>45460</v>
      </c>
      <c r="C56" s="161" t="s">
        <v>154</v>
      </c>
      <c r="D56" s="158">
        <v>-8.1570000000000004E-4</v>
      </c>
      <c r="E56" s="145">
        <v>0.69399833614652473</v>
      </c>
      <c r="F56" s="157"/>
      <c r="G56" s="24">
        <v>0.47619047619047616</v>
      </c>
    </row>
    <row r="57" spans="1:7" hidden="1" x14ac:dyDescent="0.3">
      <c r="A57" s="160" t="str">
        <f ca="1">[1]Calc!H55</f>
        <v>MVEALDNE</v>
      </c>
      <c r="B57" s="162">
        <v>45460</v>
      </c>
      <c r="C57" s="161" t="s">
        <v>153</v>
      </c>
      <c r="D57" s="158">
        <v>-2.5463E-2</v>
      </c>
      <c r="E57" s="145">
        <v>2.6456</v>
      </c>
      <c r="F57" s="157"/>
      <c r="G57" s="24">
        <v>0</v>
      </c>
    </row>
    <row r="58" spans="1:7" hidden="1" x14ac:dyDescent="0.3">
      <c r="A58" s="160" t="str">
        <f ca="1">[1]Calc!H56</f>
        <v>MVEDDD</v>
      </c>
      <c r="B58" s="162">
        <v>45460</v>
      </c>
      <c r="C58" s="161" t="s">
        <v>152</v>
      </c>
      <c r="D58" s="158">
        <v>-1.8218999999999999E-2</v>
      </c>
      <c r="E58" s="145">
        <v>0.91182641596811098</v>
      </c>
      <c r="F58" s="157"/>
      <c r="G58" s="24">
        <v>0.42857142857142855</v>
      </c>
    </row>
    <row r="59" spans="1:7" hidden="1" x14ac:dyDescent="0.3">
      <c r="A59" s="160" t="str">
        <f ca="1">[1]Calc!H57</f>
        <v>MVEDSY</v>
      </c>
      <c r="B59" s="162">
        <v>45554</v>
      </c>
      <c r="C59" s="161" t="s">
        <v>151</v>
      </c>
      <c r="D59" s="158">
        <v>-1.5178000000000001E-2</v>
      </c>
      <c r="E59" s="145">
        <v>1.9266751012719989</v>
      </c>
      <c r="F59" s="157"/>
      <c r="G59" s="24">
        <v>0</v>
      </c>
    </row>
    <row r="60" spans="1:7" hidden="1" x14ac:dyDescent="0.3">
      <c r="A60" s="160" t="str">
        <f ca="1">[1]Calc!H58</f>
        <v>MVEEOAN</v>
      </c>
      <c r="B60" s="162">
        <v>45460</v>
      </c>
      <c r="C60" s="161" t="s">
        <v>150</v>
      </c>
      <c r="D60" s="158">
        <v>5.1700000000000001E-3</v>
      </c>
      <c r="E60" s="145">
        <v>4.0616594839527167</v>
      </c>
      <c r="F60" s="157">
        <v>17297.16</v>
      </c>
      <c r="G60" s="24">
        <v>0.47619047619047616</v>
      </c>
    </row>
    <row r="61" spans="1:7" hidden="1" x14ac:dyDescent="0.3">
      <c r="A61" s="160" t="str">
        <f ca="1">[1]Calc!H59</f>
        <v>MVEENI</v>
      </c>
      <c r="B61" s="162">
        <v>45505</v>
      </c>
      <c r="C61" s="161" t="s">
        <v>149</v>
      </c>
      <c r="D61" s="158">
        <v>-7.3850000000000001E-3</v>
      </c>
      <c r="E61" s="145">
        <v>2.7279009025590284</v>
      </c>
      <c r="F61" s="157">
        <v>60563.455999999998</v>
      </c>
      <c r="G61" s="24">
        <v>0.5714285714285714</v>
      </c>
    </row>
    <row r="62" spans="1:7" hidden="1" x14ac:dyDescent="0.3">
      <c r="A62" s="160" t="str">
        <f ca="1">[1]Calc!H60</f>
        <v>MVEEPIX</v>
      </c>
      <c r="B62" s="159">
        <v>45460</v>
      </c>
      <c r="C62" s="161" t="s">
        <v>148</v>
      </c>
      <c r="D62" s="158">
        <v>0</v>
      </c>
      <c r="E62" s="145">
        <v>0.12172355493878159</v>
      </c>
      <c r="F62" s="157"/>
      <c r="G62" s="24">
        <v>0.47619047619047616</v>
      </c>
    </row>
    <row r="63" spans="1:7" hidden="1" x14ac:dyDescent="0.3">
      <c r="A63" s="160" t="str">
        <f ca="1">[1]Calc!H61</f>
        <v>MVEGLE</v>
      </c>
      <c r="B63" s="162">
        <v>45519</v>
      </c>
      <c r="C63" s="161" t="s">
        <v>147</v>
      </c>
      <c r="D63" s="158">
        <v>1.2891999999999999E-2</v>
      </c>
      <c r="E63" s="145">
        <v>1.7990639178995882</v>
      </c>
      <c r="F63" s="157"/>
      <c r="G63" s="24">
        <v>0.52380952380952384</v>
      </c>
    </row>
    <row r="64" spans="1:7" hidden="1" x14ac:dyDescent="0.3">
      <c r="A64" s="160" t="str">
        <f ca="1">[1]Calc!H62</f>
        <v>MVEORA</v>
      </c>
      <c r="B64" s="162">
        <v>45553</v>
      </c>
      <c r="C64" s="161" t="s">
        <v>146</v>
      </c>
      <c r="D64" s="158">
        <v>6.241E-3</v>
      </c>
      <c r="E64" s="145">
        <v>3.7762788073383824</v>
      </c>
      <c r="F64" s="157">
        <v>39854.14</v>
      </c>
      <c r="G64" s="24">
        <v>0.52380952380952384</v>
      </c>
    </row>
    <row r="65" spans="1:7" hidden="1" x14ac:dyDescent="0.3">
      <c r="A65" s="160" t="str">
        <f ca="1">[1]Calc!H63</f>
        <v>MVERWE</v>
      </c>
      <c r="B65" s="162">
        <v>45519</v>
      </c>
      <c r="C65" s="161" t="s">
        <v>145</v>
      </c>
      <c r="D65" s="158">
        <v>5.6740000000000002E-3</v>
      </c>
      <c r="E65" s="145">
        <v>3.165028108686923</v>
      </c>
      <c r="F65" s="157">
        <v>75260.350000000006</v>
      </c>
      <c r="G65" s="24">
        <v>0</v>
      </c>
    </row>
    <row r="66" spans="1:7" hidden="1" x14ac:dyDescent="0.3">
      <c r="A66" s="160" t="str">
        <f ca="1">[1]Calc!H64</f>
        <v>MVESAP</v>
      </c>
      <c r="B66" s="162">
        <v>45545</v>
      </c>
      <c r="C66" s="161" t="s">
        <v>144</v>
      </c>
      <c r="D66" s="158">
        <v>-8.4969999999999993E-3</v>
      </c>
      <c r="E66" s="145">
        <v>3.3634600513470878</v>
      </c>
      <c r="F66" s="157"/>
      <c r="G66" s="24">
        <v>0.42857142857142855</v>
      </c>
    </row>
    <row r="67" spans="1:7" hidden="1" x14ac:dyDescent="0.3">
      <c r="A67" s="160" t="str">
        <f ca="1">[1]Calc!H65</f>
        <v>MVEUN0</v>
      </c>
      <c r="B67" s="162">
        <v>45460</v>
      </c>
      <c r="C67" s="161" t="s">
        <v>143</v>
      </c>
      <c r="D67" s="158">
        <v>-4.8209000000000002E-2</v>
      </c>
      <c r="E67" s="145">
        <v>6.2275449101796408E-2</v>
      </c>
      <c r="F67" s="157"/>
      <c r="G67" s="24">
        <v>0</v>
      </c>
    </row>
    <row r="68" spans="1:7" hidden="1" x14ac:dyDescent="0.3">
      <c r="A68" s="160" t="str">
        <f ca="1">[1]Calc!H66</f>
        <v>SAFAAPL</v>
      </c>
      <c r="B68" s="162">
        <v>45467</v>
      </c>
      <c r="C68" s="161" t="s">
        <v>142</v>
      </c>
      <c r="D68" s="158">
        <v>3.0960999999999999E-2</v>
      </c>
      <c r="E68" s="145">
        <v>1.9490493965834474</v>
      </c>
      <c r="F68" s="157">
        <v>27712.685000000001</v>
      </c>
      <c r="G68" s="24">
        <v>0</v>
      </c>
    </row>
    <row r="69" spans="1:7" hidden="1" x14ac:dyDescent="0.3">
      <c r="A69" s="160" t="str">
        <f ca="1">[1]Calc!H67</f>
        <v>SAFAMZN</v>
      </c>
      <c r="B69" s="162">
        <v>45460</v>
      </c>
      <c r="C69" s="161" t="s">
        <v>141</v>
      </c>
      <c r="D69" s="158">
        <v>6.7469999999999995E-3</v>
      </c>
      <c r="E69" s="145">
        <v>1.1765310671460252</v>
      </c>
      <c r="F69" s="157">
        <v>35384.080000000002</v>
      </c>
      <c r="G69" s="24">
        <v>0.47619047619047616</v>
      </c>
    </row>
    <row r="70" spans="1:7" hidden="1" x14ac:dyDescent="0.3">
      <c r="A70" s="160" t="str">
        <f ca="1">[1]Calc!H68</f>
        <v>SAFASML</v>
      </c>
      <c r="B70" s="162">
        <v>45468</v>
      </c>
      <c r="C70" s="161" t="s">
        <v>140</v>
      </c>
      <c r="D70" s="158">
        <v>-3.7780000000000002E-4</v>
      </c>
      <c r="E70" s="145">
        <v>2.321530139103555</v>
      </c>
      <c r="F70" s="157">
        <v>33335.4</v>
      </c>
      <c r="G70" s="24">
        <v>0.7142857142857143</v>
      </c>
    </row>
    <row r="71" spans="1:7" hidden="1" x14ac:dyDescent="0.3">
      <c r="A71" s="160" t="str">
        <f ca="1">[1]Calc!H69</f>
        <v>SAFDDD</v>
      </c>
      <c r="B71" s="162">
        <v>45460</v>
      </c>
      <c r="C71" s="161" t="s">
        <v>139</v>
      </c>
      <c r="D71" s="158">
        <v>-1.8218999999999999E-2</v>
      </c>
      <c r="E71" s="145">
        <v>0.91182641596811098</v>
      </c>
      <c r="F71" s="157"/>
      <c r="G71" s="24">
        <v>0</v>
      </c>
    </row>
    <row r="72" spans="1:7" hidden="1" x14ac:dyDescent="0.3">
      <c r="A72" s="160" t="str">
        <f ca="1">[1]Calc!H70</f>
        <v>SAFDIS</v>
      </c>
      <c r="B72" s="162">
        <v>45460</v>
      </c>
      <c r="C72" s="161" t="s">
        <v>138</v>
      </c>
      <c r="D72" s="158">
        <v>-2.0068000000000003E-2</v>
      </c>
      <c r="E72" s="145">
        <v>2.6599394164335122</v>
      </c>
      <c r="F72" s="157">
        <v>142607.185</v>
      </c>
      <c r="G72" s="24">
        <v>0.38095238095238093</v>
      </c>
    </row>
    <row r="73" spans="1:7" hidden="1" x14ac:dyDescent="0.3">
      <c r="A73" s="160" t="str">
        <f ca="1">[1]Calc!H71</f>
        <v>SAFGM</v>
      </c>
      <c r="B73" s="162">
        <v>45467</v>
      </c>
      <c r="C73" s="161" t="s">
        <v>137</v>
      </c>
      <c r="D73" s="158">
        <v>-4.2190000000000001E-4</v>
      </c>
      <c r="E73" s="145">
        <v>0.59540838817642716</v>
      </c>
      <c r="F73" s="157">
        <v>4975.74</v>
      </c>
      <c r="G73" s="24">
        <v>0.42857142857142855</v>
      </c>
    </row>
    <row r="74" spans="1:7" hidden="1" x14ac:dyDescent="0.3">
      <c r="A74" s="160" t="str">
        <f ca="1">[1]Calc!H72</f>
        <v>SAFIAG</v>
      </c>
      <c r="B74" s="162">
        <v>45469</v>
      </c>
      <c r="C74" s="161" t="s">
        <v>136</v>
      </c>
      <c r="D74" s="158">
        <v>-1.3020000000000002E-3</v>
      </c>
      <c r="E74" s="145">
        <v>1.4521224567749358</v>
      </c>
      <c r="F74" s="157">
        <v>4985.5</v>
      </c>
      <c r="G74" s="24">
        <v>0</v>
      </c>
    </row>
    <row r="75" spans="1:7" hidden="1" x14ac:dyDescent="0.3">
      <c r="A75" s="160" t="str">
        <f ca="1">[1]Calc!H73</f>
        <v>SAFMRNA</v>
      </c>
      <c r="B75" s="162">
        <v>45460</v>
      </c>
      <c r="C75" s="161" t="s">
        <v>135</v>
      </c>
      <c r="D75" s="158">
        <v>-1.4145000000000001E-2</v>
      </c>
      <c r="E75" s="145">
        <v>0.68244646072628012</v>
      </c>
      <c r="F75" s="157"/>
      <c r="G75" s="24">
        <v>0</v>
      </c>
    </row>
    <row r="76" spans="1:7" hidden="1" x14ac:dyDescent="0.3">
      <c r="A76" s="160" t="str">
        <f ca="1">[1]Calc!H74</f>
        <v>BLNK</v>
      </c>
      <c r="B76" s="162">
        <v>45460</v>
      </c>
      <c r="C76" s="161" t="s">
        <v>134</v>
      </c>
      <c r="D76" s="158">
        <v>9.9506999999999998E-2</v>
      </c>
      <c r="E76" s="145">
        <v>2.5196140025608442</v>
      </c>
      <c r="F76" s="157"/>
      <c r="G76" s="24">
        <v>0.52380952380952384</v>
      </c>
    </row>
    <row r="77" spans="1:7" hidden="1" x14ac:dyDescent="0.3">
      <c r="A77" s="160" t="str">
        <f ca="1">[1]Calc!H75</f>
        <v>ENI</v>
      </c>
      <c r="B77" s="159">
        <v>45527</v>
      </c>
      <c r="C77" s="161" t="s">
        <v>133</v>
      </c>
      <c r="D77" s="158">
        <v>-7.3850000000000001E-3</v>
      </c>
      <c r="E77" s="145">
        <v>2.7279009025590284</v>
      </c>
      <c r="F77" s="157">
        <v>91495.767999999996</v>
      </c>
      <c r="G77" s="24">
        <v>0.5714285714285714</v>
      </c>
    </row>
    <row r="78" spans="1:7" hidden="1" x14ac:dyDescent="0.3">
      <c r="A78" s="160" t="str">
        <f ca="1">[1]Calc!H76</f>
        <v>EZJ</v>
      </c>
      <c r="B78" s="162">
        <v>45524</v>
      </c>
      <c r="C78" s="161" t="s">
        <v>132</v>
      </c>
      <c r="D78" s="158">
        <v>1.0704999999999999E-2</v>
      </c>
      <c r="E78" s="145">
        <v>1.1263891732660516</v>
      </c>
      <c r="F78" s="157"/>
      <c r="G78" s="24">
        <v>0.38095238095238093</v>
      </c>
    </row>
    <row r="79" spans="1:7" hidden="1" x14ac:dyDescent="0.3">
      <c r="A79" s="160" t="str">
        <f ca="1">[1]Calc!H77</f>
        <v>F</v>
      </c>
      <c r="B79" s="162">
        <v>45460</v>
      </c>
      <c r="C79" s="161" t="s">
        <v>131</v>
      </c>
      <c r="D79" s="158">
        <v>-8.9440000000000006E-3</v>
      </c>
      <c r="E79" s="145">
        <v>1.2374629287127954</v>
      </c>
      <c r="F79" s="157">
        <v>24235.704999999998</v>
      </c>
      <c r="G79" s="24">
        <v>0.47619047619047616</v>
      </c>
    </row>
    <row r="80" spans="1:7" hidden="1" x14ac:dyDescent="0.3">
      <c r="A80" s="160" t="str">
        <f ca="1">[1]Calc!H78</f>
        <v>GLE</v>
      </c>
      <c r="B80" s="162">
        <v>45554</v>
      </c>
      <c r="C80" s="161" t="s">
        <v>130</v>
      </c>
      <c r="D80" s="158">
        <v>1.2891999999999999E-2</v>
      </c>
      <c r="E80" s="145">
        <v>1.7990639178995882</v>
      </c>
      <c r="F80" s="157">
        <v>4941.8999999999996</v>
      </c>
      <c r="G80" s="24">
        <v>0.5714285714285714</v>
      </c>
    </row>
    <row r="81" spans="1:7" hidden="1" x14ac:dyDescent="0.3">
      <c r="A81" s="160" t="str">
        <f ca="1">[1]Calc!H79</f>
        <v>GNRC</v>
      </c>
      <c r="B81" s="162">
        <v>45559</v>
      </c>
      <c r="C81" s="161" t="s">
        <v>129</v>
      </c>
      <c r="D81" s="158">
        <v>-1.353E-2</v>
      </c>
      <c r="E81" s="145">
        <v>0.67041524099700389</v>
      </c>
      <c r="F81" s="157"/>
      <c r="G81" s="24">
        <v>0</v>
      </c>
    </row>
    <row r="82" spans="1:7" ht="23" hidden="1" thickBot="1" x14ac:dyDescent="0.35">
      <c r="A82" s="160" t="str">
        <f ca="1">[1]Calc!H80</f>
        <v>GS</v>
      </c>
      <c r="B82" s="163">
        <v>45460</v>
      </c>
      <c r="C82" s="161" t="s">
        <v>128</v>
      </c>
      <c r="D82" s="158">
        <v>2.3869999999999998E-3</v>
      </c>
      <c r="E82" s="145">
        <v>0.90497882250930028</v>
      </c>
      <c r="F82" s="157">
        <v>4837.38</v>
      </c>
      <c r="G82" s="24">
        <v>0.52380952380952384</v>
      </c>
    </row>
    <row r="83" spans="1:7" hidden="1" x14ac:dyDescent="0.3">
      <c r="A83" s="160" t="str">
        <f ca="1">[1]Calc!H81</f>
        <v>LAZR</v>
      </c>
      <c r="B83" s="162">
        <v>45460</v>
      </c>
      <c r="C83" s="161" t="s">
        <v>127</v>
      </c>
      <c r="D83" s="158">
        <v>-1.5368E-2</v>
      </c>
      <c r="E83" s="145">
        <v>1.0054906020385719</v>
      </c>
      <c r="F83" s="157"/>
      <c r="G83" s="24">
        <v>0</v>
      </c>
    </row>
    <row r="84" spans="1:7" hidden="1" x14ac:dyDescent="0.3">
      <c r="A84" s="160" t="str">
        <f ca="1">[1]Calc!H82</f>
        <v>LUV</v>
      </c>
      <c r="B84" s="162">
        <v>45460</v>
      </c>
      <c r="C84" s="161" t="s">
        <v>126</v>
      </c>
      <c r="D84" s="158">
        <v>8.1869999999999998E-3</v>
      </c>
      <c r="E84" s="145">
        <v>0.86267289424572935</v>
      </c>
      <c r="F84" s="157">
        <v>88558.092399999994</v>
      </c>
      <c r="G84" s="24">
        <v>0</v>
      </c>
    </row>
    <row r="85" spans="1:7" hidden="1" x14ac:dyDescent="0.3">
      <c r="A85" s="160" t="str">
        <f ca="1">[1]Calc!H83</f>
        <v>MA</v>
      </c>
      <c r="B85" s="162">
        <v>45505</v>
      </c>
      <c r="C85" s="161" t="s">
        <v>125</v>
      </c>
      <c r="D85" s="158">
        <v>-5.1449999999999994E-3</v>
      </c>
      <c r="E85" s="145">
        <v>1.0085157514639107</v>
      </c>
      <c r="F85" s="157">
        <v>80458.83</v>
      </c>
      <c r="G85" s="24">
        <v>0</v>
      </c>
    </row>
    <row r="86" spans="1:7" hidden="1" x14ac:dyDescent="0.3">
      <c r="A86" s="160" t="str">
        <f ca="1">[1]Calc!H84</f>
        <v>NVAX</v>
      </c>
      <c r="B86" s="162">
        <v>45460</v>
      </c>
      <c r="C86" s="161" t="s">
        <v>124</v>
      </c>
      <c r="D86" s="158">
        <v>1.238E-2</v>
      </c>
      <c r="E86" s="145">
        <v>0.62988447314535401</v>
      </c>
      <c r="F86" s="157"/>
      <c r="G86" s="24">
        <v>0.47619047619047616</v>
      </c>
    </row>
    <row r="87" spans="1:7" hidden="1" x14ac:dyDescent="0.3">
      <c r="A87" s="160" t="str">
        <f ca="1">[1]Calc!H85</f>
        <v>NVS</v>
      </c>
      <c r="B87" s="159">
        <v>45460</v>
      </c>
      <c r="C87" s="161" t="s">
        <v>123</v>
      </c>
      <c r="D87" s="158">
        <v>6.1329999999999996E-3</v>
      </c>
      <c r="E87" s="145">
        <v>0.88233357611363206</v>
      </c>
      <c r="F87" s="157">
        <v>4921.6000000000004</v>
      </c>
      <c r="G87" s="24">
        <v>0.52380952380952384</v>
      </c>
    </row>
    <row r="88" spans="1:7" hidden="1" x14ac:dyDescent="0.3">
      <c r="A88" s="160" t="str">
        <f ca="1">[1]Calc!H86</f>
        <v>ORA</v>
      </c>
      <c r="B88" s="162">
        <v>45460</v>
      </c>
      <c r="C88" s="161" t="s">
        <v>122</v>
      </c>
      <c r="D88" s="158">
        <v>6.241E-3</v>
      </c>
      <c r="E88" s="145">
        <v>3.7762788073383824</v>
      </c>
      <c r="F88" s="157"/>
      <c r="G88" s="24">
        <v>0.52380952380952384</v>
      </c>
    </row>
    <row r="89" spans="1:7" hidden="1" x14ac:dyDescent="0.3">
      <c r="A89" s="160" t="str">
        <f ca="1">[1]Calc!H87</f>
        <v>OXY</v>
      </c>
      <c r="B89" s="162">
        <v>45467</v>
      </c>
      <c r="C89" s="161" t="s">
        <v>121</v>
      </c>
      <c r="D89" s="158">
        <v>-2.5865999999999997E-2</v>
      </c>
      <c r="E89" s="145">
        <v>1.2135663841336342</v>
      </c>
      <c r="F89" s="157"/>
      <c r="G89" s="24">
        <v>0.52380952380952384</v>
      </c>
    </row>
    <row r="90" spans="1:7" hidden="1" x14ac:dyDescent="0.3">
      <c r="A90" s="160" t="str">
        <f ca="1">[1]Calc!H88</f>
        <v>PFE</v>
      </c>
      <c r="B90" s="162">
        <v>45460</v>
      </c>
      <c r="C90" s="161" t="s">
        <v>120</v>
      </c>
      <c r="D90" s="158">
        <v>-8.9029999999999995E-3</v>
      </c>
      <c r="E90" s="145">
        <v>1.4390542826861632</v>
      </c>
      <c r="F90" s="157"/>
      <c r="G90" s="24">
        <v>0</v>
      </c>
    </row>
    <row r="91" spans="1:7" x14ac:dyDescent="0.3">
      <c r="A91" s="160" t="str">
        <f ca="1">[1]Calc!H89</f>
        <v>RIG</v>
      </c>
      <c r="B91" s="162">
        <v>45559</v>
      </c>
      <c r="C91" s="161" t="s">
        <v>119</v>
      </c>
      <c r="D91" s="158">
        <v>-4.6242999999999999E-2</v>
      </c>
      <c r="E91" s="145">
        <v>1.507576159635226</v>
      </c>
      <c r="F91" s="157"/>
      <c r="G91" s="24">
        <v>0.61904761904761907</v>
      </c>
    </row>
    <row r="92" spans="1:7" x14ac:dyDescent="0.3">
      <c r="A92" s="160" t="str">
        <f ca="1">[1]Calc!H90</f>
        <v>RRC</v>
      </c>
      <c r="B92" s="162">
        <v>45467</v>
      </c>
      <c r="C92" s="161" t="s">
        <v>118</v>
      </c>
      <c r="D92" s="158">
        <v>-3.5278999999999998E-2</v>
      </c>
      <c r="E92" s="145">
        <v>1.1555488813718655</v>
      </c>
      <c r="F92" s="157">
        <v>4970.5700000000006</v>
      </c>
      <c r="G92" s="24">
        <v>0.61904761904761907</v>
      </c>
    </row>
    <row r="93" spans="1:7" x14ac:dyDescent="0.3">
      <c r="A93" s="160" t="str">
        <f ca="1">[1]Calc!H91</f>
        <v>XYZ</v>
      </c>
      <c r="B93" s="162">
        <v>45468</v>
      </c>
      <c r="C93" s="161" t="e">
        <v>#N/A</v>
      </c>
      <c r="D93" s="158">
        <v>-9.951999999999999E-3</v>
      </c>
      <c r="E93" s="145">
        <v>0.71049094479954222</v>
      </c>
      <c r="F93" s="157">
        <v>4979</v>
      </c>
      <c r="G93" s="24">
        <v>0.33333333333333331</v>
      </c>
    </row>
    <row r="94" spans="1:7" x14ac:dyDescent="0.3">
      <c r="A94" s="160" t="str">
        <f ca="1">[1]Calc!H92</f>
        <v>THC</v>
      </c>
      <c r="B94" s="162">
        <v>45460</v>
      </c>
      <c r="C94" s="161" t="s">
        <v>117</v>
      </c>
      <c r="D94" s="158">
        <v>-6.3060000000000004E-4</v>
      </c>
      <c r="E94" s="145">
        <v>0.55148172824469899</v>
      </c>
      <c r="F94" s="157">
        <v>20918.699999999997</v>
      </c>
      <c r="G94" s="24">
        <v>0.61904761904761907</v>
      </c>
    </row>
    <row r="95" spans="1:7" x14ac:dyDescent="0.3">
      <c r="A95" s="160" t="str">
        <f ca="1">[1]Calc!H93</f>
        <v>X</v>
      </c>
      <c r="B95" s="162">
        <v>45553</v>
      </c>
      <c r="C95" s="161" t="s">
        <v>116</v>
      </c>
      <c r="D95" s="158">
        <v>0</v>
      </c>
      <c r="E95" s="145">
        <v>1.1705132764283216E-4</v>
      </c>
      <c r="F95" s="157">
        <v>11461.560000000001</v>
      </c>
      <c r="G95" s="24">
        <v>0</v>
      </c>
    </row>
    <row r="96" spans="1:7" x14ac:dyDescent="0.3">
      <c r="A96" s="160" t="str">
        <f ca="1">[1]Calc!H94</f>
        <v>JBEOAN</v>
      </c>
      <c r="B96" s="159">
        <v>45460</v>
      </c>
      <c r="C96" s="161" t="s">
        <v>115</v>
      </c>
      <c r="D96" s="158">
        <v>5.1700000000000001E-3</v>
      </c>
      <c r="E96" s="145">
        <v>4.0616594839527167</v>
      </c>
      <c r="F96" s="157">
        <v>41236.305</v>
      </c>
      <c r="G96" s="24">
        <v>0</v>
      </c>
    </row>
    <row r="97" spans="1:7" x14ac:dyDescent="0.3">
      <c r="A97" s="160" t="str">
        <f>[1]Calc!H95</f>
        <v>LOCK</v>
      </c>
      <c r="B97" s="159">
        <v>1</v>
      </c>
      <c r="C97" s="156"/>
      <c r="D97" s="158">
        <v>-3.63E-3</v>
      </c>
      <c r="E97" s="145">
        <v>1.6239579602750833</v>
      </c>
      <c r="F97" s="157">
        <v>10242.26</v>
      </c>
      <c r="G97" s="24">
        <v>0</v>
      </c>
    </row>
    <row r="98" spans="1:7" x14ac:dyDescent="0.3">
      <c r="A98" s="156"/>
      <c r="B98" s="156"/>
      <c r="C98" s="156"/>
    </row>
    <row r="99" spans="1:7" x14ac:dyDescent="0.3">
      <c r="A99" s="156"/>
      <c r="B99" s="156"/>
      <c r="C99" s="156"/>
    </row>
    <row r="100" spans="1:7" x14ac:dyDescent="0.3">
      <c r="A100" s="156"/>
      <c r="B100" s="156"/>
      <c r="C100" s="156"/>
    </row>
    <row r="101" spans="1:7" x14ac:dyDescent="0.3">
      <c r="A101" s="156"/>
      <c r="B101" s="156"/>
      <c r="C101" s="156"/>
    </row>
    <row r="102" spans="1:7" x14ac:dyDescent="0.3">
      <c r="A102" s="156"/>
      <c r="B102" s="156"/>
      <c r="C102" s="156"/>
    </row>
    <row r="103" spans="1:7" x14ac:dyDescent="0.3">
      <c r="A103" s="156"/>
      <c r="B103" s="156"/>
      <c r="C103" s="156"/>
    </row>
    <row r="104" spans="1:7" x14ac:dyDescent="0.3">
      <c r="A104" s="156"/>
      <c r="B104" s="156"/>
      <c r="C104" s="156"/>
    </row>
    <row r="105" spans="1:7" x14ac:dyDescent="0.3">
      <c r="A105" s="156"/>
      <c r="B105" s="156"/>
      <c r="C105" s="156"/>
    </row>
    <row r="106" spans="1:7" x14ac:dyDescent="0.3">
      <c r="A106" s="156"/>
      <c r="B106" s="156"/>
      <c r="C106" s="156"/>
    </row>
    <row r="107" spans="1:7" x14ac:dyDescent="0.3">
      <c r="A107" s="156"/>
      <c r="B107" s="156"/>
      <c r="C107" s="156"/>
    </row>
    <row r="108" spans="1:7" x14ac:dyDescent="0.3">
      <c r="A108" s="156"/>
      <c r="B108" s="156"/>
      <c r="C108" s="156"/>
    </row>
    <row r="109" spans="1:7" x14ac:dyDescent="0.3">
      <c r="A109" s="156"/>
      <c r="B109" s="156"/>
      <c r="C109" s="156"/>
    </row>
    <row r="110" spans="1:7" x14ac:dyDescent="0.3">
      <c r="A110" s="156"/>
      <c r="B110" s="156"/>
      <c r="C110" s="156"/>
    </row>
    <row r="111" spans="1:7" x14ac:dyDescent="0.3">
      <c r="A111" s="156"/>
      <c r="B111" s="156"/>
      <c r="C111" s="156"/>
    </row>
    <row r="112" spans="1:7" x14ac:dyDescent="0.3">
      <c r="A112" s="156"/>
      <c r="B112" s="156"/>
      <c r="C112" s="156"/>
    </row>
    <row r="113" spans="1:3" x14ac:dyDescent="0.3">
      <c r="A113" s="156"/>
      <c r="B113" s="156"/>
      <c r="C113" s="156"/>
    </row>
  </sheetData>
  <conditionalFormatting sqref="B6:B97">
    <cfRule type="colorScale" priority="5">
      <colorScale>
        <cfvo type="min"/>
        <cfvo type="percentile" val="50"/>
        <cfvo type="max"/>
        <color rgb="FFF8696B"/>
        <color rgb="FFFCFCFF"/>
        <color rgb="FF5A8AC6"/>
      </colorScale>
    </cfRule>
    <cfRule type="colorScale" priority="6">
      <colorScale>
        <cfvo type="min"/>
        <cfvo type="max"/>
        <color rgb="FFFCFCFF"/>
        <color rgb="FF63BE7B"/>
      </colorScale>
    </cfRule>
  </conditionalFormatting>
  <conditionalFormatting sqref="G3:G97">
    <cfRule type="cellIs" dxfId="578" priority="3" operator="lessThan">
      <formula>0.45</formula>
    </cfRule>
    <cfRule type="cellIs" dxfId="577" priority="4" operator="greaterThan">
      <formula>0.55</formula>
    </cfRule>
  </conditionalFormatting>
  <conditionalFormatting sqref="B4:B97">
    <cfRule type="colorScale" priority="2">
      <colorScale>
        <cfvo type="min"/>
        <cfvo type="percentile" val="50"/>
        <cfvo type="max"/>
        <color rgb="FFF8696B"/>
        <color rgb="FFFCFCFF"/>
        <color rgb="FF5A8AC6"/>
      </colorScale>
    </cfRule>
  </conditionalFormatting>
  <conditionalFormatting sqref="B5:B97">
    <cfRule type="colorScale" priority="1">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46DBD-D318-7E4C-8F84-6454414406B2}">
  <sheetPr codeName="Sheet13"/>
  <dimension ref="A1:KH72"/>
  <sheetViews>
    <sheetView showZeros="0" zoomScale="80" zoomScaleNormal="80" workbookViewId="0">
      <selection activeCell="T1" sqref="T1:T1048576"/>
    </sheetView>
  </sheetViews>
  <sheetFormatPr baseColWidth="10" defaultRowHeight="22" x14ac:dyDescent="0.3"/>
  <cols>
    <col min="1" max="1" width="24.125" customWidth="1"/>
    <col min="2" max="2" width="12.625" bestFit="1" customWidth="1"/>
    <col min="5" max="5" width="12.625" bestFit="1" customWidth="1"/>
    <col min="7" max="27" width="13.125" customWidth="1"/>
    <col min="28" max="28" width="17.125" customWidth="1"/>
    <col min="29" max="290" width="13.125" customWidth="1"/>
  </cols>
  <sheetData>
    <row r="1" spans="1:294" x14ac:dyDescent="0.3">
      <c r="A1">
        <f ca="1">ExtEntry!$H$3</f>
        <v>254.43</v>
      </c>
      <c r="B1" t="str">
        <f>[1]Reg!B1</f>
        <v>AAPL</v>
      </c>
      <c r="C1" t="str">
        <f>[1]Reg!C1</f>
        <v>AAPL1</v>
      </c>
      <c r="D1" t="str">
        <f>[1]Reg!D1</f>
        <v>AAPL2</v>
      </c>
      <c r="E1" t="str">
        <f>[1]Reg!E1</f>
        <v>ADEA</v>
      </c>
      <c r="F1" t="str">
        <f>[1]Reg!F1</f>
        <v>ADEA1</v>
      </c>
      <c r="G1" t="str">
        <f>[1]Reg!G1</f>
        <v>ADEA2</v>
      </c>
      <c r="H1" t="str">
        <f>[1]Reg!H1</f>
        <v>AET</v>
      </c>
      <c r="I1" t="str">
        <f>[1]Reg!I1</f>
        <v>AET1</v>
      </c>
      <c r="J1" t="str">
        <f>[1]Reg!J1</f>
        <v>AET2</v>
      </c>
      <c r="K1" t="str">
        <f>[1]Reg!K1</f>
        <v>AMZN</v>
      </c>
      <c r="L1" t="str">
        <f>[1]Reg!L1</f>
        <v>AMZN1</v>
      </c>
      <c r="M1" t="str">
        <f>[1]Reg!M1</f>
        <v>AMZN2</v>
      </c>
      <c r="N1" t="str">
        <f>[1]Reg!N1</f>
        <v>ALDNE</v>
      </c>
      <c r="O1" t="str">
        <f>[1]Reg!O1</f>
        <v>ALDNE1</v>
      </c>
      <c r="P1" t="str">
        <f>[1]Reg!P1</f>
        <v>ALDNE2</v>
      </c>
      <c r="Q1" t="str">
        <f>[1]Reg!Q1</f>
        <v>ASML</v>
      </c>
      <c r="R1" t="str">
        <f>[1]Reg!R1</f>
        <v>ASML1</v>
      </c>
      <c r="S1" t="str">
        <f>[1]Reg!S1</f>
        <v>ASML2</v>
      </c>
      <c r="W1" t="str">
        <f>[1]Reg!W1</f>
        <v>AZN</v>
      </c>
      <c r="X1" t="str">
        <f>[1]Reg!X1</f>
        <v>AZN1</v>
      </c>
      <c r="Y1" t="str">
        <f>[1]Reg!Y1</f>
        <v>AZN2</v>
      </c>
      <c r="Z1" t="str">
        <f>[1]Reg!Z1</f>
        <v>BLDP</v>
      </c>
      <c r="AA1" t="str">
        <f>[1]Reg!AA1</f>
        <v>BLDP1</v>
      </c>
      <c r="AB1" t="str">
        <f>[1]Reg!AB1</f>
        <v>BLDP2</v>
      </c>
      <c r="AC1" t="str">
        <f>[1]Reg!AC1</f>
        <v>BMRA</v>
      </c>
      <c r="AD1" t="str">
        <f>[1]Reg!AD1</f>
        <v>BMRA1</v>
      </c>
      <c r="AE1" t="str">
        <f>[1]Reg!AE1</f>
        <v>BMRA2</v>
      </c>
      <c r="AF1" t="str">
        <f>[1]Reg!AF1</f>
        <v>C</v>
      </c>
      <c r="AG1" t="str">
        <f>[1]Reg!AG1</f>
        <v>C1</v>
      </c>
      <c r="AH1" t="str">
        <f>[1]Reg!AH1</f>
        <v>C2</v>
      </c>
      <c r="AI1" t="str">
        <f>[1]Reg!AI1</f>
        <v>CSCO</v>
      </c>
      <c r="AJ1" t="str">
        <f>[1]Reg!AJ1</f>
        <v>CSCO1</v>
      </c>
      <c r="AK1" t="str">
        <f>[1]Reg!AK1</f>
        <v>CSCO2</v>
      </c>
      <c r="AL1" t="str">
        <f>[1]Reg!AL1</f>
        <v>CVS</v>
      </c>
      <c r="AM1" t="str">
        <f>[1]Reg!AM1</f>
        <v>CVS1</v>
      </c>
      <c r="AN1" t="str">
        <f>[1]Reg!AN1</f>
        <v>CVS2</v>
      </c>
      <c r="AO1" t="str">
        <f>[1]Reg!AO1</f>
        <v>DDD</v>
      </c>
      <c r="AP1" t="str">
        <f>[1]Reg!AP1</f>
        <v>DDD1</v>
      </c>
      <c r="AQ1" t="str">
        <f>[1]Reg!AQ1</f>
        <v>DDD2</v>
      </c>
      <c r="AR1" t="str">
        <f>[1]Reg!AR1</f>
        <v>DIS</v>
      </c>
      <c r="AS1" t="str">
        <f>[1]Reg!AS1</f>
        <v>DIS1</v>
      </c>
      <c r="AT1" t="str">
        <f>[1]Reg!AT1</f>
        <v>DIS2</v>
      </c>
      <c r="AU1" t="str">
        <f>[1]Reg!AU1</f>
        <v>DSY</v>
      </c>
      <c r="AV1" t="str">
        <f>[1]Reg!AV1</f>
        <v>DSY1</v>
      </c>
      <c r="AW1" t="str">
        <f>[1]Reg!AW1</f>
        <v>DSY2</v>
      </c>
      <c r="AX1" t="str">
        <f>[1]Reg!AX1</f>
        <v>DVA</v>
      </c>
      <c r="AY1" t="str">
        <f>[1]Reg!AY1</f>
        <v>DVA1</v>
      </c>
      <c r="AZ1" t="str">
        <f>[1]Reg!AZ1</f>
        <v>DVA2</v>
      </c>
      <c r="BA1" t="str">
        <f>[1]Reg!BA1</f>
        <v>DXC</v>
      </c>
      <c r="BB1" t="str">
        <f>[1]Reg!BB1</f>
        <v>DXC1</v>
      </c>
      <c r="BC1" t="str">
        <f>[1]Reg!BC1</f>
        <v>DXC2</v>
      </c>
      <c r="BD1" t="str">
        <f>[1]Reg!BD1</f>
        <v>EOAN</v>
      </c>
      <c r="BE1" t="str">
        <f>[1]Reg!BE1</f>
        <v>EOAN1</v>
      </c>
      <c r="BF1" t="str">
        <f>[1]Reg!BF1</f>
        <v>EOAN2</v>
      </c>
      <c r="BG1" t="str">
        <f>[1]Reg!BG1</f>
        <v>EPIX</v>
      </c>
      <c r="BH1" t="str">
        <f>[1]Reg!BH1</f>
        <v>EPIX1</v>
      </c>
      <c r="BI1" t="str">
        <f>[1]Reg!BI1</f>
        <v>EPIX2</v>
      </c>
      <c r="BJ1" t="str">
        <f>[1]Reg!BJ1</f>
        <v>GM</v>
      </c>
      <c r="BK1" t="str">
        <f>[1]Reg!BK1</f>
        <v>GM1</v>
      </c>
      <c r="BL1" t="str">
        <f>[1]Reg!BL1</f>
        <v>GM2</v>
      </c>
      <c r="BM1" t="str">
        <f>[1]Reg!BM1</f>
        <v>HPE</v>
      </c>
      <c r="BN1" t="str">
        <f>[1]Reg!BN1</f>
        <v>HPE1</v>
      </c>
      <c r="BO1" t="str">
        <f>[1]Reg!BO1</f>
        <v>HPE2</v>
      </c>
      <c r="BP1" t="str">
        <f>[1]Reg!BP1</f>
        <v>HPQ</v>
      </c>
      <c r="BQ1" t="str">
        <f>[1]Reg!BQ1</f>
        <v>HPQ1</v>
      </c>
      <c r="BR1" t="str">
        <f>[1]Reg!BR1</f>
        <v>HPQ2</v>
      </c>
      <c r="BS1" t="str">
        <f>[1]Reg!BS1</f>
        <v>IAG</v>
      </c>
      <c r="BT1" t="str">
        <f>[1]Reg!BT1</f>
        <v>IAG1</v>
      </c>
      <c r="BU1" t="str">
        <f>[1]Reg!BU1</f>
        <v>IAG2</v>
      </c>
      <c r="BV1" t="str">
        <f>[1]Reg!BV1</f>
        <v>KR</v>
      </c>
      <c r="BW1" t="str">
        <f>[1]Reg!BW1</f>
        <v>KR1</v>
      </c>
      <c r="BX1" t="str">
        <f>[1]Reg!BX1</f>
        <v>KR2</v>
      </c>
      <c r="BY1" t="str">
        <f>[1]Reg!BY1</f>
        <v>LNSR</v>
      </c>
      <c r="BZ1" t="str">
        <f>[1]Reg!BZ1</f>
        <v>LNSR1</v>
      </c>
      <c r="CA1" t="str">
        <f>[1]Reg!CA1</f>
        <v>LNSR2</v>
      </c>
      <c r="CB1" t="str">
        <f>[1]Reg!CB1</f>
        <v>LUMN</v>
      </c>
      <c r="CC1" t="str">
        <f>[1]Reg!CC1</f>
        <v>LUMN1</v>
      </c>
      <c r="CD1" t="str">
        <f>[1]Reg!CD1</f>
        <v>LUMN2</v>
      </c>
      <c r="CE1" t="str">
        <f>[1]Reg!CE1</f>
        <v>MRNA</v>
      </c>
      <c r="CF1" t="str">
        <f>[1]Reg!CF1</f>
        <v>MRNA1</v>
      </c>
      <c r="CG1" t="str">
        <f>[1]Reg!CG1</f>
        <v>MRNA2</v>
      </c>
      <c r="CH1" t="str">
        <f>[1]Reg!CH1</f>
        <v>MSFT</v>
      </c>
      <c r="CI1" t="str">
        <f>[1]Reg!CI1</f>
        <v>MSFT1</v>
      </c>
      <c r="CJ1" t="str">
        <f>[1]Reg!CJ1</f>
        <v>MSFT2</v>
      </c>
      <c r="CK1" t="str">
        <f>[1]Reg!CK1</f>
        <v>NEE</v>
      </c>
      <c r="CL1" t="str">
        <f>[1]Reg!CL1</f>
        <v>NEE1</v>
      </c>
      <c r="CM1" t="str">
        <f>[1]Reg!CM1</f>
        <v>NEE2</v>
      </c>
      <c r="CN1" t="str">
        <f>[1]Reg!CN1</f>
        <v>NEM</v>
      </c>
      <c r="CO1" t="str">
        <f>[1]Reg!CO1</f>
        <v>NEM1</v>
      </c>
      <c r="CP1" t="str">
        <f>[1]Reg!CP1</f>
        <v>NEM2</v>
      </c>
      <c r="CQ1" t="str">
        <f>[1]Reg!CQ1</f>
        <v>NFLX</v>
      </c>
      <c r="CR1" t="str">
        <f>[1]Reg!CR1</f>
        <v>NFLX1</v>
      </c>
      <c r="CS1" t="str">
        <f>[1]Reg!CS1</f>
        <v>NFLX2</v>
      </c>
      <c r="CT1" t="str">
        <f>[1]Reg!CT1</f>
        <v>NOTE</v>
      </c>
      <c r="CU1" t="str">
        <f>[1]Reg!CU1</f>
        <v>NOTE1</v>
      </c>
      <c r="CV1" t="str">
        <f>[1]Reg!CV1</f>
        <v>NOTE2</v>
      </c>
      <c r="CW1" t="str">
        <f>[1]Reg!CW1</f>
        <v>PAAS</v>
      </c>
      <c r="CX1" t="str">
        <f>[1]Reg!CX1</f>
        <v>PAAS1</v>
      </c>
      <c r="CY1" t="str">
        <f>[1]Reg!CY1</f>
        <v>PAAS2</v>
      </c>
      <c r="CZ1" t="str">
        <f>[1]Reg!CZ1</f>
        <v>PROF</v>
      </c>
      <c r="DA1" t="str">
        <f>[1]Reg!DA1</f>
        <v>PROF1</v>
      </c>
      <c r="DB1" t="str">
        <f>[1]Reg!DB1</f>
        <v>PROF2</v>
      </c>
      <c r="DC1" t="str">
        <f>[1]Reg!DC1</f>
        <v>POET</v>
      </c>
      <c r="DD1" t="str">
        <f>[1]Reg!DD1</f>
        <v>POET1</v>
      </c>
      <c r="DE1" t="str">
        <f>[1]Reg!DE1</f>
        <v>POET2</v>
      </c>
      <c r="DF1" t="str">
        <f>[1]Reg!DF1</f>
        <v>PW</v>
      </c>
      <c r="DG1" t="str">
        <f>[1]Reg!DG1</f>
        <v>PW1</v>
      </c>
      <c r="DH1" t="str">
        <f>[1]Reg!DH1</f>
        <v>PW2</v>
      </c>
      <c r="DI1" t="str">
        <f>[1]Reg!DI1</f>
        <v>RIGL</v>
      </c>
      <c r="DJ1" t="str">
        <f>[1]Reg!DJ1</f>
        <v>RIGL1</v>
      </c>
      <c r="DK1" t="str">
        <f>[1]Reg!DK1</f>
        <v>RIGL2</v>
      </c>
      <c r="DL1" t="str">
        <f>[1]Reg!DL1</f>
        <v>RWE</v>
      </c>
      <c r="DM1" t="str">
        <f>[1]Reg!DM1</f>
        <v>RWE1</v>
      </c>
      <c r="DN1" t="str">
        <f>[1]Reg!DN1</f>
        <v>RWE2</v>
      </c>
      <c r="DO1" t="str">
        <f>[1]Reg!DO1</f>
        <v>SAP</v>
      </c>
      <c r="DP1" t="str">
        <f>[1]Reg!DP1</f>
        <v>SAP1</v>
      </c>
      <c r="DQ1" t="str">
        <f>[1]Reg!DQ1</f>
        <v>SAP2</v>
      </c>
      <c r="DR1" t="str">
        <f>[1]Reg!DR1</f>
        <v>SHECY</v>
      </c>
      <c r="DS1" t="str">
        <f>[1]Reg!DS1</f>
        <v>SHECY1</v>
      </c>
      <c r="DT1" t="str">
        <f>[1]Reg!DT1</f>
        <v>SHECY2</v>
      </c>
      <c r="DU1" t="str">
        <f>[1]Reg!DU1</f>
        <v>SSYS</v>
      </c>
      <c r="DV1" t="str">
        <f>[1]Reg!DV1</f>
        <v>SSYS1</v>
      </c>
      <c r="DW1" t="str">
        <f>[1]Reg!DW1</f>
        <v>SSYS2</v>
      </c>
      <c r="DX1" t="str">
        <f>[1]Reg!DX1</f>
        <v>TSLA</v>
      </c>
      <c r="DY1" t="str">
        <f>[1]Reg!DY1</f>
        <v>TSLA1</v>
      </c>
      <c r="DZ1" t="str">
        <f>[1]Reg!DZ1</f>
        <v>TSLA2</v>
      </c>
      <c r="EA1" t="str">
        <f>[1]Reg!EA1</f>
        <v>TSM</v>
      </c>
      <c r="EB1" t="str">
        <f>[1]Reg!EB1</f>
        <v>TSM1</v>
      </c>
      <c r="EC1" t="str">
        <f>[1]Reg!EC1</f>
        <v>TSM2</v>
      </c>
      <c r="ED1" t="str">
        <f>[1]Reg!ED1</f>
        <v>UN0</v>
      </c>
      <c r="EE1" t="str">
        <f>[1]Reg!EE1</f>
        <v>UN01</v>
      </c>
      <c r="EF1" t="str">
        <f>[1]Reg!EF1</f>
        <v>UN02</v>
      </c>
      <c r="EG1" t="str">
        <f>[1]Reg!EG1</f>
        <v>UNIT</v>
      </c>
      <c r="EH1" t="str">
        <f>[1]Reg!EH1</f>
        <v>UNIT1</v>
      </c>
      <c r="EI1" t="str">
        <f>[1]Reg!EI1</f>
        <v>UNIT2</v>
      </c>
      <c r="EJ1" t="str">
        <f>[1]Reg!EJ1</f>
        <v>AVGO</v>
      </c>
      <c r="EK1" t="str">
        <f>[1]Reg!EK1</f>
        <v>AVGO1</v>
      </c>
      <c r="EL1" t="str">
        <f>[1]Reg!EL1</f>
        <v>AVGO2</v>
      </c>
      <c r="EM1" t="str">
        <f>[1]Reg!EM1</f>
        <v>VLVLY</v>
      </c>
      <c r="EN1" t="str">
        <f>[1]Reg!EN1</f>
        <v>VLVLY1</v>
      </c>
      <c r="EO1" t="str">
        <f>[1]Reg!EO1</f>
        <v>VLVLY2</v>
      </c>
      <c r="EP1" t="str">
        <f>[1]Reg!EP1</f>
        <v>VONN</v>
      </c>
      <c r="EQ1" t="str">
        <f>[1]Reg!EQ1</f>
        <v>VONN1</v>
      </c>
      <c r="ER1" t="str">
        <f>[1]Reg!ER1</f>
        <v>VONN2</v>
      </c>
      <c r="ES1" t="str">
        <f>[1]Reg!ES1</f>
        <v>VTRS</v>
      </c>
      <c r="ET1" t="str">
        <f>[1]Reg!ET1</f>
        <v>VTRS1</v>
      </c>
      <c r="EU1" t="str">
        <f>[1]Reg!EU1</f>
        <v>VTRS2</v>
      </c>
      <c r="EV1" t="str">
        <f>[1]Reg!EV1</f>
        <v>WBA</v>
      </c>
      <c r="EW1" t="str">
        <f>[1]Reg!EW1</f>
        <v>WBA1</v>
      </c>
      <c r="EX1" t="str">
        <f>[1]Reg!EX1</f>
        <v>WBA2</v>
      </c>
      <c r="EY1" t="str">
        <f>[1]Reg!EY1</f>
        <v>XOM</v>
      </c>
      <c r="EZ1" t="str">
        <f>[1]Reg!EZ1</f>
        <v>XOM1</v>
      </c>
      <c r="FA1" t="str">
        <f>[1]Reg!FA1</f>
        <v>XOM2</v>
      </c>
      <c r="FB1" t="str">
        <f>[1]Reg!FB1</f>
        <v>XPER</v>
      </c>
      <c r="FC1" t="str">
        <f>[1]Reg!FC1</f>
        <v>XPER1</v>
      </c>
      <c r="FD1" t="str">
        <f>[1]Reg!FD1</f>
        <v>XPER2</v>
      </c>
      <c r="FE1" t="str">
        <f>[1]Reg!FE1</f>
        <v>MVEALDNE</v>
      </c>
      <c r="FF1" t="str">
        <f>[1]Reg!FF1</f>
        <v>MVEALDNE1</v>
      </c>
      <c r="FG1" t="str">
        <f>[1]Reg!FG1</f>
        <v>MVEALDNE2</v>
      </c>
      <c r="FH1" t="str">
        <f>[1]Reg!FH1</f>
        <v>MVEDDD</v>
      </c>
      <c r="FI1" t="str">
        <f>[1]Reg!FI1</f>
        <v>MVEDDD1</v>
      </c>
      <c r="FJ1" t="str">
        <f>[1]Reg!FJ1</f>
        <v>MVEDDD2</v>
      </c>
      <c r="FK1" t="str">
        <f>[1]Reg!FK1</f>
        <v>MVEDSY</v>
      </c>
      <c r="FL1" t="str">
        <f>[1]Reg!FL1</f>
        <v>MVEDSY1</v>
      </c>
      <c r="FM1" t="str">
        <f>[1]Reg!FM1</f>
        <v>MVEDSY2</v>
      </c>
      <c r="FN1" t="str">
        <f>[1]Reg!FN1</f>
        <v>MVEEOAN</v>
      </c>
      <c r="FO1" t="str">
        <f>[1]Reg!FO1</f>
        <v>MVEEOAN1</v>
      </c>
      <c r="FP1" t="str">
        <f>[1]Reg!FP1</f>
        <v>MVEEOAN2</v>
      </c>
      <c r="FQ1" t="str">
        <f>[1]Reg!FQ1</f>
        <v>MVEENI</v>
      </c>
      <c r="FR1" t="str">
        <f>[1]Reg!FR1</f>
        <v>MVEENI1</v>
      </c>
      <c r="FS1" t="str">
        <f>[1]Reg!FS1</f>
        <v>MVEENI2</v>
      </c>
      <c r="FT1" t="str">
        <f>[1]Reg!FT1</f>
        <v>MVEEPIX</v>
      </c>
      <c r="FU1" t="str">
        <f>[1]Reg!FU1</f>
        <v>MVEEPIX1</v>
      </c>
      <c r="FV1" t="str">
        <f>[1]Reg!FV1</f>
        <v>MVEEPIX2</v>
      </c>
      <c r="FW1" t="str">
        <f>[1]Reg!FW1</f>
        <v>MVEGLE</v>
      </c>
      <c r="FX1" t="str">
        <f>[1]Reg!FX1</f>
        <v>MVEGLE1</v>
      </c>
      <c r="FY1" t="str">
        <f>[1]Reg!FY1</f>
        <v>MVEGLE2</v>
      </c>
      <c r="FZ1" t="str">
        <f>[1]Reg!FZ1</f>
        <v>MVEORA</v>
      </c>
      <c r="GA1" t="str">
        <f>[1]Reg!GA1</f>
        <v>MVEORA1</v>
      </c>
      <c r="GB1" t="str">
        <f>[1]Reg!GB1</f>
        <v>MVEORA2</v>
      </c>
      <c r="GC1" t="str">
        <f>[1]Reg!GC1</f>
        <v>MVERWE</v>
      </c>
      <c r="GD1" t="str">
        <f>[1]Reg!GD1</f>
        <v>MVERWE1</v>
      </c>
      <c r="GE1" t="str">
        <f>[1]Reg!GE1</f>
        <v>MVERWE2</v>
      </c>
      <c r="GF1" t="str">
        <f>[1]Reg!GF1</f>
        <v>MVESAP</v>
      </c>
      <c r="GG1" t="str">
        <f>[1]Reg!GG1</f>
        <v>MVESAP1</v>
      </c>
      <c r="GH1" t="str">
        <f>[1]Reg!GH1</f>
        <v>MVESAP2</v>
      </c>
      <c r="GI1" t="str">
        <f>[1]Reg!GI1</f>
        <v>MVEUN0</v>
      </c>
      <c r="GJ1" t="str">
        <f>[1]Reg!GJ1</f>
        <v>MVEUN01</v>
      </c>
      <c r="GK1" t="str">
        <f>[1]Reg!GK1</f>
        <v>MVEUN02</v>
      </c>
      <c r="GL1" t="str">
        <f>[1]Reg!GL1</f>
        <v>SAFAAPL</v>
      </c>
      <c r="GM1" t="str">
        <f>[1]Reg!GM1</f>
        <v>SAFAAPL1</v>
      </c>
      <c r="GN1" t="str">
        <f>[1]Reg!GN1</f>
        <v>SAFAAPL2</v>
      </c>
      <c r="GO1" t="str">
        <f>[1]Reg!GO1</f>
        <v>SAFAMZN</v>
      </c>
      <c r="GP1" t="str">
        <f>[1]Reg!GP1</f>
        <v>SAFAMZN1</v>
      </c>
      <c r="GQ1" t="str">
        <f>[1]Reg!GQ1</f>
        <v>SAFAMZN2</v>
      </c>
      <c r="GR1" t="str">
        <f>[1]Reg!GR1</f>
        <v>SAFASML</v>
      </c>
      <c r="GS1" t="str">
        <f>[1]Reg!GS1</f>
        <v>SAFASML1</v>
      </c>
      <c r="GT1" t="str">
        <f>[1]Reg!GT1</f>
        <v>SAFASML2</v>
      </c>
      <c r="GU1" t="str">
        <f>[1]Reg!GU1</f>
        <v>SAFDDD</v>
      </c>
      <c r="GV1" t="str">
        <f>[1]Reg!GV1</f>
        <v>SAFDDD1</v>
      </c>
      <c r="GW1" t="str">
        <f>[1]Reg!GW1</f>
        <v>SAFDDD2</v>
      </c>
      <c r="GX1" t="str">
        <f>[1]Reg!GX1</f>
        <v>SAFDIS</v>
      </c>
      <c r="GY1" t="str">
        <f>[1]Reg!GY1</f>
        <v>SAFDIS1</v>
      </c>
      <c r="GZ1" t="str">
        <f>[1]Reg!GZ1</f>
        <v>SAFDIS2</v>
      </c>
      <c r="HA1" t="str">
        <f>[1]Reg!HA1</f>
        <v>SAFGM</v>
      </c>
      <c r="HB1" t="str">
        <f>[1]Reg!HB1</f>
        <v>SAFGM1</v>
      </c>
      <c r="HC1" t="str">
        <f>[1]Reg!HC1</f>
        <v>SAFGM2</v>
      </c>
      <c r="HD1" t="str">
        <f>[1]Reg!HD1</f>
        <v>SAFIAG</v>
      </c>
      <c r="HE1" t="str">
        <f>[1]Reg!HE1</f>
        <v>SAFIAG1</v>
      </c>
      <c r="HF1" t="str">
        <f>[1]Reg!HF1</f>
        <v>SAFIAG2</v>
      </c>
      <c r="HG1" t="str">
        <f>[1]Reg!HG1</f>
        <v>SAFMRNA</v>
      </c>
      <c r="HH1" t="str">
        <f>[1]Reg!HH1</f>
        <v>SAFMRNA1</v>
      </c>
      <c r="HI1" t="str">
        <f>[1]Reg!HI1</f>
        <v>SAFMRNA2</v>
      </c>
      <c r="HJ1" t="str">
        <f>[1]Reg!HJ1</f>
        <v>BLNK</v>
      </c>
      <c r="HK1" t="str">
        <f>[1]Reg!HK1</f>
        <v>BLNK1</v>
      </c>
      <c r="HL1" t="str">
        <f>[1]Reg!HL1</f>
        <v>BLNK2</v>
      </c>
      <c r="HM1" t="str">
        <f>[1]Reg!HM1</f>
        <v>ENI</v>
      </c>
      <c r="HN1" t="str">
        <f>[1]Reg!HN1</f>
        <v>ENI1</v>
      </c>
      <c r="HO1" t="str">
        <f>[1]Reg!HO1</f>
        <v>ENI2</v>
      </c>
      <c r="HP1" t="str">
        <f>[1]Reg!HP1</f>
        <v>EZJ</v>
      </c>
      <c r="HQ1" t="str">
        <f>[1]Reg!HQ1</f>
        <v>EZJ1</v>
      </c>
      <c r="HR1" t="str">
        <f>[1]Reg!HR1</f>
        <v>EZJ2</v>
      </c>
      <c r="HS1" t="str">
        <f>[1]Reg!HS1</f>
        <v>F</v>
      </c>
      <c r="HT1" t="str">
        <f>[1]Reg!HT1</f>
        <v>F1</v>
      </c>
      <c r="HU1" t="str">
        <f>[1]Reg!HU1</f>
        <v>F2</v>
      </c>
      <c r="HV1" t="str">
        <f>[1]Reg!HV1</f>
        <v>GLE</v>
      </c>
      <c r="HW1" t="str">
        <f>[1]Reg!HW1</f>
        <v>GLE1</v>
      </c>
      <c r="HX1" t="str">
        <f>[1]Reg!HX1</f>
        <v>GLE2</v>
      </c>
      <c r="HY1" t="str">
        <f>[1]Reg!HY1</f>
        <v>GNRC</v>
      </c>
      <c r="HZ1" t="str">
        <f>[1]Reg!HZ1</f>
        <v>GNRC1</v>
      </c>
      <c r="IA1" t="str">
        <f>[1]Reg!IA1</f>
        <v>GNRC2</v>
      </c>
      <c r="IB1" t="str">
        <f>[1]Reg!IB1</f>
        <v>GS</v>
      </c>
      <c r="IC1" t="str">
        <f>[1]Reg!IC1</f>
        <v>GS1</v>
      </c>
      <c r="ID1" t="str">
        <f>[1]Reg!ID1</f>
        <v>GS2</v>
      </c>
      <c r="IE1" t="str">
        <f>[1]Reg!IE1</f>
        <v>LAZR</v>
      </c>
      <c r="IF1" t="str">
        <f>[1]Reg!IF1</f>
        <v>LAZR1</v>
      </c>
      <c r="IG1" t="str">
        <f>[1]Reg!IG1</f>
        <v>LAZR2</v>
      </c>
      <c r="IH1" t="str">
        <f>[1]Reg!IH1</f>
        <v>LUV</v>
      </c>
      <c r="II1" t="str">
        <f>[1]Reg!II1</f>
        <v>LUV1</v>
      </c>
      <c r="IJ1" t="str">
        <f>[1]Reg!IJ1</f>
        <v>LUV2</v>
      </c>
      <c r="IK1" t="str">
        <f>[1]Reg!IK1</f>
        <v>MA</v>
      </c>
      <c r="IL1" t="str">
        <f>[1]Reg!IL1</f>
        <v>MA1</v>
      </c>
      <c r="IM1" t="str">
        <f>[1]Reg!IM1</f>
        <v>MA2</v>
      </c>
      <c r="IN1" t="str">
        <f>[1]Reg!IN1</f>
        <v>NVAX</v>
      </c>
      <c r="IO1" t="str">
        <f>[1]Reg!IO1</f>
        <v>NVAX1</v>
      </c>
      <c r="IP1" t="str">
        <f>[1]Reg!IP1</f>
        <v>NVAX2</v>
      </c>
      <c r="IQ1" t="str">
        <f>[1]Reg!IQ1</f>
        <v>NVS</v>
      </c>
      <c r="IR1" t="str">
        <f>[1]Reg!IR1</f>
        <v>NVS1</v>
      </c>
      <c r="IS1" t="str">
        <f>[1]Reg!IS1</f>
        <v>NVS2</v>
      </c>
      <c r="IT1" t="str">
        <f>[1]Reg!IT1</f>
        <v>ORA</v>
      </c>
      <c r="IU1" t="str">
        <f>[1]Reg!IU1</f>
        <v>ORA1</v>
      </c>
      <c r="IV1" t="str">
        <f>[1]Reg!IV1</f>
        <v>ORA2</v>
      </c>
      <c r="IW1" t="str">
        <f>[1]Reg!IW1</f>
        <v>OXY</v>
      </c>
      <c r="IX1" t="str">
        <f>[1]Reg!IX1</f>
        <v>OXY1</v>
      </c>
      <c r="IY1" t="str">
        <f>[1]Reg!IY1</f>
        <v>OXY2</v>
      </c>
      <c r="IZ1" t="str">
        <f>[1]Reg!IZ1</f>
        <v>PFE</v>
      </c>
      <c r="JA1" t="str">
        <f>[1]Reg!JA1</f>
        <v>PFE1</v>
      </c>
      <c r="JB1" t="str">
        <f>[1]Reg!JB1</f>
        <v>PFE2</v>
      </c>
      <c r="JC1" t="str">
        <f>[1]Reg!JC1</f>
        <v>RIG</v>
      </c>
      <c r="JD1" t="str">
        <f>[1]Reg!JD1</f>
        <v>RIG1</v>
      </c>
      <c r="JE1" t="str">
        <f>[1]Reg!JE1</f>
        <v>RIG2</v>
      </c>
      <c r="JF1" t="str">
        <f>[1]Reg!JF1</f>
        <v>RRC</v>
      </c>
      <c r="JG1" t="str">
        <f>[1]Reg!JG1</f>
        <v>RRC1</v>
      </c>
      <c r="JH1" t="str">
        <f>[1]Reg!JH1</f>
        <v>RRC2</v>
      </c>
      <c r="JI1" t="str">
        <f>[1]Reg!JI1</f>
        <v>XYZ</v>
      </c>
      <c r="JJ1" t="str">
        <f>[1]Reg!JJ1</f>
        <v>XYZ1</v>
      </c>
      <c r="JK1" t="str">
        <f>[1]Reg!JK1</f>
        <v>XYZ2</v>
      </c>
      <c r="JL1" t="str">
        <f>[1]Reg!JL1</f>
        <v>THC</v>
      </c>
      <c r="JM1" t="str">
        <f>[1]Reg!JM1</f>
        <v>THC1</v>
      </c>
      <c r="JN1" t="str">
        <f>[1]Reg!JN1</f>
        <v>THC2</v>
      </c>
      <c r="JO1" t="str">
        <f>[1]Reg!JO1</f>
        <v>X</v>
      </c>
      <c r="JP1" t="str">
        <f>[1]Reg!JP1</f>
        <v>X1</v>
      </c>
      <c r="JQ1" t="str">
        <f>[1]Reg!JQ1</f>
        <v>X2</v>
      </c>
      <c r="JR1" t="str">
        <f>[1]Reg!JR1</f>
        <v>JBEOAN</v>
      </c>
      <c r="JS1" t="str">
        <f>[1]Reg!JS1</f>
        <v>JBEOAN1</v>
      </c>
      <c r="JT1" t="str">
        <f>[1]Reg!JT1</f>
        <v>JBEOAN2</v>
      </c>
      <c r="JU1" t="str">
        <f>[1]Reg!JU1</f>
        <v>LOCK</v>
      </c>
      <c r="JV1" t="str">
        <f>[1]Reg!JV1</f>
        <v>LOCK1</v>
      </c>
      <c r="JW1" t="str">
        <f>[1]Reg!JW1</f>
        <v>LOCK2</v>
      </c>
      <c r="JX1" t="str">
        <f>[1]Reg!JX1</f>
        <v>UnknownX</v>
      </c>
      <c r="JY1" t="str">
        <f>[1]Reg!JY1</f>
        <v>UnknownX1</v>
      </c>
      <c r="JZ1" t="str">
        <f>[1]Reg!JZ1</f>
        <v>UnknownX2</v>
      </c>
      <c r="KA1" t="str">
        <f>[1]Reg!KA1</f>
        <v>UnknownX</v>
      </c>
      <c r="KB1" t="str">
        <f>[1]Reg!KB1</f>
        <v>UnknownX1</v>
      </c>
      <c r="KC1" t="str">
        <f>[1]Reg!KC1</f>
        <v>UnknownX2</v>
      </c>
      <c r="KD1" t="str">
        <f>[1]Reg!KD1</f>
        <v>UnknownX</v>
      </c>
      <c r="KE1" t="str">
        <f>[1]Reg!KE1</f>
        <v>UnknownX1</v>
      </c>
      <c r="KF1" t="str">
        <f>[1]Reg!KF1</f>
        <v>UnknownX2</v>
      </c>
    </row>
    <row r="2" spans="1:294" s="206" customFormat="1" x14ac:dyDescent="0.3">
      <c r="A2" s="208">
        <f>[1]Reg!A2</f>
        <v>0</v>
      </c>
      <c r="B2" s="207">
        <f>[1]Reg!B2</f>
        <v>0</v>
      </c>
      <c r="C2" s="207">
        <f>[1]Reg!C2</f>
        <v>0</v>
      </c>
      <c r="D2" s="207">
        <f>[1]Reg!D2</f>
        <v>0</v>
      </c>
      <c r="E2" s="207">
        <f>[1]Reg!E2</f>
        <v>0</v>
      </c>
      <c r="F2" s="207">
        <f>[1]Reg!F2</f>
        <v>0</v>
      </c>
      <c r="G2" s="207">
        <f>[1]Reg!G2</f>
        <v>0</v>
      </c>
      <c r="H2" s="207">
        <f>[1]Reg!H2</f>
        <v>0</v>
      </c>
      <c r="I2" s="207">
        <f>[1]Reg!I2</f>
        <v>0</v>
      </c>
      <c r="J2" s="207">
        <f>[1]Reg!J2</f>
        <v>0</v>
      </c>
      <c r="K2" s="207">
        <f>[1]Reg!K2</f>
        <v>0</v>
      </c>
      <c r="L2" s="207">
        <f>[1]Reg!L2</f>
        <v>0</v>
      </c>
      <c r="M2" s="207">
        <f>[1]Reg!M2</f>
        <v>0</v>
      </c>
      <c r="N2" s="207">
        <f>[1]Reg!N2</f>
        <v>0</v>
      </c>
      <c r="O2" s="207">
        <f>[1]Reg!O2</f>
        <v>0</v>
      </c>
      <c r="P2" s="207">
        <f>[1]Reg!P2</f>
        <v>0</v>
      </c>
      <c r="Q2" s="207">
        <f>[1]Reg!Q2</f>
        <v>0</v>
      </c>
      <c r="R2" s="207">
        <f>[1]Reg!R2</f>
        <v>0</v>
      </c>
      <c r="S2" s="207">
        <f>[1]Reg!S2</f>
        <v>0</v>
      </c>
      <c r="T2" s="207"/>
      <c r="U2" s="207"/>
      <c r="V2" s="207"/>
      <c r="W2" s="207">
        <f>[1]Reg!W2</f>
        <v>0</v>
      </c>
      <c r="X2" s="207">
        <f>[1]Reg!X2</f>
        <v>0</v>
      </c>
      <c r="Y2" s="207">
        <f>[1]Reg!Y2</f>
        <v>0</v>
      </c>
      <c r="Z2" s="207">
        <f>[1]Reg!Z2</f>
        <v>0</v>
      </c>
      <c r="AA2" s="207">
        <f>[1]Reg!AA2</f>
        <v>0</v>
      </c>
      <c r="AB2" s="207">
        <f>[1]Reg!AB2</f>
        <v>0</v>
      </c>
      <c r="AC2" s="207">
        <f>[1]Reg!AC2</f>
        <v>0</v>
      </c>
      <c r="AD2" s="207">
        <f>[1]Reg!AD2</f>
        <v>0</v>
      </c>
      <c r="AE2" s="207">
        <f>[1]Reg!AE2</f>
        <v>0</v>
      </c>
      <c r="AF2" s="207">
        <f>[1]Reg!AF2</f>
        <v>0</v>
      </c>
      <c r="AG2" s="207">
        <f>[1]Reg!AG2</f>
        <v>0</v>
      </c>
      <c r="AH2" s="207">
        <f>[1]Reg!AH2</f>
        <v>0</v>
      </c>
      <c r="AI2" s="207">
        <f>[1]Reg!AI2</f>
        <v>0</v>
      </c>
      <c r="AJ2" s="207">
        <f>[1]Reg!AJ2</f>
        <v>0</v>
      </c>
      <c r="AK2" s="207">
        <f>[1]Reg!AK2</f>
        <v>0</v>
      </c>
      <c r="AL2" s="207">
        <f>[1]Reg!AL2</f>
        <v>0</v>
      </c>
      <c r="AM2" s="207">
        <f>[1]Reg!AM2</f>
        <v>0</v>
      </c>
      <c r="AN2" s="207">
        <f>[1]Reg!AN2</f>
        <v>0</v>
      </c>
      <c r="AO2" s="207">
        <f>[1]Reg!AO2</f>
        <v>0</v>
      </c>
      <c r="AP2" s="207">
        <f>[1]Reg!AP2</f>
        <v>0</v>
      </c>
      <c r="AQ2" s="207">
        <f>[1]Reg!AQ2</f>
        <v>0</v>
      </c>
      <c r="AR2" s="207">
        <f>[1]Reg!AR2</f>
        <v>0</v>
      </c>
      <c r="AS2" s="207">
        <f>[1]Reg!AS2</f>
        <v>0</v>
      </c>
      <c r="AT2" s="207">
        <f>[1]Reg!AT2</f>
        <v>0</v>
      </c>
      <c r="AU2" s="207">
        <f>[1]Reg!AU2</f>
        <v>0</v>
      </c>
      <c r="AV2" s="207">
        <f>[1]Reg!AV2</f>
        <v>0</v>
      </c>
      <c r="AW2" s="207">
        <f>[1]Reg!AW2</f>
        <v>0</v>
      </c>
      <c r="AX2" s="207">
        <f>[1]Reg!AX2</f>
        <v>0</v>
      </c>
      <c r="AY2" s="207">
        <f>[1]Reg!AY2</f>
        <v>0</v>
      </c>
      <c r="AZ2" s="207">
        <f>[1]Reg!AZ2</f>
        <v>0</v>
      </c>
      <c r="BA2" s="207">
        <f>[1]Reg!BA2</f>
        <v>0</v>
      </c>
      <c r="BB2" s="207">
        <f>[1]Reg!BB2</f>
        <v>0</v>
      </c>
      <c r="BC2" s="207">
        <f>[1]Reg!BC2</f>
        <v>0</v>
      </c>
      <c r="BD2" s="207">
        <f>[1]Reg!BD2</f>
        <v>0</v>
      </c>
      <c r="BE2" s="207">
        <f>[1]Reg!BE2</f>
        <v>0</v>
      </c>
      <c r="BF2" s="207">
        <f>[1]Reg!BF2</f>
        <v>0</v>
      </c>
      <c r="BG2" s="207">
        <f>[1]Reg!BG2</f>
        <v>0</v>
      </c>
      <c r="BH2" s="207">
        <f>[1]Reg!BH2</f>
        <v>0</v>
      </c>
      <c r="BI2" s="207">
        <f>[1]Reg!BI2</f>
        <v>0</v>
      </c>
      <c r="BJ2" s="207">
        <f>[1]Reg!BJ2</f>
        <v>0</v>
      </c>
      <c r="BK2" s="207">
        <f>[1]Reg!BK2</f>
        <v>0</v>
      </c>
      <c r="BL2" s="207">
        <f>[1]Reg!BL2</f>
        <v>0</v>
      </c>
      <c r="BM2" s="207">
        <f>[1]Reg!BM2</f>
        <v>0</v>
      </c>
      <c r="BN2" s="207">
        <f>[1]Reg!BN2</f>
        <v>0</v>
      </c>
      <c r="BO2" s="207">
        <f>[1]Reg!BO2</f>
        <v>0</v>
      </c>
      <c r="BP2" s="207">
        <f>[1]Reg!BP2</f>
        <v>0</v>
      </c>
      <c r="BQ2" s="207">
        <f>[1]Reg!BQ2</f>
        <v>0</v>
      </c>
      <c r="BR2" s="207">
        <f>[1]Reg!BR2</f>
        <v>0</v>
      </c>
      <c r="BS2" s="207">
        <f>[1]Reg!BS2</f>
        <v>0</v>
      </c>
      <c r="BT2" s="207">
        <f>[1]Reg!BT2</f>
        <v>0</v>
      </c>
      <c r="BU2" s="207">
        <f>[1]Reg!BU2</f>
        <v>0</v>
      </c>
      <c r="BV2" s="207">
        <f>[1]Reg!BV2</f>
        <v>0</v>
      </c>
      <c r="BW2" s="207">
        <f>[1]Reg!BW2</f>
        <v>0</v>
      </c>
      <c r="BX2" s="207">
        <f>[1]Reg!BX2</f>
        <v>0</v>
      </c>
      <c r="BY2" s="207">
        <f>[1]Reg!BY2</f>
        <v>0</v>
      </c>
      <c r="BZ2" s="207">
        <f>[1]Reg!BZ2</f>
        <v>0</v>
      </c>
      <c r="CA2" s="207">
        <f>[1]Reg!CA2</f>
        <v>0</v>
      </c>
      <c r="CB2" s="207">
        <f>[1]Reg!CB2</f>
        <v>0</v>
      </c>
      <c r="CC2" s="207">
        <f>[1]Reg!CC2</f>
        <v>0</v>
      </c>
      <c r="CD2" s="207">
        <f>[1]Reg!CD2</f>
        <v>0</v>
      </c>
      <c r="CE2" s="207">
        <f>[1]Reg!CE2</f>
        <v>0</v>
      </c>
      <c r="CF2" s="207">
        <f>[1]Reg!CF2</f>
        <v>0</v>
      </c>
      <c r="CG2" s="207">
        <f>[1]Reg!CG2</f>
        <v>0</v>
      </c>
      <c r="CH2" s="207">
        <f>[1]Reg!CH2</f>
        <v>0</v>
      </c>
      <c r="CI2" s="207">
        <f>[1]Reg!CI2</f>
        <v>0</v>
      </c>
      <c r="CJ2" s="207">
        <f>[1]Reg!CJ2</f>
        <v>0</v>
      </c>
      <c r="CK2" s="207">
        <f>[1]Reg!CK2</f>
        <v>0</v>
      </c>
      <c r="CL2" s="207">
        <f>[1]Reg!CL2</f>
        <v>0</v>
      </c>
      <c r="CM2" s="207">
        <f>[1]Reg!CM2</f>
        <v>0</v>
      </c>
      <c r="CN2" s="207">
        <f>[1]Reg!CN2</f>
        <v>0</v>
      </c>
      <c r="CO2" s="207">
        <f>[1]Reg!CO2</f>
        <v>0</v>
      </c>
      <c r="CP2" s="207">
        <f>[1]Reg!CP2</f>
        <v>0</v>
      </c>
      <c r="CQ2" s="207">
        <f>[1]Reg!CQ2</f>
        <v>0</v>
      </c>
      <c r="CR2" s="207">
        <f>[1]Reg!CR2</f>
        <v>0</v>
      </c>
      <c r="CS2" s="207">
        <f>[1]Reg!CS2</f>
        <v>0</v>
      </c>
      <c r="CT2" s="207">
        <f>[1]Reg!CT2</f>
        <v>0</v>
      </c>
      <c r="CU2" s="207">
        <f>[1]Reg!CU2</f>
        <v>0</v>
      </c>
      <c r="CV2" s="207">
        <f>[1]Reg!CV2</f>
        <v>0</v>
      </c>
      <c r="CW2" s="207">
        <f>[1]Reg!CW2</f>
        <v>0</v>
      </c>
      <c r="CX2" s="207">
        <f>[1]Reg!CX2</f>
        <v>0</v>
      </c>
      <c r="CY2" s="207">
        <f>[1]Reg!CY2</f>
        <v>0</v>
      </c>
      <c r="CZ2" s="207">
        <f>[1]Reg!CZ2</f>
        <v>0</v>
      </c>
      <c r="DA2" s="207">
        <f>[1]Reg!DA2</f>
        <v>0</v>
      </c>
      <c r="DB2" s="207">
        <f>[1]Reg!DB2</f>
        <v>0</v>
      </c>
      <c r="DC2" s="207">
        <f>[1]Reg!DC2</f>
        <v>0</v>
      </c>
      <c r="DD2" s="207">
        <f>[1]Reg!DD2</f>
        <v>0</v>
      </c>
      <c r="DE2" s="207">
        <f>[1]Reg!DE2</f>
        <v>0</v>
      </c>
      <c r="DF2" s="207">
        <f>[1]Reg!DF2</f>
        <v>0</v>
      </c>
      <c r="DG2" s="207">
        <f>[1]Reg!DG2</f>
        <v>0</v>
      </c>
      <c r="DH2" s="207">
        <f>[1]Reg!DH2</f>
        <v>0</v>
      </c>
      <c r="DI2" s="207">
        <f>[1]Reg!DI2</f>
        <v>0</v>
      </c>
      <c r="DJ2" s="207">
        <f>[1]Reg!DJ2</f>
        <v>0</v>
      </c>
      <c r="DK2" s="207">
        <f>[1]Reg!DK2</f>
        <v>0</v>
      </c>
      <c r="DL2" s="207">
        <f>[1]Reg!DL2</f>
        <v>0</v>
      </c>
      <c r="DM2" s="207">
        <f>[1]Reg!DM2</f>
        <v>0</v>
      </c>
      <c r="DN2" s="207">
        <f>[1]Reg!DN2</f>
        <v>0</v>
      </c>
      <c r="DO2" s="207">
        <f>[1]Reg!DO2</f>
        <v>0</v>
      </c>
      <c r="DP2" s="207">
        <f>[1]Reg!DP2</f>
        <v>0</v>
      </c>
      <c r="DQ2" s="207">
        <f>[1]Reg!DQ2</f>
        <v>0</v>
      </c>
      <c r="DR2" s="207">
        <f>[1]Reg!DR2</f>
        <v>0</v>
      </c>
      <c r="DS2" s="207">
        <f>[1]Reg!DS2</f>
        <v>0</v>
      </c>
      <c r="DT2" s="207">
        <f>[1]Reg!DT2</f>
        <v>0</v>
      </c>
      <c r="DU2" s="207">
        <f>[1]Reg!DU2</f>
        <v>0</v>
      </c>
      <c r="DV2" s="207">
        <f>[1]Reg!DV2</f>
        <v>0</v>
      </c>
      <c r="DW2" s="207">
        <f>[1]Reg!DW2</f>
        <v>0</v>
      </c>
      <c r="DX2" s="207">
        <f>[1]Reg!DX2</f>
        <v>0</v>
      </c>
      <c r="DY2" s="207">
        <f>[1]Reg!DY2</f>
        <v>0</v>
      </c>
      <c r="DZ2" s="207">
        <f>[1]Reg!DZ2</f>
        <v>0</v>
      </c>
      <c r="EA2" s="207">
        <f>[1]Reg!EA2</f>
        <v>0</v>
      </c>
      <c r="EB2" s="207">
        <f>[1]Reg!EB2</f>
        <v>0</v>
      </c>
      <c r="EC2" s="207">
        <f>[1]Reg!EC2</f>
        <v>0</v>
      </c>
      <c r="ED2" s="207">
        <f>[1]Reg!ED2</f>
        <v>0</v>
      </c>
      <c r="EE2" s="207">
        <f>[1]Reg!EE2</f>
        <v>0</v>
      </c>
      <c r="EF2" s="207">
        <f>[1]Reg!EF2</f>
        <v>0</v>
      </c>
      <c r="EG2" s="207">
        <f>[1]Reg!EG2</f>
        <v>0</v>
      </c>
      <c r="EH2" s="207">
        <f>[1]Reg!EH2</f>
        <v>0</v>
      </c>
      <c r="EI2" s="207">
        <f>[1]Reg!EI2</f>
        <v>0</v>
      </c>
      <c r="EJ2" s="207">
        <f>[1]Reg!EJ2</f>
        <v>0</v>
      </c>
      <c r="EK2" s="207">
        <f>[1]Reg!EK2</f>
        <v>0</v>
      </c>
      <c r="EL2" s="207">
        <f>[1]Reg!EL2</f>
        <v>0</v>
      </c>
      <c r="EM2" s="207">
        <f>[1]Reg!EM2</f>
        <v>0</v>
      </c>
      <c r="EN2" s="207">
        <f>[1]Reg!EN2</f>
        <v>0</v>
      </c>
      <c r="EO2" s="207">
        <f>[1]Reg!EO2</f>
        <v>0</v>
      </c>
      <c r="EP2" s="207">
        <f>[1]Reg!EP2</f>
        <v>0</v>
      </c>
      <c r="EQ2" s="207">
        <f>[1]Reg!EQ2</f>
        <v>0</v>
      </c>
      <c r="ER2" s="207">
        <f>[1]Reg!ER2</f>
        <v>0</v>
      </c>
      <c r="ES2" s="207">
        <f>[1]Reg!ES2</f>
        <v>0</v>
      </c>
      <c r="ET2" s="207">
        <f>[1]Reg!ET2</f>
        <v>0</v>
      </c>
      <c r="EU2" s="207">
        <f>[1]Reg!EU2</f>
        <v>0</v>
      </c>
      <c r="EV2" s="207">
        <f>[1]Reg!EV2</f>
        <v>0</v>
      </c>
      <c r="EW2" s="207">
        <f>[1]Reg!EW2</f>
        <v>0</v>
      </c>
      <c r="EX2" s="207">
        <f>[1]Reg!EX2</f>
        <v>0</v>
      </c>
      <c r="EY2" s="207">
        <f>[1]Reg!EY2</f>
        <v>0</v>
      </c>
      <c r="EZ2" s="207">
        <f>[1]Reg!EZ2</f>
        <v>0</v>
      </c>
      <c r="FA2" s="207">
        <f>[1]Reg!FA2</f>
        <v>0</v>
      </c>
      <c r="FB2" s="207">
        <f>[1]Reg!FB2</f>
        <v>0</v>
      </c>
      <c r="FC2" s="207">
        <f>[1]Reg!FC2</f>
        <v>0</v>
      </c>
      <c r="FD2" s="207">
        <f>[1]Reg!FD2</f>
        <v>0</v>
      </c>
      <c r="FE2" s="207">
        <f>[1]Reg!FE2</f>
        <v>0</v>
      </c>
      <c r="FF2" s="207">
        <f>[1]Reg!FF2</f>
        <v>0</v>
      </c>
      <c r="FG2" s="207">
        <f>[1]Reg!FG2</f>
        <v>0</v>
      </c>
      <c r="FH2" s="207">
        <f>[1]Reg!FH2</f>
        <v>0</v>
      </c>
      <c r="FI2" s="207">
        <f>[1]Reg!FI2</f>
        <v>0</v>
      </c>
      <c r="FJ2" s="207">
        <f>[1]Reg!FJ2</f>
        <v>0</v>
      </c>
      <c r="FK2" s="207">
        <f>[1]Reg!FK2</f>
        <v>0</v>
      </c>
      <c r="FL2" s="207">
        <f>[1]Reg!FL2</f>
        <v>0</v>
      </c>
      <c r="FM2" s="207">
        <f>[1]Reg!FM2</f>
        <v>0</v>
      </c>
      <c r="FN2" s="207">
        <f>[1]Reg!FN2</f>
        <v>0</v>
      </c>
      <c r="FO2" s="207">
        <f>[1]Reg!FO2</f>
        <v>0</v>
      </c>
      <c r="FP2" s="207">
        <f>[1]Reg!FP2</f>
        <v>0</v>
      </c>
      <c r="FQ2" s="207">
        <f>[1]Reg!FQ2</f>
        <v>0</v>
      </c>
      <c r="FR2" s="207">
        <f>[1]Reg!FR2</f>
        <v>0</v>
      </c>
      <c r="FS2" s="207">
        <f>[1]Reg!FS2</f>
        <v>0</v>
      </c>
      <c r="FT2" s="207">
        <f>[1]Reg!FT2</f>
        <v>0</v>
      </c>
      <c r="FU2" s="207">
        <f>[1]Reg!FU2</f>
        <v>0</v>
      </c>
      <c r="FV2" s="207">
        <f>[1]Reg!FV2</f>
        <v>0</v>
      </c>
      <c r="FW2" s="207">
        <f>[1]Reg!FW2</f>
        <v>0</v>
      </c>
      <c r="FX2" s="207">
        <f>[1]Reg!FX2</f>
        <v>0</v>
      </c>
      <c r="FY2" s="207">
        <f>[1]Reg!FY2</f>
        <v>0</v>
      </c>
      <c r="FZ2" s="207">
        <f>[1]Reg!FZ2</f>
        <v>0</v>
      </c>
      <c r="GA2" s="207">
        <f>[1]Reg!GA2</f>
        <v>0</v>
      </c>
      <c r="GB2" s="207">
        <f>[1]Reg!GB2</f>
        <v>0</v>
      </c>
      <c r="GC2" s="207">
        <f>[1]Reg!GC2</f>
        <v>0</v>
      </c>
      <c r="GD2" s="207">
        <f>[1]Reg!GD2</f>
        <v>0</v>
      </c>
      <c r="GE2" s="207">
        <f>[1]Reg!GE2</f>
        <v>0</v>
      </c>
      <c r="GF2" s="207">
        <f>[1]Reg!GF2</f>
        <v>0</v>
      </c>
      <c r="GG2" s="207">
        <f>[1]Reg!GG2</f>
        <v>0</v>
      </c>
      <c r="GH2" s="207">
        <f>[1]Reg!GH2</f>
        <v>0</v>
      </c>
      <c r="GI2" s="207">
        <f>[1]Reg!GI2</f>
        <v>0</v>
      </c>
      <c r="GJ2" s="207">
        <f>[1]Reg!GJ2</f>
        <v>0</v>
      </c>
      <c r="GK2" s="207">
        <f>[1]Reg!GK2</f>
        <v>0</v>
      </c>
      <c r="GL2" s="207">
        <f>[1]Reg!GL2</f>
        <v>0</v>
      </c>
      <c r="GM2" s="207">
        <f>[1]Reg!GM2</f>
        <v>0</v>
      </c>
      <c r="GN2" s="207">
        <f>[1]Reg!GN2</f>
        <v>0</v>
      </c>
      <c r="GO2" s="207">
        <f>[1]Reg!GO2</f>
        <v>0</v>
      </c>
      <c r="GP2" s="207">
        <f>[1]Reg!GP2</f>
        <v>0</v>
      </c>
      <c r="GQ2" s="207">
        <f>[1]Reg!GQ2</f>
        <v>0</v>
      </c>
      <c r="GR2" s="207">
        <f>[1]Reg!GR2</f>
        <v>0</v>
      </c>
      <c r="GS2" s="207">
        <f>[1]Reg!GS2</f>
        <v>0</v>
      </c>
      <c r="GT2" s="207">
        <f>[1]Reg!GT2</f>
        <v>0</v>
      </c>
      <c r="GU2" s="207">
        <f>[1]Reg!GU2</f>
        <v>0</v>
      </c>
      <c r="GV2" s="207">
        <f>[1]Reg!GV2</f>
        <v>0</v>
      </c>
      <c r="GW2" s="207">
        <f>[1]Reg!GW2</f>
        <v>0</v>
      </c>
      <c r="GX2" s="207">
        <f>[1]Reg!GX2</f>
        <v>0</v>
      </c>
      <c r="GY2" s="207">
        <f>[1]Reg!GY2</f>
        <v>0</v>
      </c>
      <c r="GZ2" s="207">
        <f>[1]Reg!GZ2</f>
        <v>0</v>
      </c>
      <c r="HA2" s="207">
        <f>[1]Reg!HA2</f>
        <v>0</v>
      </c>
      <c r="HB2" s="207">
        <f>[1]Reg!HB2</f>
        <v>0</v>
      </c>
      <c r="HC2" s="207">
        <f>[1]Reg!HC2</f>
        <v>0</v>
      </c>
      <c r="HD2" s="207">
        <f>[1]Reg!HD2</f>
        <v>0</v>
      </c>
      <c r="HE2" s="207">
        <f>[1]Reg!HE2</f>
        <v>0</v>
      </c>
      <c r="HF2" s="207">
        <f>[1]Reg!HF2</f>
        <v>0</v>
      </c>
      <c r="HG2" s="207">
        <f>[1]Reg!HG2</f>
        <v>0</v>
      </c>
      <c r="HH2" s="207">
        <f>[1]Reg!HH2</f>
        <v>0</v>
      </c>
      <c r="HI2" s="207">
        <f>[1]Reg!HI2</f>
        <v>0</v>
      </c>
      <c r="HJ2" s="207">
        <f>[1]Reg!HJ2</f>
        <v>0</v>
      </c>
      <c r="HK2" s="207">
        <f>[1]Reg!HK2</f>
        <v>0</v>
      </c>
      <c r="HL2" s="207">
        <f>[1]Reg!HL2</f>
        <v>0</v>
      </c>
      <c r="HM2" s="207">
        <f>[1]Reg!HM2</f>
        <v>0</v>
      </c>
      <c r="HN2" s="207">
        <f>[1]Reg!HN2</f>
        <v>0</v>
      </c>
      <c r="HO2" s="207">
        <f>[1]Reg!HO2</f>
        <v>0</v>
      </c>
      <c r="HP2" s="207">
        <f>[1]Reg!HP2</f>
        <v>0</v>
      </c>
      <c r="HQ2" s="207">
        <f>[1]Reg!HQ2</f>
        <v>0</v>
      </c>
      <c r="HR2" s="207">
        <f>[1]Reg!HR2</f>
        <v>0</v>
      </c>
      <c r="HS2" s="207">
        <f>[1]Reg!HS2</f>
        <v>0</v>
      </c>
      <c r="HT2" s="207">
        <f>[1]Reg!HT2</f>
        <v>0</v>
      </c>
      <c r="HU2" s="207">
        <f>[1]Reg!HU2</f>
        <v>0</v>
      </c>
      <c r="HV2" s="207">
        <f>[1]Reg!HV2</f>
        <v>0</v>
      </c>
      <c r="HW2" s="207">
        <f>[1]Reg!HW2</f>
        <v>0</v>
      </c>
      <c r="HX2" s="207">
        <f>[1]Reg!HX2</f>
        <v>0</v>
      </c>
      <c r="HY2" s="207">
        <f>[1]Reg!HY2</f>
        <v>0</v>
      </c>
      <c r="HZ2" s="207">
        <f>[1]Reg!HZ2</f>
        <v>0</v>
      </c>
      <c r="IA2" s="207">
        <f>[1]Reg!IA2</f>
        <v>0</v>
      </c>
      <c r="IB2" s="207">
        <f>[1]Reg!IB2</f>
        <v>0</v>
      </c>
      <c r="IC2" s="207">
        <f>[1]Reg!IC2</f>
        <v>0</v>
      </c>
      <c r="ID2" s="207">
        <f>[1]Reg!ID2</f>
        <v>0</v>
      </c>
      <c r="IE2" s="207">
        <f>[1]Reg!IE2</f>
        <v>0</v>
      </c>
      <c r="IF2" s="207">
        <f>[1]Reg!IF2</f>
        <v>0</v>
      </c>
      <c r="IG2" s="207">
        <f>[1]Reg!IG2</f>
        <v>0</v>
      </c>
      <c r="IH2" s="207">
        <f>[1]Reg!IH2</f>
        <v>0</v>
      </c>
      <c r="II2" s="207">
        <f>[1]Reg!II2</f>
        <v>0</v>
      </c>
      <c r="IJ2" s="207">
        <f>[1]Reg!IJ2</f>
        <v>0</v>
      </c>
      <c r="IK2" s="207">
        <f>[1]Reg!IK2</f>
        <v>0</v>
      </c>
      <c r="IL2" s="207">
        <f>[1]Reg!IL2</f>
        <v>0</v>
      </c>
      <c r="IM2" s="207">
        <f>[1]Reg!IM2</f>
        <v>0</v>
      </c>
      <c r="IN2" s="207">
        <f>[1]Reg!IN2</f>
        <v>0</v>
      </c>
      <c r="IO2" s="207">
        <f>[1]Reg!IO2</f>
        <v>0</v>
      </c>
      <c r="IP2" s="207">
        <f>[1]Reg!IP2</f>
        <v>0</v>
      </c>
      <c r="IQ2" s="207">
        <f>[1]Reg!IQ2</f>
        <v>0</v>
      </c>
      <c r="IR2" s="207">
        <f>[1]Reg!IR2</f>
        <v>0</v>
      </c>
      <c r="IS2" s="207">
        <f>[1]Reg!IS2</f>
        <v>0</v>
      </c>
      <c r="IT2" s="207">
        <f>[1]Reg!IT2</f>
        <v>0</v>
      </c>
      <c r="IU2" s="207">
        <f>[1]Reg!IU2</f>
        <v>0</v>
      </c>
      <c r="IV2" s="207">
        <f>[1]Reg!IV2</f>
        <v>0</v>
      </c>
      <c r="IW2" s="207">
        <f>[1]Reg!IW2</f>
        <v>0</v>
      </c>
      <c r="IX2" s="207">
        <f>[1]Reg!IX2</f>
        <v>0</v>
      </c>
      <c r="IY2" s="207">
        <f>[1]Reg!IY2</f>
        <v>0</v>
      </c>
      <c r="IZ2" s="207">
        <f>[1]Reg!IZ2</f>
        <v>0</v>
      </c>
      <c r="JA2" s="207">
        <f>[1]Reg!JA2</f>
        <v>0</v>
      </c>
      <c r="JB2" s="207">
        <f>[1]Reg!JB2</f>
        <v>0</v>
      </c>
      <c r="JC2" s="207">
        <f>[1]Reg!JC2</f>
        <v>0</v>
      </c>
      <c r="JD2" s="207">
        <f>[1]Reg!JD2</f>
        <v>0</v>
      </c>
      <c r="JE2" s="207">
        <f>[1]Reg!JE2</f>
        <v>0</v>
      </c>
      <c r="JF2" s="207">
        <f>[1]Reg!JF2</f>
        <v>0</v>
      </c>
      <c r="JG2" s="207">
        <f>[1]Reg!JG2</f>
        <v>0</v>
      </c>
      <c r="JH2" s="207">
        <f>[1]Reg!JH2</f>
        <v>0</v>
      </c>
      <c r="JI2" s="207">
        <f>[1]Reg!JI2</f>
        <v>0</v>
      </c>
      <c r="JJ2" s="207">
        <f>[1]Reg!JJ2</f>
        <v>0</v>
      </c>
      <c r="JK2" s="207">
        <f>[1]Reg!JK2</f>
        <v>0</v>
      </c>
      <c r="JL2" s="207">
        <f>[1]Reg!JL2</f>
        <v>0</v>
      </c>
      <c r="JM2" s="207">
        <f>[1]Reg!JM2</f>
        <v>0</v>
      </c>
      <c r="JN2" s="207">
        <f>[1]Reg!JN2</f>
        <v>0</v>
      </c>
      <c r="JO2" s="207">
        <f>[1]Reg!JO2</f>
        <v>0</v>
      </c>
      <c r="JP2" s="207">
        <f>[1]Reg!JP2</f>
        <v>0</v>
      </c>
      <c r="JQ2" s="207">
        <f>[1]Reg!JQ2</f>
        <v>0</v>
      </c>
      <c r="JR2" s="207">
        <f>[1]Reg!JR2</f>
        <v>0</v>
      </c>
      <c r="JS2" s="207">
        <f>[1]Reg!JS2</f>
        <v>0</v>
      </c>
      <c r="JT2" s="207">
        <f>[1]Reg!JT2</f>
        <v>0</v>
      </c>
    </row>
    <row r="3" spans="1:294" s="200" customFormat="1" x14ac:dyDescent="0.3">
      <c r="A3" s="205" t="s">
        <v>498</v>
      </c>
      <c r="B3" s="204" t="s">
        <v>497</v>
      </c>
      <c r="C3" s="202" t="s">
        <v>496</v>
      </c>
      <c r="D3" s="202" t="s">
        <v>495</v>
      </c>
      <c r="E3" s="204" t="s">
        <v>494</v>
      </c>
      <c r="F3" s="201" t="s">
        <v>493</v>
      </c>
      <c r="G3" s="201" t="s">
        <v>492</v>
      </c>
      <c r="H3" s="202" t="s">
        <v>491</v>
      </c>
      <c r="I3" s="202" t="s">
        <v>490</v>
      </c>
      <c r="J3" s="202" t="s">
        <v>489</v>
      </c>
      <c r="K3" s="201" t="s">
        <v>488</v>
      </c>
      <c r="L3" s="201" t="s">
        <v>487</v>
      </c>
      <c r="M3" s="201" t="s">
        <v>486</v>
      </c>
      <c r="N3" s="202" t="s">
        <v>485</v>
      </c>
      <c r="O3" s="202" t="s">
        <v>484</v>
      </c>
      <c r="P3" s="202" t="s">
        <v>483</v>
      </c>
      <c r="Q3" s="201" t="s">
        <v>482</v>
      </c>
      <c r="R3" s="201" t="s">
        <v>481</v>
      </c>
      <c r="S3" s="201" t="s">
        <v>480</v>
      </c>
      <c r="T3" s="201" t="s">
        <v>479</v>
      </c>
      <c r="U3" s="201" t="s">
        <v>478</v>
      </c>
      <c r="V3" s="201" t="s">
        <v>477</v>
      </c>
      <c r="W3" s="202" t="s">
        <v>476</v>
      </c>
      <c r="X3" s="202" t="s">
        <v>475</v>
      </c>
      <c r="Y3" s="202" t="s">
        <v>474</v>
      </c>
      <c r="Z3" s="201" t="s">
        <v>473</v>
      </c>
      <c r="AA3" s="201" t="s">
        <v>472</v>
      </c>
      <c r="AB3" s="201" t="s">
        <v>471</v>
      </c>
      <c r="AC3" s="202" t="s">
        <v>470</v>
      </c>
      <c r="AD3" s="202" t="s">
        <v>469</v>
      </c>
      <c r="AE3" s="202" t="s">
        <v>468</v>
      </c>
      <c r="AF3" s="201" t="s">
        <v>467</v>
      </c>
      <c r="AG3" s="201" t="s">
        <v>466</v>
      </c>
      <c r="AH3" s="201" t="s">
        <v>465</v>
      </c>
      <c r="AI3" s="202" t="s">
        <v>464</v>
      </c>
      <c r="AJ3" s="202" t="s">
        <v>463</v>
      </c>
      <c r="AK3" s="202" t="s">
        <v>462</v>
      </c>
      <c r="AL3" s="201" t="s">
        <v>461</v>
      </c>
      <c r="AM3" s="201" t="s">
        <v>460</v>
      </c>
      <c r="AN3" s="201" t="s">
        <v>459</v>
      </c>
      <c r="AO3" s="202" t="s">
        <v>458</v>
      </c>
      <c r="AP3" s="202" t="s">
        <v>457</v>
      </c>
      <c r="AQ3" s="202" t="s">
        <v>456</v>
      </c>
      <c r="AR3" s="201" t="s">
        <v>455</v>
      </c>
      <c r="AS3" s="201" t="s">
        <v>454</v>
      </c>
      <c r="AT3" s="201" t="s">
        <v>453</v>
      </c>
      <c r="AU3" s="202" t="s">
        <v>452</v>
      </c>
      <c r="AV3" s="202" t="s">
        <v>451</v>
      </c>
      <c r="AW3" s="202" t="s">
        <v>450</v>
      </c>
      <c r="AX3" s="201" t="s">
        <v>449</v>
      </c>
      <c r="AY3" s="201" t="s">
        <v>448</v>
      </c>
      <c r="AZ3" s="201" t="s">
        <v>447</v>
      </c>
      <c r="BA3" s="202" t="s">
        <v>446</v>
      </c>
      <c r="BB3" s="202" t="s">
        <v>445</v>
      </c>
      <c r="BC3" s="202" t="s">
        <v>444</v>
      </c>
      <c r="BD3" s="201" t="s">
        <v>443</v>
      </c>
      <c r="BE3" s="201" t="s">
        <v>442</v>
      </c>
      <c r="BF3" s="201" t="s">
        <v>441</v>
      </c>
      <c r="BG3" s="202" t="s">
        <v>440</v>
      </c>
      <c r="BH3" s="202" t="s">
        <v>439</v>
      </c>
      <c r="BI3" s="202" t="s">
        <v>438</v>
      </c>
      <c r="BJ3" s="201" t="s">
        <v>437</v>
      </c>
      <c r="BK3" s="201" t="s">
        <v>436</v>
      </c>
      <c r="BL3" s="201" t="s">
        <v>435</v>
      </c>
      <c r="BM3" s="202" t="s">
        <v>434</v>
      </c>
      <c r="BN3" s="202" t="s">
        <v>433</v>
      </c>
      <c r="BO3" s="202" t="s">
        <v>432</v>
      </c>
      <c r="BP3" s="201" t="s">
        <v>431</v>
      </c>
      <c r="BQ3" s="201" t="s">
        <v>430</v>
      </c>
      <c r="BR3" s="201" t="s">
        <v>429</v>
      </c>
      <c r="BS3" s="202" t="s">
        <v>428</v>
      </c>
      <c r="BT3" s="202" t="s">
        <v>427</v>
      </c>
      <c r="BU3" s="202" t="s">
        <v>426</v>
      </c>
      <c r="BV3" s="201" t="s">
        <v>425</v>
      </c>
      <c r="BW3" s="201" t="s">
        <v>424</v>
      </c>
      <c r="BX3" s="201" t="s">
        <v>423</v>
      </c>
      <c r="BY3" s="202" t="s">
        <v>422</v>
      </c>
      <c r="BZ3" s="202" t="s">
        <v>421</v>
      </c>
      <c r="CA3" s="202" t="s">
        <v>420</v>
      </c>
      <c r="CB3" s="201" t="s">
        <v>419</v>
      </c>
      <c r="CC3" s="201" t="s">
        <v>418</v>
      </c>
      <c r="CD3" s="201" t="s">
        <v>417</v>
      </c>
      <c r="CE3" s="202" t="s">
        <v>416</v>
      </c>
      <c r="CF3" s="202" t="s">
        <v>415</v>
      </c>
      <c r="CG3" s="202" t="s">
        <v>414</v>
      </c>
      <c r="CH3" s="201" t="s">
        <v>413</v>
      </c>
      <c r="CI3" s="201" t="s">
        <v>412</v>
      </c>
      <c r="CJ3" s="201" t="s">
        <v>411</v>
      </c>
      <c r="CK3" s="202" t="s">
        <v>410</v>
      </c>
      <c r="CL3" s="202" t="s">
        <v>409</v>
      </c>
      <c r="CM3" s="202" t="s">
        <v>408</v>
      </c>
      <c r="CN3" s="201" t="s">
        <v>407</v>
      </c>
      <c r="CO3" s="201" t="s">
        <v>406</v>
      </c>
      <c r="CP3" s="201" t="s">
        <v>405</v>
      </c>
      <c r="CQ3" s="202" t="s">
        <v>404</v>
      </c>
      <c r="CR3" s="202" t="s">
        <v>403</v>
      </c>
      <c r="CS3" s="202" t="s">
        <v>402</v>
      </c>
      <c r="CT3" s="201" t="s">
        <v>401</v>
      </c>
      <c r="CU3" s="201" t="s">
        <v>400</v>
      </c>
      <c r="CV3" s="201" t="s">
        <v>399</v>
      </c>
      <c r="CW3" s="202" t="s">
        <v>398</v>
      </c>
      <c r="CX3" s="202" t="s">
        <v>397</v>
      </c>
      <c r="CY3" s="202" t="s">
        <v>396</v>
      </c>
      <c r="CZ3" s="201" t="s">
        <v>395</v>
      </c>
      <c r="DA3" s="201" t="s">
        <v>394</v>
      </c>
      <c r="DB3" s="201" t="s">
        <v>393</v>
      </c>
      <c r="DC3" s="202" t="s">
        <v>392</v>
      </c>
      <c r="DD3" s="202" t="s">
        <v>391</v>
      </c>
      <c r="DE3" s="202" t="s">
        <v>390</v>
      </c>
      <c r="DF3" s="201" t="s">
        <v>389</v>
      </c>
      <c r="DG3" s="201" t="s">
        <v>388</v>
      </c>
      <c r="DH3" s="201" t="s">
        <v>387</v>
      </c>
      <c r="DI3" s="202" t="s">
        <v>386</v>
      </c>
      <c r="DJ3" s="202" t="s">
        <v>385</v>
      </c>
      <c r="DK3" s="202" t="s">
        <v>384</v>
      </c>
      <c r="DL3" s="201" t="s">
        <v>383</v>
      </c>
      <c r="DM3" s="201" t="s">
        <v>382</v>
      </c>
      <c r="DN3" s="201" t="s">
        <v>381</v>
      </c>
      <c r="DO3" s="202" t="s">
        <v>380</v>
      </c>
      <c r="DP3" s="202" t="s">
        <v>379</v>
      </c>
      <c r="DQ3" s="202" t="s">
        <v>378</v>
      </c>
      <c r="DR3" s="201" t="s">
        <v>377</v>
      </c>
      <c r="DS3" s="201" t="s">
        <v>376</v>
      </c>
      <c r="DT3" s="201" t="s">
        <v>375</v>
      </c>
      <c r="DU3" s="202" t="s">
        <v>374</v>
      </c>
      <c r="DV3" s="202" t="s">
        <v>373</v>
      </c>
      <c r="DW3" s="202" t="s">
        <v>372</v>
      </c>
      <c r="DX3" s="201" t="s">
        <v>371</v>
      </c>
      <c r="DY3" s="201" t="s">
        <v>370</v>
      </c>
      <c r="DZ3" s="201" t="s">
        <v>369</v>
      </c>
      <c r="EA3" s="202" t="s">
        <v>368</v>
      </c>
      <c r="EB3" s="202" t="s">
        <v>367</v>
      </c>
      <c r="EC3" s="202" t="s">
        <v>366</v>
      </c>
      <c r="ED3" s="201" t="s">
        <v>365</v>
      </c>
      <c r="EE3" s="201" t="s">
        <v>364</v>
      </c>
      <c r="EF3" s="201" t="s">
        <v>363</v>
      </c>
      <c r="EG3" s="202" t="s">
        <v>362</v>
      </c>
      <c r="EH3" s="202" t="s">
        <v>361</v>
      </c>
      <c r="EI3" s="202" t="s">
        <v>360</v>
      </c>
      <c r="EJ3" s="201" t="s">
        <v>359</v>
      </c>
      <c r="EK3" s="201" t="s">
        <v>358</v>
      </c>
      <c r="EL3" s="201" t="s">
        <v>357</v>
      </c>
      <c r="EM3" s="202" t="s">
        <v>356</v>
      </c>
      <c r="EN3" s="202" t="s">
        <v>355</v>
      </c>
      <c r="EO3" s="202" t="s">
        <v>354</v>
      </c>
      <c r="EP3" s="201" t="s">
        <v>353</v>
      </c>
      <c r="EQ3" s="201" t="s">
        <v>352</v>
      </c>
      <c r="ER3" s="201" t="s">
        <v>351</v>
      </c>
      <c r="ES3" s="202" t="s">
        <v>350</v>
      </c>
      <c r="ET3" s="202" t="s">
        <v>349</v>
      </c>
      <c r="EU3" s="202" t="s">
        <v>348</v>
      </c>
      <c r="EV3" s="201" t="s">
        <v>347</v>
      </c>
      <c r="EW3" s="201" t="s">
        <v>346</v>
      </c>
      <c r="EX3" s="201" t="s">
        <v>345</v>
      </c>
      <c r="EY3" s="202" t="s">
        <v>344</v>
      </c>
      <c r="EZ3" s="202" t="s">
        <v>343</v>
      </c>
      <c r="FA3" s="202" t="s">
        <v>342</v>
      </c>
      <c r="FB3" s="201" t="s">
        <v>341</v>
      </c>
      <c r="FC3" s="201" t="s">
        <v>340</v>
      </c>
      <c r="FD3" s="201" t="s">
        <v>339</v>
      </c>
      <c r="FE3" s="202" t="s">
        <v>338</v>
      </c>
      <c r="FF3" s="202" t="s">
        <v>337</v>
      </c>
      <c r="FG3" s="202" t="s">
        <v>336</v>
      </c>
      <c r="FH3" s="201" t="s">
        <v>335</v>
      </c>
      <c r="FI3" s="201" t="s">
        <v>334</v>
      </c>
      <c r="FJ3" s="201" t="s">
        <v>333</v>
      </c>
      <c r="FK3" s="202" t="s">
        <v>332</v>
      </c>
      <c r="FL3" s="202" t="s">
        <v>331</v>
      </c>
      <c r="FM3" s="202" t="s">
        <v>330</v>
      </c>
      <c r="FN3" s="201" t="s">
        <v>329</v>
      </c>
      <c r="FO3" s="201" t="s">
        <v>328</v>
      </c>
      <c r="FP3" s="201" t="s">
        <v>327</v>
      </c>
      <c r="FQ3" s="202" t="s">
        <v>219</v>
      </c>
      <c r="FR3" s="202" t="s">
        <v>218</v>
      </c>
      <c r="FS3" s="202" t="s">
        <v>217</v>
      </c>
      <c r="FT3" s="201" t="s">
        <v>326</v>
      </c>
      <c r="FU3" s="201" t="s">
        <v>325</v>
      </c>
      <c r="FV3" s="201" t="s">
        <v>324</v>
      </c>
      <c r="FW3" s="202" t="s">
        <v>323</v>
      </c>
      <c r="FX3" s="202" t="s">
        <v>322</v>
      </c>
      <c r="FY3" s="202" t="s">
        <v>321</v>
      </c>
      <c r="FZ3" s="201" t="s">
        <v>320</v>
      </c>
      <c r="GA3" s="201" t="s">
        <v>319</v>
      </c>
      <c r="GB3" s="201" t="s">
        <v>318</v>
      </c>
      <c r="GC3" s="202" t="s">
        <v>317</v>
      </c>
      <c r="GD3" s="202" t="s">
        <v>316</v>
      </c>
      <c r="GE3" s="202" t="s">
        <v>315</v>
      </c>
      <c r="GF3" s="201" t="s">
        <v>314</v>
      </c>
      <c r="GG3" s="201" t="s">
        <v>313</v>
      </c>
      <c r="GH3" s="201" t="s">
        <v>312</v>
      </c>
      <c r="GI3" s="202" t="s">
        <v>311</v>
      </c>
      <c r="GJ3" s="202" t="s">
        <v>310</v>
      </c>
      <c r="GK3" s="202" t="s">
        <v>309</v>
      </c>
      <c r="GL3" s="201" t="s">
        <v>308</v>
      </c>
      <c r="GM3" s="201" t="s">
        <v>307</v>
      </c>
      <c r="GN3" s="201" t="s">
        <v>306</v>
      </c>
      <c r="GO3" s="202" t="s">
        <v>305</v>
      </c>
      <c r="GP3" s="202" t="s">
        <v>304</v>
      </c>
      <c r="GQ3" s="202" t="s">
        <v>303</v>
      </c>
      <c r="GR3" s="201" t="s">
        <v>302</v>
      </c>
      <c r="GS3" s="201" t="s">
        <v>301</v>
      </c>
      <c r="GT3" s="201" t="s">
        <v>300</v>
      </c>
      <c r="GU3" s="202" t="s">
        <v>299</v>
      </c>
      <c r="GV3" s="202" t="s">
        <v>298</v>
      </c>
      <c r="GW3" s="202" t="s">
        <v>297</v>
      </c>
      <c r="GX3" s="201" t="s">
        <v>296</v>
      </c>
      <c r="GY3" s="201" t="s">
        <v>295</v>
      </c>
      <c r="GZ3" s="201" t="s">
        <v>294</v>
      </c>
      <c r="HA3" s="202" t="s">
        <v>293</v>
      </c>
      <c r="HB3" s="202" t="s">
        <v>292</v>
      </c>
      <c r="HC3" s="202" t="s">
        <v>291</v>
      </c>
      <c r="HD3" s="201" t="s">
        <v>290</v>
      </c>
      <c r="HE3" s="201" t="s">
        <v>289</v>
      </c>
      <c r="HF3" s="201" t="s">
        <v>288</v>
      </c>
      <c r="HG3" s="202" t="s">
        <v>287</v>
      </c>
      <c r="HH3" s="202" t="s">
        <v>286</v>
      </c>
      <c r="HI3" s="202" t="s">
        <v>285</v>
      </c>
      <c r="HJ3" s="201" t="s">
        <v>284</v>
      </c>
      <c r="HK3" s="201" t="s">
        <v>283</v>
      </c>
      <c r="HL3" s="201" t="s">
        <v>282</v>
      </c>
      <c r="HM3" s="202" t="s">
        <v>281</v>
      </c>
      <c r="HN3" s="202" t="s">
        <v>280</v>
      </c>
      <c r="HO3" s="202" t="s">
        <v>279</v>
      </c>
      <c r="HP3" s="201" t="s">
        <v>278</v>
      </c>
      <c r="HQ3" s="201" t="s">
        <v>277</v>
      </c>
      <c r="HR3" s="201" t="s">
        <v>276</v>
      </c>
      <c r="HS3" s="202" t="s">
        <v>275</v>
      </c>
      <c r="HT3" s="202" t="s">
        <v>274</v>
      </c>
      <c r="HU3" s="202" t="s">
        <v>273</v>
      </c>
      <c r="HV3" s="201" t="s">
        <v>272</v>
      </c>
      <c r="HW3" s="201" t="s">
        <v>271</v>
      </c>
      <c r="HX3" s="201" t="s">
        <v>270</v>
      </c>
      <c r="HY3" s="202" t="s">
        <v>269</v>
      </c>
      <c r="HZ3" s="202" t="s">
        <v>268</v>
      </c>
      <c r="IA3" s="202" t="s">
        <v>267</v>
      </c>
      <c r="IB3" s="201" t="s">
        <v>266</v>
      </c>
      <c r="IC3" s="201" t="s">
        <v>265</v>
      </c>
      <c r="ID3" s="201" t="s">
        <v>264</v>
      </c>
      <c r="IE3" s="202" t="s">
        <v>263</v>
      </c>
      <c r="IF3" s="202" t="s">
        <v>262</v>
      </c>
      <c r="IG3" s="202" t="s">
        <v>261</v>
      </c>
      <c r="IH3" s="201" t="s">
        <v>260</v>
      </c>
      <c r="II3" s="201" t="s">
        <v>259</v>
      </c>
      <c r="IJ3" s="201" t="s">
        <v>258</v>
      </c>
      <c r="IK3" s="202" t="s">
        <v>257</v>
      </c>
      <c r="IL3" s="202" t="s">
        <v>256</v>
      </c>
      <c r="IM3" s="202" t="s">
        <v>255</v>
      </c>
      <c r="IN3" s="201" t="s">
        <v>254</v>
      </c>
      <c r="IO3" s="201" t="s">
        <v>253</v>
      </c>
      <c r="IP3" s="201" t="s">
        <v>252</v>
      </c>
      <c r="IQ3" s="202" t="s">
        <v>251</v>
      </c>
      <c r="IR3" s="202" t="s">
        <v>250</v>
      </c>
      <c r="IS3" s="202" t="s">
        <v>249</v>
      </c>
      <c r="IT3" s="201" t="s">
        <v>248</v>
      </c>
      <c r="IU3" s="201" t="s">
        <v>247</v>
      </c>
      <c r="IV3" s="201" t="s">
        <v>246</v>
      </c>
      <c r="IW3" s="202" t="s">
        <v>245</v>
      </c>
      <c r="IX3" s="202" t="s">
        <v>244</v>
      </c>
      <c r="IY3" s="202" t="s">
        <v>243</v>
      </c>
      <c r="IZ3" s="201" t="s">
        <v>242</v>
      </c>
      <c r="JA3" s="201" t="s">
        <v>241</v>
      </c>
      <c r="JB3" s="201" t="s">
        <v>240</v>
      </c>
      <c r="JC3" s="202" t="s">
        <v>239</v>
      </c>
      <c r="JD3" s="202" t="s">
        <v>238</v>
      </c>
      <c r="JE3" s="202" t="s">
        <v>237</v>
      </c>
      <c r="JF3" s="201" t="s">
        <v>236</v>
      </c>
      <c r="JG3" s="201" t="s">
        <v>235</v>
      </c>
      <c r="JH3" s="201" t="s">
        <v>234</v>
      </c>
      <c r="JI3" s="202" t="s">
        <v>233</v>
      </c>
      <c r="JJ3" s="202" t="s">
        <v>232</v>
      </c>
      <c r="JK3" s="202" t="s">
        <v>231</v>
      </c>
      <c r="JL3" s="201" t="s">
        <v>230</v>
      </c>
      <c r="JM3" s="201" t="s">
        <v>229</v>
      </c>
      <c r="JN3" s="201" t="s">
        <v>228</v>
      </c>
      <c r="JO3" s="202" t="s">
        <v>227</v>
      </c>
      <c r="JP3" s="202" t="s">
        <v>226</v>
      </c>
      <c r="JQ3" s="202" t="s">
        <v>225</v>
      </c>
      <c r="JR3" s="201" t="s">
        <v>224</v>
      </c>
      <c r="JS3" s="201" t="s">
        <v>223</v>
      </c>
      <c r="JT3" s="201" t="s">
        <v>222</v>
      </c>
      <c r="JU3" s="203" t="s">
        <v>79</v>
      </c>
      <c r="JV3" s="203" t="s">
        <v>221</v>
      </c>
      <c r="JW3" s="203" t="s">
        <v>220</v>
      </c>
      <c r="JX3" s="201"/>
      <c r="JY3" s="201"/>
      <c r="JZ3" s="201"/>
      <c r="KA3" s="202"/>
      <c r="KB3" s="202"/>
      <c r="KC3" s="202"/>
      <c r="KD3" s="201"/>
      <c r="KE3" s="201"/>
      <c r="KF3" s="201"/>
    </row>
    <row r="4" spans="1:294" s="21" customFormat="1" x14ac:dyDescent="0.3">
      <c r="A4" s="199">
        <f>[1]Reg!A4</f>
        <v>1</v>
      </c>
      <c r="B4" s="21">
        <f t="shared" ref="B4:B33" si="0">C4*D4</f>
        <v>-2.0331403796296294E-4</v>
      </c>
      <c r="C4" s="197">
        <v>9.9999999999999995E-7</v>
      </c>
      <c r="D4" s="173">
        <v>-203.31403796296294</v>
      </c>
      <c r="E4" s="21">
        <f t="shared" ref="E4:E33" si="1">F4*G4</f>
        <v>-1.3070250763666664E-5</v>
      </c>
      <c r="F4" s="197">
        <v>9.9999999999999995E-7</v>
      </c>
      <c r="G4" s="173">
        <v>-13.070250763666666</v>
      </c>
      <c r="H4" s="21">
        <f t="shared" ref="H4:H33" si="2">I4*J4</f>
        <v>-4.9410721641923074E-5</v>
      </c>
      <c r="I4" s="197">
        <v>9.9999999999999995E-7</v>
      </c>
      <c r="J4" s="173">
        <v>-49.410721641923075</v>
      </c>
      <c r="K4" s="21">
        <f t="shared" ref="K4:K33" si="3">L4*M4</f>
        <v>-2.027375590163934E-4</v>
      </c>
      <c r="L4" s="197">
        <v>9.9999999999999995E-7</v>
      </c>
      <c r="M4" s="173">
        <v>-202.73755901639342</v>
      </c>
      <c r="N4" s="21">
        <f t="shared" ref="N4:N33" si="4">O4*P4</f>
        <v>-1.1669648384441569E-6</v>
      </c>
      <c r="O4" s="197">
        <v>9.9999999999999995E-7</v>
      </c>
      <c r="P4" s="173">
        <v>-1.1669648384441569</v>
      </c>
      <c r="Q4" s="21">
        <f t="shared" ref="Q4:Q33" si="5">R4*S4</f>
        <v>-6.5445558139534882E-4</v>
      </c>
      <c r="R4" s="197">
        <v>9.9999999999999995E-7</v>
      </c>
      <c r="S4" s="173">
        <v>-654.45558139534887</v>
      </c>
      <c r="T4" s="189"/>
      <c r="U4" s="189"/>
      <c r="V4" s="189"/>
      <c r="W4" s="21">
        <f t="shared" ref="W4:W33" si="6">X4*Y4</f>
        <v>-6.9839999999999995E-5</v>
      </c>
      <c r="X4" s="197">
        <v>9.9999999999999995E-7</v>
      </c>
      <c r="Y4" s="173">
        <v>-69.84</v>
      </c>
      <c r="Z4" s="21">
        <f t="shared" ref="Z4:Z33" si="7">AA4*AB4</f>
        <v>-2.0807692307692309E-6</v>
      </c>
      <c r="AA4" s="197">
        <v>9.9999999999999995E-7</v>
      </c>
      <c r="AB4" s="173">
        <v>-2.0807692307692309</v>
      </c>
      <c r="AC4" s="21">
        <f t="shared" ref="AC4:AC33" si="8">AD4*AE4</f>
        <v>-1.2719599999999999E-5</v>
      </c>
      <c r="AD4" s="197">
        <v>9.9999999999999995E-7</v>
      </c>
      <c r="AE4" s="173">
        <v>-12.7196</v>
      </c>
      <c r="AF4" s="21">
        <f t="shared" ref="AF4:AF33" si="9">AG4*AH4</f>
        <v>-6.2749999999999994E-5</v>
      </c>
      <c r="AG4" s="197">
        <v>9.9999999999999995E-7</v>
      </c>
      <c r="AH4" s="173">
        <v>-62.75</v>
      </c>
      <c r="AI4" s="21">
        <f t="shared" ref="AI4:AI33" si="10">AJ4*AK4</f>
        <v>-5.8934999999999997E-5</v>
      </c>
      <c r="AJ4" s="197">
        <v>9.9999999999999995E-7</v>
      </c>
      <c r="AK4" s="173">
        <v>-58.935000000000002</v>
      </c>
      <c r="AL4" s="21">
        <f t="shared" ref="AL4:AL33" si="11">AM4*AN4</f>
        <v>-5.605619E-5</v>
      </c>
      <c r="AM4" s="197">
        <v>9.9999999999999995E-7</v>
      </c>
      <c r="AN4" s="173">
        <v>-56.056190000000001</v>
      </c>
      <c r="AO4" s="21">
        <f t="shared" ref="AO4:AO33" si="12">AP4*AQ4</f>
        <v>-3.13486E-6</v>
      </c>
      <c r="AP4" s="197">
        <v>9.9999999999999995E-7</v>
      </c>
      <c r="AQ4" s="173">
        <v>-3.1348600000000002</v>
      </c>
      <c r="AR4" s="21">
        <f t="shared" ref="AR4:AR33" si="13">AS4*AT4</f>
        <v>-1.1457399999999999E-4</v>
      </c>
      <c r="AS4" s="197">
        <v>9.9999999999999995E-7</v>
      </c>
      <c r="AT4" s="173">
        <v>-114.574</v>
      </c>
      <c r="AU4" s="21">
        <f t="shared" ref="AU4:AU33" si="14">AV4*AW4</f>
        <v>-3.1857499999999998E-5</v>
      </c>
      <c r="AV4" s="197">
        <v>9.9999999999999995E-7</v>
      </c>
      <c r="AW4" s="173">
        <v>-31.857500000000002</v>
      </c>
      <c r="AX4" s="21">
        <f t="shared" ref="AX4:AX33" si="15">AY4*AZ4</f>
        <v>-1.4017430000000001E-4</v>
      </c>
      <c r="AY4" s="197">
        <v>9.9999999999999995E-7</v>
      </c>
      <c r="AZ4" s="173">
        <v>-140.17430000000002</v>
      </c>
      <c r="BA4" s="21">
        <f t="shared" ref="BA4:BA33" si="16">BB4*BC4</f>
        <v>-1.58425E-5</v>
      </c>
      <c r="BB4" s="197">
        <v>9.9999999999999995E-7</v>
      </c>
      <c r="BC4" s="173">
        <v>-15.842499999999999</v>
      </c>
      <c r="BD4" s="21">
        <f t="shared" ref="BD4:BD33" si="17">BE4*BF4</f>
        <v>-1.4779999999999999E-5</v>
      </c>
      <c r="BE4" s="197">
        <v>9.9999999999999995E-7</v>
      </c>
      <c r="BF4" s="173">
        <v>-14.78</v>
      </c>
      <c r="BG4" s="21">
        <f t="shared" ref="BG4:BG33" si="18">BH4*BI4</f>
        <v>-2.1268799999999998E-6</v>
      </c>
      <c r="BH4" s="197">
        <v>9.9999999999999995E-7</v>
      </c>
      <c r="BI4" s="173">
        <v>-2.1268799999999999</v>
      </c>
      <c r="BJ4" s="21">
        <f t="shared" ref="BJ4:BJ33" si="19">BK4*BL4</f>
        <v>-4.6675999999999998E-5</v>
      </c>
      <c r="BK4" s="197">
        <v>9.9999999999999995E-7</v>
      </c>
      <c r="BL4" s="173">
        <v>-46.676000000000002</v>
      </c>
      <c r="BM4" s="21">
        <f t="shared" ref="BM4:BM33" si="20">BN4*BO4</f>
        <v>-1.9751183199999998E-5</v>
      </c>
      <c r="BN4" s="197">
        <v>9.9999999999999995E-7</v>
      </c>
      <c r="BO4" s="173">
        <v>-19.7511832</v>
      </c>
      <c r="BP4" s="21">
        <f t="shared" ref="BP4:BP33" si="21">BQ4*BR4</f>
        <v>-2.4949998000000001E-5</v>
      </c>
      <c r="BQ4" s="197">
        <v>9.9999999999999995E-7</v>
      </c>
      <c r="BR4" s="173">
        <v>-24.949998000000001</v>
      </c>
      <c r="BS4" s="21">
        <f t="shared" ref="BS4:BS33" si="22">BT4*BU4</f>
        <v>-2.0912517777777774E-4</v>
      </c>
      <c r="BT4" s="197">
        <v>9.9999999999999995E-7</v>
      </c>
      <c r="BU4" s="173">
        <v>-209.12517777777776</v>
      </c>
      <c r="BV4" s="21">
        <f t="shared" ref="BV4:BV33" si="23">BW4*BX4</f>
        <v>-6.8096917293233077E-5</v>
      </c>
      <c r="BW4" s="197">
        <v>9.9999999999999995E-7</v>
      </c>
      <c r="BX4" s="173">
        <v>-68.096917293233076</v>
      </c>
      <c r="BY4" s="21">
        <f t="shared" ref="BY4:BY33" si="24">BZ4*CA4</f>
        <v>-3.8535999999999998E-6</v>
      </c>
      <c r="BZ4" s="197">
        <v>9.9999999999999995E-7</v>
      </c>
      <c r="CA4" s="173">
        <v>-3.8536000000000001</v>
      </c>
      <c r="CB4" s="21">
        <f t="shared" ref="CB4:CB33" si="25">CC4*CD4</f>
        <v>-5.0682999999999994E-6</v>
      </c>
      <c r="CC4" s="197">
        <v>9.9999999999999995E-7</v>
      </c>
      <c r="CD4" s="173">
        <v>-5.0682999999999998</v>
      </c>
      <c r="CE4" s="21">
        <f>CF4*CG4</f>
        <v>-7.1645336666666668E-5</v>
      </c>
      <c r="CF4" s="197">
        <v>9.9999999999999995E-7</v>
      </c>
      <c r="CG4" s="173">
        <v>-71.645336666666665</v>
      </c>
      <c r="CH4" s="21">
        <f t="shared" ref="CH4:CH10" si="26">CI4*CJ4</f>
        <v>-3.1901500980392158E-4</v>
      </c>
      <c r="CI4" s="197">
        <v>9.9999999999999995E-7</v>
      </c>
      <c r="CJ4" s="173">
        <v>-319.0150098039216</v>
      </c>
      <c r="CK4" s="21">
        <f t="shared" ref="CK4:CK33" si="27">CL4*CM4</f>
        <v>-7.1074707619047617E-5</v>
      </c>
      <c r="CL4" s="197">
        <v>9.9999999999999995E-7</v>
      </c>
      <c r="CM4" s="173">
        <v>-71.074707619047615</v>
      </c>
      <c r="CN4" s="21">
        <f t="shared" ref="CN4:CN33" si="28">CO4*CP4</f>
        <v>-4.5542095070422535E-5</v>
      </c>
      <c r="CO4" s="197">
        <v>9.9999999999999995E-7</v>
      </c>
      <c r="CP4" s="173">
        <v>-45.542095070422533</v>
      </c>
      <c r="CQ4" s="21">
        <f t="shared" ref="CQ4:CQ33" si="29">CR4*CS4</f>
        <v>-1.12517E-3</v>
      </c>
      <c r="CR4" s="197">
        <v>9.9999999999999995E-7</v>
      </c>
      <c r="CS4" s="173">
        <v>-1125.17</v>
      </c>
      <c r="CT4" s="21">
        <f t="shared" ref="CT4:CT33" si="30">CU4*CV4</f>
        <v>-9.4350833427082165E-6</v>
      </c>
      <c r="CU4" s="197">
        <v>9.9999999999999995E-7</v>
      </c>
      <c r="CV4" s="173">
        <v>-9.4350833427082161</v>
      </c>
      <c r="CW4" s="21">
        <f t="shared" ref="CW4:CW33" si="31">CX4*CY4</f>
        <v>-2.4969999999999996E-5</v>
      </c>
      <c r="CX4" s="197">
        <v>9.9999999999999995E-7</v>
      </c>
      <c r="CY4" s="173">
        <v>-24.97</v>
      </c>
      <c r="CZ4" s="21">
        <f t="shared" ref="CZ4:CZ33" si="32">DA4*DB4</f>
        <v>-6.2248999999999995E-6</v>
      </c>
      <c r="DA4" s="197">
        <v>9.9999999999999995E-7</v>
      </c>
      <c r="DB4" s="173">
        <v>-6.2248999999999999</v>
      </c>
      <c r="DC4" s="21">
        <f t="shared" ref="DC4:DC33" si="33">DD4*DE4</f>
        <v>-5.8097568222222218E-6</v>
      </c>
      <c r="DD4" s="197">
        <v>9.9999999999999995E-7</v>
      </c>
      <c r="DE4" s="173">
        <v>-5.809756822222222</v>
      </c>
      <c r="DF4" s="21">
        <f t="shared" ref="DF4:DF33" si="34">DG4*DH4</f>
        <v>-1.06634002E-6</v>
      </c>
      <c r="DG4" s="197">
        <v>9.9999999999999995E-7</v>
      </c>
      <c r="DH4" s="173">
        <v>-1.0663400199999999</v>
      </c>
      <c r="DI4" s="21">
        <f t="shared" ref="DI4:DI33" si="35">DJ4*DK4</f>
        <v>-1.8649999999999999E-5</v>
      </c>
      <c r="DJ4" s="197">
        <v>9.9999999999999995E-7</v>
      </c>
      <c r="DK4" s="173">
        <v>-18.649999999999999</v>
      </c>
      <c r="DL4" s="21">
        <f t="shared" ref="DL4:DL33" si="36">DM4*DN4</f>
        <v>-2.8370000000000001E-5</v>
      </c>
      <c r="DM4" s="197">
        <v>9.9999999999999995E-7</v>
      </c>
      <c r="DN4" s="173">
        <v>-28.37</v>
      </c>
      <c r="DO4" s="21">
        <f t="shared" ref="DO4:DO33" si="37">DP4*DQ4</f>
        <v>-2.4297792571428571E-4</v>
      </c>
      <c r="DP4" s="197">
        <v>9.9999999999999995E-7</v>
      </c>
      <c r="DQ4" s="173">
        <v>-242.9779257142857</v>
      </c>
      <c r="DR4" s="21">
        <f t="shared" ref="DR4:DR33" si="38">DS4*DT4</f>
        <v>-1.7082313043478262E-5</v>
      </c>
      <c r="DS4" s="197">
        <v>9.9999999999999995E-7</v>
      </c>
      <c r="DT4" s="173">
        <v>-17.082313043478262</v>
      </c>
      <c r="DU4" s="21">
        <f t="shared" ref="DU4:DU33" si="39">DV4*DW4</f>
        <v>-2.9196618125E-5</v>
      </c>
      <c r="DV4" s="197">
        <v>9.9999999999999995E-7</v>
      </c>
      <c r="DW4" s="173">
        <v>-29.196618125000001</v>
      </c>
      <c r="DX4" s="21">
        <f t="shared" ref="DX4:DX33" si="40">DY4*DZ4</f>
        <v>-3.3650999999999999E-4</v>
      </c>
      <c r="DY4" s="197">
        <v>9.9999999999999995E-7</v>
      </c>
      <c r="DZ4" s="173">
        <v>-336.51</v>
      </c>
      <c r="EA4" s="21">
        <f t="shared" ref="EA4:EA33" si="41">EB4*EC4</f>
        <v>-1.8832192327272726E-4</v>
      </c>
      <c r="EB4" s="197">
        <v>9.9999999999999995E-7</v>
      </c>
      <c r="EC4" s="173">
        <v>-188.32192327272728</v>
      </c>
      <c r="ED4" s="21">
        <f t="shared" ref="ED4:ED33" si="42">EE4*EF4</f>
        <v>-4.1599349999999997E-5</v>
      </c>
      <c r="EE4" s="197">
        <v>9.9999999999999995E-7</v>
      </c>
      <c r="EF4" s="173">
        <v>-41.599350000000001</v>
      </c>
      <c r="EG4" s="21">
        <f t="shared" ref="EG4:EG33" si="43">EH4*EI4</f>
        <v>-8.6904112345883776E-6</v>
      </c>
      <c r="EH4" s="197">
        <v>9.9999999999999995E-7</v>
      </c>
      <c r="EI4" s="173">
        <v>-8.6904112345883782</v>
      </c>
      <c r="EJ4" s="21">
        <f t="shared" ref="EJ4:EJ33" si="44">EK4*EL4</f>
        <v>-2.0479114283428572E-4</v>
      </c>
      <c r="EK4" s="197">
        <v>9.9999999999999995E-7</v>
      </c>
      <c r="EL4" s="173">
        <v>-204.79114283428572</v>
      </c>
      <c r="EM4" s="21">
        <f t="shared" ref="EM4:EM33" si="45">EN4*EO4</f>
        <v>-2.4149999999999997E-5</v>
      </c>
      <c r="EN4" s="197">
        <v>9.9999999999999995E-7</v>
      </c>
      <c r="EO4" s="173">
        <v>-24.15</v>
      </c>
      <c r="EP4" s="21">
        <f t="shared" ref="EP4:EP33" si="46">EQ4*ER4</f>
        <v>-6.0039285714285705E-5</v>
      </c>
      <c r="EQ4" s="197">
        <v>9.9999999999999995E-7</v>
      </c>
      <c r="ER4" s="173">
        <v>-60.039285714285711</v>
      </c>
      <c r="ES4" s="21">
        <f t="shared" ref="ES4:ES33" si="47">ET4*EU4</f>
        <v>-8.2300000000000008E-6</v>
      </c>
      <c r="ET4" s="197">
        <v>9.9999999999999995E-7</v>
      </c>
      <c r="EU4" s="173">
        <v>-8.23</v>
      </c>
      <c r="EV4" s="21">
        <f t="shared" ref="EV4:EV33" si="48">EW4*EX4</f>
        <v>-1.00599E-5</v>
      </c>
      <c r="EW4" s="197">
        <v>9.9999999999999995E-7</v>
      </c>
      <c r="EX4" s="173">
        <v>-10.059900000000001</v>
      </c>
      <c r="EY4" s="21">
        <f t="shared" ref="EY4:EY33" si="49">EZ4*FA4</f>
        <v>-1.0609E-4</v>
      </c>
      <c r="EZ4" s="197">
        <v>9.9999999999999995E-7</v>
      </c>
      <c r="FA4" s="173">
        <v>-106.09</v>
      </c>
      <c r="FB4" s="21">
        <f t="shared" ref="FB4:FB33" si="50">FC4*FD4</f>
        <v>-9.8735999999999998E-6</v>
      </c>
      <c r="FC4" s="197">
        <v>9.9999999999999995E-7</v>
      </c>
      <c r="FD4" s="173">
        <v>-9.8735999999999997</v>
      </c>
      <c r="FE4" s="21">
        <f t="shared" ref="FE4:FE33" si="51">FF4*FG4</f>
        <v>-1.2642075189584157E-6</v>
      </c>
      <c r="FF4" s="197">
        <v>9.9999999999999995E-7</v>
      </c>
      <c r="FG4" s="173">
        <v>-1.2642075189584159</v>
      </c>
      <c r="FH4" s="21">
        <f t="shared" ref="FH4:FH33" si="52">FI4*FJ4</f>
        <v>-2.4500000000000003E-6</v>
      </c>
      <c r="FI4" s="197">
        <v>9.9999999999999995E-7</v>
      </c>
      <c r="FJ4" s="173">
        <v>-2.4500000000000002</v>
      </c>
      <c r="FK4" s="21">
        <f t="shared" ref="FK4:FK33" si="53">FL4*FM4</f>
        <v>-3.3637500000000004E-5</v>
      </c>
      <c r="FL4" s="197">
        <v>9.9999999999999995E-7</v>
      </c>
      <c r="FM4" s="173">
        <v>-33.637500000000003</v>
      </c>
      <c r="FN4" s="21">
        <f t="shared" ref="FN4:FN33" si="54">FO4*FP4</f>
        <v>-1.1060000000000001E-5</v>
      </c>
      <c r="FO4" s="197">
        <v>9.9999999999999995E-7</v>
      </c>
      <c r="FP4" s="173">
        <v>-11.06</v>
      </c>
      <c r="FQ4" s="21">
        <f t="shared" ref="FQ4:FQ33" si="55">FR4*FS4</f>
        <v>-1.3565495E-5</v>
      </c>
      <c r="FR4" s="197">
        <v>9.9999999999999995E-7</v>
      </c>
      <c r="FS4" s="173">
        <v>-13.565495</v>
      </c>
      <c r="FT4" s="21">
        <f t="shared" ref="FT4:FT33" si="56">FU4*FV4</f>
        <v>-2.5883333333333333E-6</v>
      </c>
      <c r="FU4" s="197">
        <v>9.9999999999999995E-7</v>
      </c>
      <c r="FV4" s="173">
        <v>-2.5883333333333334</v>
      </c>
      <c r="FW4" s="21">
        <f t="shared" ref="FW4:FW33" si="57">FX4*FY4</f>
        <v>-5.8992499999999995E-5</v>
      </c>
      <c r="FX4" s="197">
        <v>9.9999999999999995E-7</v>
      </c>
      <c r="FY4" s="173">
        <v>-58.9925</v>
      </c>
      <c r="FZ4" s="21">
        <f t="shared" ref="FZ4:FZ33" si="58">GA4*GB4</f>
        <v>-1.1986190476190476E-5</v>
      </c>
      <c r="GA4" s="197">
        <v>9.9999999999999995E-7</v>
      </c>
      <c r="GB4" s="173">
        <v>-11.986190476190476</v>
      </c>
      <c r="GC4" s="21">
        <f t="shared" ref="GC4:GC33" si="59">GD4*GE4</f>
        <v>-3.3094999999999994E-5</v>
      </c>
      <c r="GD4" s="197">
        <v>9.9999999999999995E-7</v>
      </c>
      <c r="GE4" s="173">
        <v>-33.094999999999999</v>
      </c>
      <c r="GF4" s="21">
        <f t="shared" ref="GF4:GF33" si="60">GG4*GH4</f>
        <v>-2.5526902743142142E-4</v>
      </c>
      <c r="GG4" s="197">
        <v>9.9999999999999995E-7</v>
      </c>
      <c r="GH4" s="173">
        <v>-255.26902743142145</v>
      </c>
      <c r="GI4" s="21">
        <f t="shared" ref="GI4:GI33" si="61">GJ4*GK4</f>
        <v>-4.1940633928571429E-5</v>
      </c>
      <c r="GJ4" s="197">
        <v>9.9999999999999995E-7</v>
      </c>
      <c r="GK4" s="173">
        <v>-41.94063392857143</v>
      </c>
      <c r="GL4" s="21">
        <f t="shared" ref="GL4:GL33" si="62">GM4*GN4</f>
        <v>-2.0138271439999999E-4</v>
      </c>
      <c r="GM4" s="197">
        <v>9.9999999999999995E-7</v>
      </c>
      <c r="GN4" s="173">
        <v>-201.3827144</v>
      </c>
      <c r="GO4" s="21">
        <f t="shared" ref="GO4:GO33" si="63">GP4*GQ4</f>
        <v>-1.999375E-4</v>
      </c>
      <c r="GP4" s="197">
        <v>9.9999999999999995E-7</v>
      </c>
      <c r="GQ4" s="173">
        <v>-199.9375</v>
      </c>
      <c r="GR4" s="21">
        <f t="shared" ref="GR4:GR33" si="64">GS4*GT4</f>
        <v>-6.7741965555555555E-4</v>
      </c>
      <c r="GS4" s="197">
        <v>9.9999999999999995E-7</v>
      </c>
      <c r="GT4" s="173">
        <v>-677.41965555555555</v>
      </c>
      <c r="GU4" s="21">
        <f t="shared" ref="GU4:GU33" si="65">GV4*GW4</f>
        <v>-3.3399161570247931E-6</v>
      </c>
      <c r="GV4" s="197">
        <v>9.9999999999999995E-7</v>
      </c>
      <c r="GW4" s="173">
        <v>-3.3399161570247933</v>
      </c>
      <c r="GX4" s="21">
        <f t="shared" ref="GX4:GX33" si="66">GY4*GZ4</f>
        <v>-1.0860999999999999E-4</v>
      </c>
      <c r="GY4" s="197">
        <v>9.9999999999999995E-7</v>
      </c>
      <c r="GZ4" s="173">
        <v>-108.61</v>
      </c>
      <c r="HA4" s="21">
        <f t="shared" ref="HA4:HA33" si="67">HB4*HC4</f>
        <v>-3.4780000000000002E-5</v>
      </c>
      <c r="HB4" s="197">
        <v>9.9999999999999995E-7</v>
      </c>
      <c r="HC4" s="173">
        <v>-34.78</v>
      </c>
      <c r="HD4" s="21">
        <f t="shared" ref="HD4:HD33" si="68">HE4*HF4</f>
        <v>-1.6259999999999999E-4</v>
      </c>
      <c r="HE4" s="197">
        <v>9.9999999999999995E-7</v>
      </c>
      <c r="HF4" s="173">
        <v>-162.6</v>
      </c>
      <c r="HG4" s="21">
        <f t="shared" ref="HG4:HG33" si="69">HH4*HI4</f>
        <v>-6.1734115099999995E-5</v>
      </c>
      <c r="HH4" s="197">
        <v>9.9999999999999995E-7</v>
      </c>
      <c r="HI4" s="173">
        <v>-61.734115100000004</v>
      </c>
      <c r="HJ4" s="21">
        <f t="shared" ref="HJ4:HJ33" si="70">HK4*HL4</f>
        <v>-2.4438682812499997E-6</v>
      </c>
      <c r="HK4" s="197">
        <v>9.9999999999999995E-7</v>
      </c>
      <c r="HL4" s="173">
        <v>-2.4438682812499999</v>
      </c>
      <c r="HM4" s="21">
        <f t="shared" ref="HM4:HM33" si="71">HN4*HO4</f>
        <v>-1.3977999999999999E-5</v>
      </c>
      <c r="HN4" s="197">
        <v>9.9999999999999995E-7</v>
      </c>
      <c r="HO4" s="173">
        <v>-13.978</v>
      </c>
      <c r="HP4" s="21">
        <f t="shared" ref="HP4:HP33" si="72">HQ4*HR4</f>
        <v>-5.0254999999999994E-4</v>
      </c>
      <c r="HQ4" s="197">
        <v>9.9999999999999995E-7</v>
      </c>
      <c r="HR4" s="173">
        <v>-502.55</v>
      </c>
      <c r="HS4" s="21">
        <f t="shared" ref="HS4:HS33" si="73">HT4*HU4</f>
        <v>-9.2349999999999988E-6</v>
      </c>
      <c r="HT4" s="197">
        <v>9.9999999999999995E-7</v>
      </c>
      <c r="HU4" s="173">
        <v>-9.2349999999999994</v>
      </c>
      <c r="HV4" s="21">
        <f t="shared" ref="HV4:HV33" si="74">HW4*HX4</f>
        <v>-1.9629999999999997E-5</v>
      </c>
      <c r="HW4" s="198">
        <v>9.9999999999999995E-7</v>
      </c>
      <c r="HX4" s="173">
        <v>-19.63</v>
      </c>
      <c r="HY4" s="21">
        <f t="shared" ref="HY4:HY33" si="75">HZ4*IA4</f>
        <v>-1.8638999999999998E-4</v>
      </c>
      <c r="HZ4" s="197">
        <v>9.9999999999999995E-7</v>
      </c>
      <c r="IA4" s="173">
        <v>-186.39</v>
      </c>
      <c r="IB4" s="21">
        <f t="shared" ref="IB4:IB33" si="76">IC4*ID4</f>
        <v>-3.5869999999999999E-4</v>
      </c>
      <c r="IC4" s="197">
        <v>9.9999999999999995E-7</v>
      </c>
      <c r="ID4" s="173">
        <v>-358.7</v>
      </c>
      <c r="IE4" s="21">
        <f t="shared" ref="IE4:IE33" si="77">IF4*IG4</f>
        <v>-2.1677332130429177E-5</v>
      </c>
      <c r="IF4" s="197">
        <v>9.9999999999999995E-7</v>
      </c>
      <c r="IG4" s="173">
        <v>-21.677332130429178</v>
      </c>
      <c r="IH4" s="21">
        <f t="shared" ref="IH4:IH33" si="78">II4*IJ4</f>
        <v>-3.0697399999999995E-5</v>
      </c>
      <c r="II4" s="197">
        <v>9.9999999999999995E-7</v>
      </c>
      <c r="IJ4" s="173">
        <v>-30.697399999999998</v>
      </c>
      <c r="IK4" s="21">
        <f t="shared" ref="IK4:IK33" si="79">IL4*IM4</f>
        <v>-5.468099999999999E-4</v>
      </c>
      <c r="IL4" s="197">
        <v>9.9999999999999995E-7</v>
      </c>
      <c r="IM4" s="173">
        <v>-546.80999999999995</v>
      </c>
      <c r="IN4" s="21">
        <f t="shared" ref="IN4:IN33" si="80">IO4*IP4</f>
        <v>-8.9476727272727266E-6</v>
      </c>
      <c r="IO4" s="197">
        <v>9.9999999999999995E-7</v>
      </c>
      <c r="IP4" s="173">
        <v>-8.9476727272727263</v>
      </c>
      <c r="IQ4" s="21">
        <f t="shared" ref="IQ4:IQ33" si="81">IR4*IS4</f>
        <v>-8.5849999999999986E-5</v>
      </c>
      <c r="IR4" s="197">
        <v>9.9999999999999995E-7</v>
      </c>
      <c r="IS4" s="173">
        <v>-85.85</v>
      </c>
      <c r="IT4" s="21">
        <f t="shared" ref="IT4:IT33" si="82">IU4*IV4</f>
        <v>-1.3744999999999998E-5</v>
      </c>
      <c r="IU4" s="197">
        <v>9.9999999999999995E-7</v>
      </c>
      <c r="IV4" s="173">
        <v>-13.744999999999999</v>
      </c>
      <c r="IW4" s="21">
        <f t="shared" ref="IW4:IW33" si="83">IX4*IY4</f>
        <v>-5.4334474999999998E-5</v>
      </c>
      <c r="IX4" s="197">
        <v>9.9999999999999995E-7</v>
      </c>
      <c r="IY4" s="173">
        <v>-54.334474999999998</v>
      </c>
      <c r="IZ4" s="21">
        <f t="shared" ref="IZ4:IZ33" si="84">JA4*JB4</f>
        <v>-2.4940000000000002E-5</v>
      </c>
      <c r="JA4" s="197">
        <v>9.9999999999999995E-7</v>
      </c>
      <c r="JB4" s="173">
        <v>-24.94</v>
      </c>
      <c r="JC4" s="21">
        <f t="shared" ref="JC4:JC33" si="85">JD4*JE4</f>
        <v>-3.5515714285714285E-6</v>
      </c>
      <c r="JD4" s="197">
        <v>9.9999999999999995E-7</v>
      </c>
      <c r="JE4" s="173">
        <v>-3.5515714285714286</v>
      </c>
      <c r="JF4" s="21">
        <f t="shared" ref="JF4:JF33" si="86">JG4*JH4</f>
        <v>-3.0309999999999996E-5</v>
      </c>
      <c r="JG4" s="197">
        <v>9.9999999999999995E-7</v>
      </c>
      <c r="JH4" s="173">
        <v>-30.31</v>
      </c>
      <c r="JI4" s="21">
        <f t="shared" ref="JI4:JI18" si="87">JJ4*JK4</f>
        <v>-6.0139999999999997E-5</v>
      </c>
      <c r="JJ4" s="197">
        <v>9.9999999999999995E-7</v>
      </c>
      <c r="JK4" s="173">
        <v>-60.14</v>
      </c>
      <c r="JL4" s="21">
        <f t="shared" ref="JL4:JL33" si="88">JM4*JN4</f>
        <v>-1.4477379545454544E-4</v>
      </c>
      <c r="JM4" s="197">
        <v>9.9999999999999995E-7</v>
      </c>
      <c r="JN4" s="173">
        <v>-144.77379545454545</v>
      </c>
      <c r="JO4" s="21">
        <f t="shared" ref="JO4:JO33" si="89">JP4*JQ4</f>
        <v>-3.0957205999999992E-5</v>
      </c>
      <c r="JP4" s="197">
        <v>9.9999999999999995E-7</v>
      </c>
      <c r="JQ4" s="173">
        <v>-30.957205999999996</v>
      </c>
      <c r="JR4" s="21">
        <f t="shared" ref="JR4:JR33" si="90">JS4*JT4</f>
        <v>-1.3669583333333334E-5</v>
      </c>
      <c r="JS4" s="197">
        <v>9.9999999999999995E-7</v>
      </c>
      <c r="JT4" s="173">
        <v>-13.669583333333334</v>
      </c>
      <c r="JU4" s="190" t="str" cm="1">
        <f t="array" aca="1" ref="JU4"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4" s="196">
        <v>9.9999999999999995E-7</v>
      </c>
      <c r="JW4" s="173">
        <v>-5.34</v>
      </c>
      <c r="JX4" s="190" t="str" cm="1">
        <f t="array" aca="1" ref="JX4"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4" s="185"/>
      <c r="JZ4" s="173"/>
      <c r="KA4" s="190" t="str" cm="1">
        <f t="array" aca="1" ref="KA4"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4" s="185"/>
      <c r="KC4" s="173"/>
      <c r="KD4" s="190" t="str" cm="1">
        <f t="array" aca="1" ref="KD4"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4" s="185"/>
      <c r="KF4" s="173"/>
      <c r="KH4" s="21">
        <f>KI4*KJ4</f>
        <v>0</v>
      </c>
    </row>
    <row r="5" spans="1:294" x14ac:dyDescent="0.3">
      <c r="A5" s="191">
        <f>[1]Reg!A5</f>
        <v>2</v>
      </c>
      <c r="B5" s="190">
        <f t="shared" si="0"/>
        <v>-96714</v>
      </c>
      <c r="C5" s="188">
        <v>900</v>
      </c>
      <c r="D5" s="173">
        <v>-107.46</v>
      </c>
      <c r="E5" s="190">
        <f t="shared" si="1"/>
        <v>-27542.356800000001</v>
      </c>
      <c r="F5" s="188">
        <v>2800</v>
      </c>
      <c r="G5" s="173">
        <v>-9.8365559999999999</v>
      </c>
      <c r="H5" s="190">
        <f t="shared" si="2"/>
        <v>-953036</v>
      </c>
      <c r="I5" s="188">
        <v>23590</v>
      </c>
      <c r="J5" s="173">
        <v>-40.4</v>
      </c>
      <c r="K5" s="190">
        <f t="shared" si="3"/>
        <v>-26510.000000000004</v>
      </c>
      <c r="L5" s="188">
        <v>200</v>
      </c>
      <c r="M5" s="173">
        <v>-132.55000000000001</v>
      </c>
      <c r="N5" s="190">
        <f t="shared" si="4"/>
        <v>-13950</v>
      </c>
      <c r="O5" s="188">
        <v>15000</v>
      </c>
      <c r="P5" s="173">
        <v>-0.93</v>
      </c>
      <c r="Q5" s="190">
        <f t="shared" si="5"/>
        <v>-299650</v>
      </c>
      <c r="R5" s="188">
        <v>500</v>
      </c>
      <c r="S5" s="173">
        <v>-599.29999999999995</v>
      </c>
      <c r="T5" s="173"/>
      <c r="U5" s="173"/>
      <c r="V5" s="173"/>
      <c r="W5" s="195">
        <f t="shared" si="6"/>
        <v>-54110</v>
      </c>
      <c r="X5" s="188">
        <v>1000</v>
      </c>
      <c r="Y5" s="173">
        <v>-54.11</v>
      </c>
      <c r="Z5" s="195">
        <f t="shared" si="7"/>
        <v>-18300</v>
      </c>
      <c r="AA5" s="188">
        <v>10000</v>
      </c>
      <c r="AB5" s="173">
        <v>-1.83</v>
      </c>
      <c r="AC5" s="195">
        <f t="shared" si="8"/>
        <v>-158995</v>
      </c>
      <c r="AD5" s="188">
        <v>12500</v>
      </c>
      <c r="AE5" s="173">
        <v>-12.7196</v>
      </c>
      <c r="AF5" s="195">
        <f t="shared" si="9"/>
        <v>-245.35</v>
      </c>
      <c r="AG5" s="188">
        <v>5</v>
      </c>
      <c r="AH5" s="173">
        <v>-49.07</v>
      </c>
      <c r="AI5" s="195">
        <f t="shared" si="10"/>
        <v>-39770</v>
      </c>
      <c r="AJ5" s="188">
        <v>1000</v>
      </c>
      <c r="AK5" s="173">
        <v>-39.770000000000003</v>
      </c>
      <c r="AL5" s="195">
        <f t="shared" si="11"/>
        <v>-11235</v>
      </c>
      <c r="AM5" s="188">
        <v>250</v>
      </c>
      <c r="AN5" s="173">
        <v>-44.94</v>
      </c>
      <c r="AO5" s="195">
        <f t="shared" si="12"/>
        <v>-38200</v>
      </c>
      <c r="AP5" s="188">
        <v>20000</v>
      </c>
      <c r="AQ5" s="173">
        <v>-1.91</v>
      </c>
      <c r="AR5" s="195">
        <f t="shared" si="13"/>
        <v>-19586</v>
      </c>
      <c r="AS5" s="188">
        <v>200</v>
      </c>
      <c r="AT5" s="173">
        <v>-97.93</v>
      </c>
      <c r="AU5" s="195">
        <f t="shared" si="14"/>
        <v>-2000</v>
      </c>
      <c r="AV5" s="188">
        <v>2000</v>
      </c>
      <c r="AW5" s="173">
        <v>-1</v>
      </c>
      <c r="AX5" s="195">
        <f t="shared" si="15"/>
        <v>-79398</v>
      </c>
      <c r="AY5" s="188">
        <v>990</v>
      </c>
      <c r="AZ5" s="173">
        <v>-80.2</v>
      </c>
      <c r="BA5" s="195">
        <f t="shared" si="16"/>
        <v>-57920</v>
      </c>
      <c r="BB5" s="188">
        <v>4000</v>
      </c>
      <c r="BC5" s="173">
        <v>-14.48</v>
      </c>
      <c r="BD5" s="195">
        <f t="shared" si="17"/>
        <v>-33675</v>
      </c>
      <c r="BE5" s="188">
        <v>3750</v>
      </c>
      <c r="BF5" s="173">
        <v>-8.98</v>
      </c>
      <c r="BG5" s="195">
        <f t="shared" si="18"/>
        <v>-20640</v>
      </c>
      <c r="BH5" s="188">
        <v>12000</v>
      </c>
      <c r="BI5" s="173">
        <v>-1.72</v>
      </c>
      <c r="BJ5" s="195">
        <f t="shared" si="19"/>
        <v>-374</v>
      </c>
      <c r="BK5" s="188">
        <v>10</v>
      </c>
      <c r="BL5" s="173">
        <v>-37.4</v>
      </c>
      <c r="BM5" s="195">
        <f t="shared" si="20"/>
        <v>-22320</v>
      </c>
      <c r="BN5" s="188">
        <v>2000</v>
      </c>
      <c r="BO5" s="173">
        <v>-11.16</v>
      </c>
      <c r="BP5" s="195">
        <f t="shared" si="21"/>
        <v>-15700</v>
      </c>
      <c r="BQ5" s="188">
        <v>1000</v>
      </c>
      <c r="BR5" s="173">
        <v>-15.7</v>
      </c>
      <c r="BS5" s="195">
        <f t="shared" si="22"/>
        <v>-12825000</v>
      </c>
      <c r="BT5" s="188">
        <v>90000</v>
      </c>
      <c r="BU5" s="173">
        <v>-142.5</v>
      </c>
      <c r="BV5" s="195">
        <f t="shared" si="23"/>
        <v>-23456.399999999998</v>
      </c>
      <c r="BW5" s="188">
        <v>660</v>
      </c>
      <c r="BX5" s="173">
        <v>-35.54</v>
      </c>
      <c r="BY5" s="195">
        <f t="shared" si="24"/>
        <v>0</v>
      </c>
      <c r="BZ5" s="188"/>
      <c r="CA5" s="173"/>
      <c r="CB5" s="195">
        <f t="shared" si="25"/>
        <v>-1080</v>
      </c>
      <c r="CC5" s="188">
        <v>1000</v>
      </c>
      <c r="CD5" s="173">
        <v>-1.08</v>
      </c>
      <c r="CE5" s="195"/>
      <c r="CF5" s="188">
        <v>2300</v>
      </c>
      <c r="CG5" s="173">
        <v>-39.67</v>
      </c>
      <c r="CH5" s="195">
        <f t="shared" si="26"/>
        <v>-326988</v>
      </c>
      <c r="CI5" s="188">
        <v>3100</v>
      </c>
      <c r="CJ5" s="173">
        <v>-105.48</v>
      </c>
      <c r="CK5" s="195">
        <f t="shared" si="27"/>
        <v>-265440</v>
      </c>
      <c r="CL5" s="188">
        <v>4000</v>
      </c>
      <c r="CM5" s="173">
        <v>-66.36</v>
      </c>
      <c r="CN5" s="195">
        <f t="shared" si="28"/>
        <v>-57314.28</v>
      </c>
      <c r="CO5" s="188">
        <v>3000</v>
      </c>
      <c r="CP5" s="173">
        <v>-19.104759999999999</v>
      </c>
      <c r="CQ5" s="195">
        <f t="shared" si="29"/>
        <v>-78630</v>
      </c>
      <c r="CR5" s="188">
        <v>200</v>
      </c>
      <c r="CS5" s="173">
        <v>-393.15</v>
      </c>
      <c r="CT5" s="195">
        <f t="shared" si="30"/>
        <v>-13500</v>
      </c>
      <c r="CU5" s="188">
        <v>2500</v>
      </c>
      <c r="CV5" s="173">
        <v>-5.4</v>
      </c>
      <c r="CW5" s="195">
        <f t="shared" si="31"/>
        <v>-22606.2</v>
      </c>
      <c r="CX5" s="188">
        <v>1000</v>
      </c>
      <c r="CY5" s="173">
        <v>-22.606200000000001</v>
      </c>
      <c r="CZ5" s="195">
        <f t="shared" si="32"/>
        <v>-12449.8</v>
      </c>
      <c r="DA5" s="188">
        <v>2000</v>
      </c>
      <c r="DB5" s="173">
        <v>-6.2248999999999999</v>
      </c>
      <c r="DC5" s="195">
        <f t="shared" si="33"/>
        <v>-17706</v>
      </c>
      <c r="DD5" s="188">
        <v>5000</v>
      </c>
      <c r="DE5" s="173">
        <v>-3.5411999999999999</v>
      </c>
      <c r="DF5" s="195">
        <f t="shared" si="34"/>
        <v>-2555.1</v>
      </c>
      <c r="DG5" s="188">
        <v>3006</v>
      </c>
      <c r="DH5" s="173">
        <v>-0.85</v>
      </c>
      <c r="DI5" s="195">
        <f t="shared" si="35"/>
        <v>-16404.599999999999</v>
      </c>
      <c r="DJ5" s="188">
        <v>2000</v>
      </c>
      <c r="DK5" s="173">
        <v>-8.2022999999999993</v>
      </c>
      <c r="DL5" s="195">
        <f t="shared" si="36"/>
        <v>-1418.5</v>
      </c>
      <c r="DM5" s="188">
        <v>50</v>
      </c>
      <c r="DN5" s="173">
        <v>-28.37</v>
      </c>
      <c r="DO5" s="195">
        <f t="shared" si="37"/>
        <v>-93048.7</v>
      </c>
      <c r="DP5" s="188">
        <v>1000</v>
      </c>
      <c r="DQ5" s="173">
        <v>-93.048699999999997</v>
      </c>
      <c r="DR5" s="195">
        <f t="shared" si="38"/>
        <v>-44854.867200000001</v>
      </c>
      <c r="DS5" s="188">
        <v>4000</v>
      </c>
      <c r="DT5" s="173">
        <v>-11.2137168</v>
      </c>
      <c r="DU5" s="195">
        <f t="shared" si="39"/>
        <v>-36466</v>
      </c>
      <c r="DV5" s="188">
        <v>4000</v>
      </c>
      <c r="DW5" s="173">
        <v>-9.1165000000000003</v>
      </c>
      <c r="DX5" s="195">
        <f t="shared" si="40"/>
        <v>-1725.48</v>
      </c>
      <c r="DY5" s="188">
        <v>10</v>
      </c>
      <c r="DZ5" s="173">
        <v>-172.548</v>
      </c>
      <c r="EA5" s="195">
        <f t="shared" si="41"/>
        <v>-1</v>
      </c>
      <c r="EB5" s="188">
        <v>1000</v>
      </c>
      <c r="EC5" s="173">
        <v>-1E-3</v>
      </c>
      <c r="ED5" s="195">
        <f t="shared" si="42"/>
        <v>-13034.244999999999</v>
      </c>
      <c r="EE5" s="188">
        <v>350</v>
      </c>
      <c r="EF5" s="173">
        <v>-37.240699999999997</v>
      </c>
      <c r="EG5" s="195">
        <f t="shared" si="43"/>
        <v>-89897.968000000008</v>
      </c>
      <c r="EH5" s="188">
        <v>10852</v>
      </c>
      <c r="EI5" s="173">
        <v>-8.2840000000000007</v>
      </c>
      <c r="EJ5" s="195">
        <f t="shared" si="44"/>
        <v>-26316.316800000001</v>
      </c>
      <c r="EK5" s="188">
        <v>240</v>
      </c>
      <c r="EL5" s="173">
        <v>-109.65132</v>
      </c>
      <c r="EM5" s="195">
        <f t="shared" si="45"/>
        <v>-28695</v>
      </c>
      <c r="EN5" s="188">
        <v>1500</v>
      </c>
      <c r="EO5" s="173">
        <v>-19.13</v>
      </c>
      <c r="EP5" s="195">
        <f t="shared" si="46"/>
        <v>-98200</v>
      </c>
      <c r="EQ5" s="188">
        <v>2000</v>
      </c>
      <c r="ER5" s="173">
        <v>-49.1</v>
      </c>
      <c r="ES5" s="195">
        <f t="shared" si="47"/>
        <v>-41150</v>
      </c>
      <c r="ET5" s="188">
        <v>5000</v>
      </c>
      <c r="EU5" s="173">
        <v>-8.23</v>
      </c>
      <c r="EV5" s="195">
        <f t="shared" si="48"/>
        <v>-30179.7</v>
      </c>
      <c r="EW5" s="188">
        <v>3000</v>
      </c>
      <c r="EX5" s="184">
        <v>-10.059900000000001</v>
      </c>
      <c r="EY5" s="195">
        <f t="shared" si="49"/>
        <v>-19902</v>
      </c>
      <c r="EZ5" s="188">
        <v>200</v>
      </c>
      <c r="FA5" s="184">
        <v>-99.51</v>
      </c>
      <c r="FB5" s="195">
        <f t="shared" si="50"/>
        <v>-6400</v>
      </c>
      <c r="FC5" s="188">
        <v>800</v>
      </c>
      <c r="FD5" s="184">
        <v>-8</v>
      </c>
      <c r="FE5" s="195">
        <f t="shared" si="51"/>
        <v>-19165.73</v>
      </c>
      <c r="FF5" s="188">
        <v>20000</v>
      </c>
      <c r="FG5" s="173">
        <v>-0.95828650000000004</v>
      </c>
      <c r="FH5" s="195">
        <f t="shared" si="52"/>
        <v>-24500</v>
      </c>
      <c r="FI5" s="188">
        <v>10000</v>
      </c>
      <c r="FJ5" s="173">
        <v>-2.4500000000000002</v>
      </c>
      <c r="FK5" s="195">
        <f t="shared" si="53"/>
        <v>-45330</v>
      </c>
      <c r="FL5" s="188">
        <v>1500</v>
      </c>
      <c r="FM5" s="173">
        <v>-30.22</v>
      </c>
      <c r="FN5" s="195">
        <f t="shared" si="54"/>
        <v>-106.64999999999999</v>
      </c>
      <c r="FO5" s="188">
        <v>10</v>
      </c>
      <c r="FP5" s="173">
        <v>-10.664999999999999</v>
      </c>
      <c r="FQ5" s="195">
        <f t="shared" si="55"/>
        <v>-25180</v>
      </c>
      <c r="FR5" s="188">
        <v>2000</v>
      </c>
      <c r="FS5" s="173">
        <v>-12.59</v>
      </c>
      <c r="FT5" s="195">
        <f t="shared" si="56"/>
        <v>-17200</v>
      </c>
      <c r="FU5" s="188">
        <v>10000</v>
      </c>
      <c r="FV5" s="173">
        <v>-1.72</v>
      </c>
      <c r="FW5" s="195">
        <f t="shared" si="57"/>
        <v>-206.643</v>
      </c>
      <c r="FX5" s="188">
        <v>10</v>
      </c>
      <c r="FY5" s="173">
        <v>-20.664300000000001</v>
      </c>
      <c r="FZ5" s="195">
        <f t="shared" si="58"/>
        <v>-9582.9</v>
      </c>
      <c r="GA5" s="188">
        <v>1000</v>
      </c>
      <c r="GB5" s="173">
        <v>-9.5829000000000004</v>
      </c>
      <c r="GC5" s="195">
        <f t="shared" si="59"/>
        <v>-28.21</v>
      </c>
      <c r="GD5" s="188">
        <v>1</v>
      </c>
      <c r="GE5" s="173">
        <v>-28.21</v>
      </c>
      <c r="GF5" s="195">
        <f t="shared" si="60"/>
        <v>-28912</v>
      </c>
      <c r="GG5" s="188">
        <v>200</v>
      </c>
      <c r="GH5" s="173">
        <v>-144.56</v>
      </c>
      <c r="GI5" s="195">
        <f t="shared" si="61"/>
        <v>-1459.5749999999998</v>
      </c>
      <c r="GJ5" s="188">
        <v>39</v>
      </c>
      <c r="GK5" s="173">
        <v>-37.424999999999997</v>
      </c>
      <c r="GL5" s="195">
        <f t="shared" si="62"/>
        <v>-19965.688000000013</v>
      </c>
      <c r="GM5" s="188">
        <v>290</v>
      </c>
      <c r="GN5" s="173">
        <v>-68.847200000000043</v>
      </c>
      <c r="GO5" s="195">
        <f t="shared" si="63"/>
        <v>-157140</v>
      </c>
      <c r="GP5" s="188">
        <v>1000</v>
      </c>
      <c r="GQ5" s="173">
        <v>-157.13999999999999</v>
      </c>
      <c r="GR5" s="195">
        <f t="shared" si="64"/>
        <v>-20358.5</v>
      </c>
      <c r="GS5" s="188">
        <v>50</v>
      </c>
      <c r="GT5" s="173">
        <v>-407.17</v>
      </c>
      <c r="GU5" s="195">
        <f t="shared" si="65"/>
        <v>-40509</v>
      </c>
      <c r="GV5" s="188">
        <v>21000</v>
      </c>
      <c r="GW5" s="173">
        <v>-1.929</v>
      </c>
      <c r="GX5" s="195">
        <f t="shared" si="66"/>
        <v>-62276.5</v>
      </c>
      <c r="GY5" s="188">
        <v>670</v>
      </c>
      <c r="GZ5" s="173">
        <v>-92.95</v>
      </c>
      <c r="HA5" s="195">
        <f t="shared" si="67"/>
        <v>0</v>
      </c>
      <c r="HB5" s="185"/>
      <c r="HC5" s="173"/>
      <c r="HD5" s="195">
        <f t="shared" si="68"/>
        <v>0</v>
      </c>
      <c r="HE5" s="185"/>
      <c r="HF5" s="173"/>
      <c r="HG5" s="195">
        <f t="shared" si="69"/>
        <v>-116437.8</v>
      </c>
      <c r="HH5" s="188">
        <v>3000</v>
      </c>
      <c r="HI5" s="173">
        <v>-38.812600000000003</v>
      </c>
      <c r="HJ5" s="195">
        <f t="shared" si="70"/>
        <v>-40480</v>
      </c>
      <c r="HK5" s="188">
        <v>40000</v>
      </c>
      <c r="HL5" s="173">
        <v>-1.012</v>
      </c>
      <c r="HM5" s="195">
        <f t="shared" si="71"/>
        <v>-26740</v>
      </c>
      <c r="HN5" s="188">
        <v>2000</v>
      </c>
      <c r="HO5" s="173">
        <v>-13.37</v>
      </c>
      <c r="HP5" s="195">
        <f t="shared" si="72"/>
        <v>-4809000</v>
      </c>
      <c r="HQ5" s="188">
        <v>10000</v>
      </c>
      <c r="HR5" s="173">
        <v>-480.9</v>
      </c>
      <c r="HS5" s="195">
        <f t="shared" si="73"/>
        <v>-27705</v>
      </c>
      <c r="HT5" s="188">
        <v>3000</v>
      </c>
      <c r="HU5" s="173">
        <v>-9.2349999999999994</v>
      </c>
      <c r="HV5" s="195">
        <f t="shared" si="74"/>
        <v>0</v>
      </c>
      <c r="HW5" s="185"/>
      <c r="HX5" s="173"/>
      <c r="HY5" s="195">
        <f t="shared" si="75"/>
        <v>-60906</v>
      </c>
      <c r="HZ5" s="188">
        <v>600</v>
      </c>
      <c r="IA5" s="173">
        <v>-101.51</v>
      </c>
      <c r="IB5" s="195">
        <f t="shared" si="76"/>
        <v>0</v>
      </c>
      <c r="IC5" s="188"/>
      <c r="ID5" s="173"/>
      <c r="IE5" s="195">
        <f t="shared" si="77"/>
        <v>-62126.68</v>
      </c>
      <c r="IF5" s="188">
        <v>9647</v>
      </c>
      <c r="IG5" s="173">
        <v>-6.44</v>
      </c>
      <c r="IH5" s="195">
        <f t="shared" si="78"/>
        <v>-33059.64</v>
      </c>
      <c r="II5" s="188">
        <v>1200</v>
      </c>
      <c r="IJ5" s="173">
        <v>-27.549700000000001</v>
      </c>
      <c r="IK5" s="195">
        <f t="shared" si="79"/>
        <v>-64604</v>
      </c>
      <c r="IL5" s="188">
        <v>200</v>
      </c>
      <c r="IM5" s="173">
        <v>-323.02</v>
      </c>
      <c r="IN5" s="195">
        <f t="shared" si="80"/>
        <v>-10679.8</v>
      </c>
      <c r="IO5" s="188">
        <v>2000</v>
      </c>
      <c r="IP5" s="173">
        <v>-5.3399000000000001</v>
      </c>
      <c r="IQ5" s="195">
        <f t="shared" si="81"/>
        <v>0</v>
      </c>
      <c r="IR5" s="188"/>
      <c r="IS5" s="173"/>
      <c r="IT5" s="195">
        <f t="shared" si="82"/>
        <v>-11515.2</v>
      </c>
      <c r="IU5" s="188">
        <v>1200</v>
      </c>
      <c r="IV5" s="173">
        <v>-9.5960000000000001</v>
      </c>
      <c r="IW5" s="195">
        <f t="shared" si="83"/>
        <v>-47240</v>
      </c>
      <c r="IX5" s="188">
        <v>1000</v>
      </c>
      <c r="IY5" s="173">
        <v>-47.24</v>
      </c>
      <c r="IZ5" s="195">
        <f t="shared" si="84"/>
        <v>-39904</v>
      </c>
      <c r="JA5" s="188">
        <v>1600</v>
      </c>
      <c r="JB5" s="173">
        <v>-24.94</v>
      </c>
      <c r="JC5" s="195">
        <f t="shared" si="85"/>
        <v>-71750</v>
      </c>
      <c r="JD5" s="188">
        <v>25000</v>
      </c>
      <c r="JE5" s="173">
        <v>-2.87</v>
      </c>
      <c r="JF5" s="195">
        <f t="shared" si="86"/>
        <v>0</v>
      </c>
      <c r="JG5" s="188"/>
      <c r="JH5" s="173"/>
      <c r="JI5" s="195">
        <f t="shared" si="87"/>
        <v>0</v>
      </c>
      <c r="JJ5" s="185"/>
      <c r="JK5" s="173"/>
      <c r="JL5" s="195">
        <f t="shared" si="88"/>
        <v>-25338.5</v>
      </c>
      <c r="JM5" s="188">
        <v>550</v>
      </c>
      <c r="JN5" s="173">
        <v>-46.07</v>
      </c>
      <c r="JO5" s="195">
        <f t="shared" si="89"/>
        <v>-262.10000000000002</v>
      </c>
      <c r="JP5" s="188">
        <v>10</v>
      </c>
      <c r="JQ5" s="173">
        <v>-26.21</v>
      </c>
      <c r="JR5" s="195">
        <f t="shared" si="90"/>
        <v>-45100</v>
      </c>
      <c r="JS5" s="188">
        <v>5000</v>
      </c>
      <c r="JT5" s="173">
        <v>-9.02</v>
      </c>
      <c r="JU5" s="195" t="str" cm="1">
        <f t="array" aca="1" ref="JU5"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5" s="193">
        <v>77100</v>
      </c>
      <c r="JW5" s="173">
        <v>-5.34</v>
      </c>
      <c r="JX5" s="195" t="str" cm="1">
        <f t="array" aca="1" ref="JX5"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5" s="185"/>
      <c r="JZ5" s="184"/>
      <c r="KA5" s="195" t="str" cm="1">
        <f t="array" aca="1" ref="KA5"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5" s="185"/>
      <c r="KC5" s="184"/>
      <c r="KD5" s="195" t="str" cm="1">
        <f t="array" aca="1" ref="KD5"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5" s="185"/>
      <c r="KF5" s="184"/>
    </row>
    <row r="6" spans="1:294" x14ac:dyDescent="0.3">
      <c r="A6" s="192">
        <f>[1]Reg!A6</f>
        <v>3</v>
      </c>
      <c r="B6" s="190">
        <f t="shared" si="0"/>
        <v>-97875</v>
      </c>
      <c r="C6" s="188">
        <v>500</v>
      </c>
      <c r="D6" s="173">
        <v>-195.75</v>
      </c>
      <c r="E6" s="190">
        <f t="shared" si="1"/>
        <v>-30309.599999999999</v>
      </c>
      <c r="F6" s="188">
        <v>3000</v>
      </c>
      <c r="G6" s="173">
        <v>-10.103199999999999</v>
      </c>
      <c r="H6" s="190">
        <f t="shared" si="2"/>
        <v>-784971.00471750007</v>
      </c>
      <c r="I6" s="188">
        <v>19410</v>
      </c>
      <c r="J6" s="173">
        <v>-40.441576750000003</v>
      </c>
      <c r="K6" s="190">
        <f t="shared" si="3"/>
        <v>-173550</v>
      </c>
      <c r="L6" s="188">
        <v>1000</v>
      </c>
      <c r="M6" s="173">
        <v>-173.55</v>
      </c>
      <c r="N6" s="190">
        <f t="shared" si="4"/>
        <v>-19675</v>
      </c>
      <c r="O6" s="188">
        <v>19675</v>
      </c>
      <c r="P6" s="173">
        <v>-1</v>
      </c>
      <c r="Q6" s="190">
        <f t="shared" si="5"/>
        <v>-180765</v>
      </c>
      <c r="R6" s="188">
        <v>300</v>
      </c>
      <c r="S6" s="173">
        <v>-602.54999999999995</v>
      </c>
      <c r="T6" s="173"/>
      <c r="U6" s="173"/>
      <c r="V6" s="173"/>
      <c r="W6" s="190">
        <f t="shared" si="6"/>
        <v>0</v>
      </c>
      <c r="X6" s="188"/>
      <c r="Y6" s="173"/>
      <c r="Z6" s="190">
        <f t="shared" si="7"/>
        <v>-18700</v>
      </c>
      <c r="AA6" s="188">
        <v>10000</v>
      </c>
      <c r="AB6" s="173">
        <v>-1.87</v>
      </c>
      <c r="AC6" s="190">
        <f t="shared" si="8"/>
        <v>0</v>
      </c>
      <c r="AD6" s="188"/>
      <c r="AE6" s="173"/>
      <c r="AF6" s="190">
        <f t="shared" si="9"/>
        <v>0</v>
      </c>
      <c r="AG6" s="188"/>
      <c r="AH6" s="173"/>
      <c r="AI6" s="190">
        <f t="shared" si="10"/>
        <v>0</v>
      </c>
      <c r="AJ6" s="188"/>
      <c r="AK6" s="173"/>
      <c r="AL6" s="190">
        <f t="shared" si="11"/>
        <v>0</v>
      </c>
      <c r="AM6" s="185"/>
      <c r="AN6" s="173"/>
      <c r="AO6" s="190">
        <f t="shared" si="12"/>
        <v>-49200</v>
      </c>
      <c r="AP6" s="188">
        <v>20000</v>
      </c>
      <c r="AQ6" s="173">
        <v>-2.46</v>
      </c>
      <c r="AR6" s="190">
        <f t="shared" si="13"/>
        <v>-81893.600000000006</v>
      </c>
      <c r="AS6" s="188">
        <v>800</v>
      </c>
      <c r="AT6" s="173">
        <v>-102.367</v>
      </c>
      <c r="AU6" s="190">
        <f t="shared" si="14"/>
        <v>-13320</v>
      </c>
      <c r="AV6" s="188">
        <v>500</v>
      </c>
      <c r="AW6" s="173">
        <v>-26.64</v>
      </c>
      <c r="AX6" s="190">
        <f t="shared" si="15"/>
        <v>-1389.3000000000002</v>
      </c>
      <c r="AY6" s="188">
        <v>10</v>
      </c>
      <c r="AZ6" s="173">
        <v>-138.93</v>
      </c>
      <c r="BA6" s="190">
        <f t="shared" si="16"/>
        <v>-34794</v>
      </c>
      <c r="BB6" s="188">
        <v>2000</v>
      </c>
      <c r="BC6" s="173">
        <v>-17.396999999999998</v>
      </c>
      <c r="BD6" s="190">
        <f t="shared" si="17"/>
        <v>0</v>
      </c>
      <c r="BE6" s="188"/>
      <c r="BF6" s="173"/>
      <c r="BG6" s="190">
        <f t="shared" si="18"/>
        <v>-27300</v>
      </c>
      <c r="BH6" s="188">
        <v>15000</v>
      </c>
      <c r="BI6" s="173">
        <v>-1.82</v>
      </c>
      <c r="BJ6" s="190">
        <f t="shared" si="19"/>
        <v>0</v>
      </c>
      <c r="BK6" s="188"/>
      <c r="BL6" s="173"/>
      <c r="BM6" s="190">
        <f t="shared" si="20"/>
        <v>-60753.599999999999</v>
      </c>
      <c r="BN6" s="188">
        <v>4000</v>
      </c>
      <c r="BO6" s="173">
        <v>-15.1884</v>
      </c>
      <c r="BP6" s="190">
        <f t="shared" si="21"/>
        <v>0</v>
      </c>
      <c r="BQ6" s="188"/>
      <c r="BR6" s="173"/>
      <c r="BS6" s="190">
        <f t="shared" si="22"/>
        <v>-14494999.999999998</v>
      </c>
      <c r="BT6" s="188">
        <v>100000</v>
      </c>
      <c r="BU6" s="173">
        <v>-144.94999999999999</v>
      </c>
      <c r="BV6" s="190">
        <f t="shared" si="23"/>
        <v>-101100</v>
      </c>
      <c r="BW6" s="188">
        <v>2000</v>
      </c>
      <c r="BX6" s="173">
        <v>-50.55</v>
      </c>
      <c r="BY6" s="190">
        <f t="shared" si="24"/>
        <v>0</v>
      </c>
      <c r="BZ6" s="185"/>
      <c r="CA6" s="173"/>
      <c r="CB6" s="190">
        <f t="shared" si="25"/>
        <v>0</v>
      </c>
      <c r="CC6" s="185"/>
      <c r="CD6" s="173"/>
      <c r="CE6" s="190"/>
      <c r="CF6" s="188">
        <v>3000</v>
      </c>
      <c r="CG6" s="173">
        <v>-41.35</v>
      </c>
      <c r="CH6" s="190">
        <f t="shared" si="26"/>
        <v>-56764.5</v>
      </c>
      <c r="CI6" s="188">
        <v>150</v>
      </c>
      <c r="CJ6" s="173">
        <v>-378.43</v>
      </c>
      <c r="CK6" s="190">
        <f t="shared" si="27"/>
        <v>-13606</v>
      </c>
      <c r="CL6" s="188">
        <v>200</v>
      </c>
      <c r="CM6" s="173">
        <v>-68.03</v>
      </c>
      <c r="CN6" s="190">
        <f t="shared" si="28"/>
        <v>-74360</v>
      </c>
      <c r="CO6" s="188">
        <v>2000</v>
      </c>
      <c r="CP6" s="173">
        <v>-37.18</v>
      </c>
      <c r="CQ6" s="190">
        <f t="shared" si="29"/>
        <v>-240556</v>
      </c>
      <c r="CR6" s="188">
        <v>400</v>
      </c>
      <c r="CS6" s="173">
        <v>-601.39</v>
      </c>
      <c r="CT6" s="190">
        <f t="shared" si="30"/>
        <v>-238105.36749999999</v>
      </c>
      <c r="CU6" s="188">
        <v>24167</v>
      </c>
      <c r="CV6" s="173">
        <v>-9.8524999999999991</v>
      </c>
      <c r="CW6" s="190">
        <f t="shared" si="31"/>
        <v>-22960</v>
      </c>
      <c r="CX6" s="188">
        <v>1000</v>
      </c>
      <c r="CY6" s="173">
        <v>-22.96</v>
      </c>
      <c r="CZ6" s="190">
        <f t="shared" si="32"/>
        <v>0</v>
      </c>
      <c r="DA6" s="188"/>
      <c r="DB6" s="173"/>
      <c r="DC6" s="190">
        <f t="shared" si="33"/>
        <v>-26460</v>
      </c>
      <c r="DD6" s="188">
        <v>7000</v>
      </c>
      <c r="DE6" s="173">
        <v>-3.78</v>
      </c>
      <c r="DF6" s="190">
        <f t="shared" si="34"/>
        <v>-928.12720000000002</v>
      </c>
      <c r="DG6" s="188">
        <v>988</v>
      </c>
      <c r="DH6" s="173">
        <v>-0.93940000000000001</v>
      </c>
      <c r="DI6" s="190">
        <f t="shared" si="35"/>
        <v>0</v>
      </c>
      <c r="DJ6" s="188"/>
      <c r="DK6" s="173"/>
      <c r="DL6" s="190">
        <f t="shared" si="36"/>
        <v>0</v>
      </c>
      <c r="DM6" s="188"/>
      <c r="DN6" s="173"/>
      <c r="DO6" s="190">
        <f t="shared" si="37"/>
        <v>-66875.98000000001</v>
      </c>
      <c r="DP6" s="188">
        <v>499</v>
      </c>
      <c r="DQ6" s="173">
        <v>-134.02000000000001</v>
      </c>
      <c r="DR6" s="190">
        <f t="shared" si="38"/>
        <v>-56673.200000000004</v>
      </c>
      <c r="DS6" s="188">
        <v>4000</v>
      </c>
      <c r="DT6" s="173">
        <v>-14.1683</v>
      </c>
      <c r="DU6" s="190">
        <f t="shared" si="39"/>
        <v>-27750</v>
      </c>
      <c r="DV6" s="188">
        <v>3000</v>
      </c>
      <c r="DW6" s="173">
        <v>-9.25</v>
      </c>
      <c r="DX6" s="190">
        <f t="shared" si="40"/>
        <v>0</v>
      </c>
      <c r="DY6" s="188"/>
      <c r="DZ6" s="173"/>
      <c r="EA6" s="190">
        <f t="shared" si="41"/>
        <v>-205632</v>
      </c>
      <c r="EB6" s="188">
        <v>1350</v>
      </c>
      <c r="EC6" s="173">
        <v>-152.32</v>
      </c>
      <c r="ED6" s="190">
        <f t="shared" si="42"/>
        <v>-5667.69</v>
      </c>
      <c r="EE6" s="188">
        <v>137</v>
      </c>
      <c r="EF6" s="173">
        <v>-41.37</v>
      </c>
      <c r="EG6" s="190">
        <f t="shared" si="43"/>
        <v>-67285.5</v>
      </c>
      <c r="EH6" s="188">
        <v>7235</v>
      </c>
      <c r="EI6" s="173">
        <v>-9.3000000000000007</v>
      </c>
      <c r="EJ6" s="190">
        <f t="shared" si="44"/>
        <v>-22376.841662999999</v>
      </c>
      <c r="EK6" s="188">
        <v>110</v>
      </c>
      <c r="EL6" s="173">
        <v>-203.42583329999999</v>
      </c>
      <c r="EM6" s="190">
        <f t="shared" si="45"/>
        <v>0</v>
      </c>
      <c r="EN6" s="185"/>
      <c r="EO6" s="173"/>
      <c r="EP6" s="190">
        <f t="shared" si="46"/>
        <v>-303763.8</v>
      </c>
      <c r="EQ6" s="188">
        <v>6000</v>
      </c>
      <c r="ER6" s="173">
        <v>-50.627299999999998</v>
      </c>
      <c r="ES6" s="190">
        <f t="shared" si="47"/>
        <v>0</v>
      </c>
      <c r="ET6" s="188"/>
      <c r="EU6" s="173"/>
      <c r="EV6" s="190">
        <f t="shared" si="48"/>
        <v>0</v>
      </c>
      <c r="EW6" s="188"/>
      <c r="EX6" s="194"/>
      <c r="EY6" s="190">
        <f t="shared" si="49"/>
        <v>0</v>
      </c>
      <c r="EZ6" s="185"/>
      <c r="FA6" s="194"/>
      <c r="FB6" s="190">
        <f t="shared" si="50"/>
        <v>-33796.980000000003</v>
      </c>
      <c r="FC6" s="188">
        <v>4200</v>
      </c>
      <c r="FD6" s="194">
        <v>-8.0469000000000008</v>
      </c>
      <c r="FE6" s="190">
        <f t="shared" si="51"/>
        <v>-20200</v>
      </c>
      <c r="FF6" s="188">
        <v>20000</v>
      </c>
      <c r="FG6" s="173">
        <v>-1.01</v>
      </c>
      <c r="FH6" s="190">
        <f t="shared" si="52"/>
        <v>0</v>
      </c>
      <c r="FI6" s="188"/>
      <c r="FJ6" s="173"/>
      <c r="FK6" s="190">
        <f t="shared" si="53"/>
        <v>-15680</v>
      </c>
      <c r="FL6" s="188">
        <v>500</v>
      </c>
      <c r="FM6" s="173">
        <v>-31.36</v>
      </c>
      <c r="FN6" s="190">
        <f t="shared" si="54"/>
        <v>0</v>
      </c>
      <c r="FO6" s="188"/>
      <c r="FP6" s="173"/>
      <c r="FQ6" s="190">
        <f t="shared" si="55"/>
        <v>-101274.4</v>
      </c>
      <c r="FR6" s="188">
        <v>8000</v>
      </c>
      <c r="FS6" s="173">
        <v>-12.6593</v>
      </c>
      <c r="FT6" s="190">
        <f t="shared" si="56"/>
        <v>-13860</v>
      </c>
      <c r="FU6" s="188">
        <v>2000</v>
      </c>
      <c r="FV6" s="173">
        <v>-6.93</v>
      </c>
      <c r="FW6" s="190">
        <f t="shared" si="57"/>
        <v>-42406.899999999994</v>
      </c>
      <c r="FX6" s="188">
        <v>1990</v>
      </c>
      <c r="FY6" s="173">
        <v>-21.31</v>
      </c>
      <c r="FZ6" s="190">
        <f t="shared" si="58"/>
        <v>-57900</v>
      </c>
      <c r="GA6" s="188">
        <v>6000</v>
      </c>
      <c r="GB6" s="173">
        <v>-9.65</v>
      </c>
      <c r="GC6" s="190">
        <f t="shared" si="59"/>
        <v>0</v>
      </c>
      <c r="GD6" s="188"/>
      <c r="GE6" s="173"/>
      <c r="GF6" s="190">
        <f t="shared" si="60"/>
        <v>-33579.760000000002</v>
      </c>
      <c r="GG6" s="188">
        <v>200</v>
      </c>
      <c r="GH6" s="173">
        <v>-167.89879999999999</v>
      </c>
      <c r="GI6" s="190">
        <f t="shared" si="61"/>
        <v>-341.09999999999997</v>
      </c>
      <c r="GJ6" s="188">
        <v>9</v>
      </c>
      <c r="GK6" s="173">
        <v>-37.9</v>
      </c>
      <c r="GL6" s="190">
        <f t="shared" si="62"/>
        <v>-39889.5</v>
      </c>
      <c r="GM6" s="188">
        <v>210</v>
      </c>
      <c r="GN6" s="173">
        <v>-189.95</v>
      </c>
      <c r="GO6" s="190">
        <f t="shared" si="63"/>
        <v>-42980</v>
      </c>
      <c r="GP6" s="188">
        <v>250</v>
      </c>
      <c r="GQ6" s="173">
        <v>-171.92</v>
      </c>
      <c r="GR6" s="190">
        <f t="shared" si="64"/>
        <v>-80995.199999999997</v>
      </c>
      <c r="GS6" s="188">
        <v>130</v>
      </c>
      <c r="GT6" s="173">
        <v>-623.04</v>
      </c>
      <c r="GU6" s="190">
        <f t="shared" si="65"/>
        <v>-67282.5</v>
      </c>
      <c r="GV6" s="188">
        <v>25000</v>
      </c>
      <c r="GW6" s="173">
        <v>-2.6913</v>
      </c>
      <c r="GX6" s="190">
        <f t="shared" si="66"/>
        <v>0</v>
      </c>
      <c r="GY6" s="188"/>
      <c r="GZ6" s="173"/>
      <c r="HA6" s="190">
        <f t="shared" si="67"/>
        <v>0</v>
      </c>
      <c r="HB6" s="185"/>
      <c r="HC6" s="173"/>
      <c r="HD6" s="190">
        <f t="shared" si="68"/>
        <v>0</v>
      </c>
      <c r="HE6" s="185"/>
      <c r="HF6" s="173"/>
      <c r="HG6" s="190">
        <f t="shared" si="69"/>
        <v>-72541.700000000012</v>
      </c>
      <c r="HH6" s="188">
        <v>1000</v>
      </c>
      <c r="HI6" s="173">
        <v>-72.541700000000006</v>
      </c>
      <c r="HJ6" s="190">
        <f t="shared" si="70"/>
        <v>-38800</v>
      </c>
      <c r="HK6" s="188">
        <v>20000</v>
      </c>
      <c r="HL6" s="173">
        <v>-1.94</v>
      </c>
      <c r="HM6" s="190">
        <f t="shared" si="71"/>
        <v>0</v>
      </c>
      <c r="HN6" s="188"/>
      <c r="HO6" s="173"/>
      <c r="HP6" s="190">
        <f t="shared" si="72"/>
        <v>-4821301</v>
      </c>
      <c r="HQ6" s="188">
        <v>10000</v>
      </c>
      <c r="HR6" s="173">
        <v>-482.13010000000003</v>
      </c>
      <c r="HS6" s="190">
        <f t="shared" si="73"/>
        <v>0</v>
      </c>
      <c r="HT6" s="188"/>
      <c r="HU6" s="173"/>
      <c r="HV6" s="190">
        <f t="shared" si="74"/>
        <v>0</v>
      </c>
      <c r="HW6" s="185"/>
      <c r="HX6" s="173"/>
      <c r="HY6" s="190">
        <f t="shared" si="75"/>
        <v>0</v>
      </c>
      <c r="HZ6" s="188"/>
      <c r="IA6" s="173"/>
      <c r="IB6" s="190">
        <f t="shared" si="76"/>
        <v>0</v>
      </c>
      <c r="IC6" s="185"/>
      <c r="ID6" s="173"/>
      <c r="IE6" s="190">
        <f t="shared" si="77"/>
        <v>-22242.92</v>
      </c>
      <c r="IF6" s="188">
        <v>518</v>
      </c>
      <c r="IG6" s="173">
        <v>-42.94</v>
      </c>
      <c r="IH6" s="190">
        <f t="shared" si="78"/>
        <v>0</v>
      </c>
      <c r="II6" s="188"/>
      <c r="IJ6" s="173"/>
      <c r="IK6" s="190">
        <f t="shared" si="79"/>
        <v>0</v>
      </c>
      <c r="IL6" s="185"/>
      <c r="IM6" s="173"/>
      <c r="IN6" s="190">
        <f t="shared" si="80"/>
        <v>-43869.599999999999</v>
      </c>
      <c r="IO6" s="188">
        <v>4500</v>
      </c>
      <c r="IP6" s="173">
        <v>-9.7487999999999992</v>
      </c>
      <c r="IQ6" s="190">
        <f t="shared" si="81"/>
        <v>0</v>
      </c>
      <c r="IR6" s="188"/>
      <c r="IS6" s="173"/>
      <c r="IT6" s="190">
        <f t="shared" si="82"/>
        <v>0</v>
      </c>
      <c r="IU6" s="185"/>
      <c r="IV6" s="173"/>
      <c r="IW6" s="190">
        <f t="shared" si="83"/>
        <v>-43281</v>
      </c>
      <c r="IX6" s="188">
        <v>900</v>
      </c>
      <c r="IY6" s="173">
        <v>-48.09</v>
      </c>
      <c r="IZ6" s="190">
        <f t="shared" si="84"/>
        <v>0</v>
      </c>
      <c r="JA6" s="188"/>
      <c r="JB6" s="173"/>
      <c r="JC6" s="190">
        <f t="shared" si="85"/>
        <v>-9120</v>
      </c>
      <c r="JD6" s="188">
        <v>3000</v>
      </c>
      <c r="JE6" s="173">
        <v>-3.04</v>
      </c>
      <c r="JF6" s="190">
        <f t="shared" si="86"/>
        <v>0</v>
      </c>
      <c r="JG6" s="188"/>
      <c r="JH6" s="173"/>
      <c r="JI6" s="190">
        <f t="shared" si="87"/>
        <v>0</v>
      </c>
      <c r="JJ6" s="185"/>
      <c r="JK6" s="173"/>
      <c r="JL6" s="190">
        <f t="shared" si="88"/>
        <v>-15763.5</v>
      </c>
      <c r="JM6" s="188">
        <v>150</v>
      </c>
      <c r="JN6" s="173">
        <v>-105.09</v>
      </c>
      <c r="JO6" s="190">
        <f t="shared" si="89"/>
        <v>0</v>
      </c>
      <c r="JP6" s="188"/>
      <c r="JQ6" s="173"/>
      <c r="JR6" s="190">
        <f t="shared" si="90"/>
        <v>-24190</v>
      </c>
      <c r="JS6" s="188">
        <v>2000</v>
      </c>
      <c r="JT6" s="173">
        <v>-12.095000000000001</v>
      </c>
      <c r="JU6" s="190" t="str" cm="1">
        <f t="array" aca="1" ref="JU6"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6" s="193"/>
      <c r="JW6" s="173"/>
      <c r="JX6" s="190" t="str" cm="1">
        <f t="array" aca="1" ref="JX6"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6" s="185"/>
      <c r="JZ6" s="194"/>
      <c r="KA6" s="190" t="str" cm="1">
        <f t="array" aca="1" ref="KA6"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6" s="185"/>
      <c r="KC6" s="194"/>
      <c r="KD6" s="190" t="str" cm="1">
        <f t="array" aca="1" ref="KD6"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6" s="185"/>
      <c r="KF6" s="194"/>
    </row>
    <row r="7" spans="1:294" x14ac:dyDescent="0.3">
      <c r="A7" s="191">
        <f>[1]Reg!A7</f>
        <v>4</v>
      </c>
      <c r="B7" s="190">
        <f t="shared" si="0"/>
        <v>-58998</v>
      </c>
      <c r="C7" s="188">
        <v>300</v>
      </c>
      <c r="D7" s="173">
        <v>-196.66</v>
      </c>
      <c r="E7" s="190">
        <f t="shared" si="1"/>
        <v>-123.69999999999999</v>
      </c>
      <c r="F7" s="188">
        <v>10</v>
      </c>
      <c r="G7" s="173">
        <v>-12.37</v>
      </c>
      <c r="H7" s="190">
        <f t="shared" si="2"/>
        <v>-289829.88999999996</v>
      </c>
      <c r="I7" s="188">
        <v>7000</v>
      </c>
      <c r="J7" s="173">
        <v>-41.404269999999997</v>
      </c>
      <c r="K7" s="190">
        <f t="shared" si="3"/>
        <v>-354954.4</v>
      </c>
      <c r="L7" s="188">
        <v>2000</v>
      </c>
      <c r="M7" s="173">
        <v>-177.47720000000001</v>
      </c>
      <c r="N7" s="190">
        <f t="shared" si="4"/>
        <v>-22919.510000000002</v>
      </c>
      <c r="O7" s="188">
        <v>20000</v>
      </c>
      <c r="P7" s="173">
        <v>-1.1459755</v>
      </c>
      <c r="Q7" s="190">
        <f t="shared" si="5"/>
        <v>-120759.99999999999</v>
      </c>
      <c r="R7" s="188">
        <v>200</v>
      </c>
      <c r="S7" s="173">
        <v>-603.79999999999995</v>
      </c>
      <c r="T7" s="173"/>
      <c r="U7" s="173"/>
      <c r="V7" s="173"/>
      <c r="W7" s="190">
        <f t="shared" si="6"/>
        <v>0</v>
      </c>
      <c r="X7" s="188"/>
      <c r="Y7" s="173"/>
      <c r="Z7" s="190">
        <f t="shared" si="7"/>
        <v>-13967.999999999998</v>
      </c>
      <c r="AA7" s="188">
        <v>6000</v>
      </c>
      <c r="AB7" s="173">
        <v>-2.3279999999999998</v>
      </c>
      <c r="AC7" s="190">
        <f t="shared" si="8"/>
        <v>0</v>
      </c>
      <c r="AD7" s="185"/>
      <c r="AE7" s="173"/>
      <c r="AF7" s="190">
        <f t="shared" si="9"/>
        <v>0</v>
      </c>
      <c r="AG7" s="188"/>
      <c r="AH7" s="173"/>
      <c r="AI7" s="190">
        <f t="shared" si="10"/>
        <v>0</v>
      </c>
      <c r="AJ7" s="185"/>
      <c r="AK7" s="173"/>
      <c r="AL7" s="190">
        <f t="shared" si="11"/>
        <v>0</v>
      </c>
      <c r="AM7" s="185"/>
      <c r="AN7" s="173"/>
      <c r="AO7" s="190">
        <f t="shared" si="12"/>
        <v>-15600</v>
      </c>
      <c r="AP7" s="188">
        <v>5000</v>
      </c>
      <c r="AQ7" s="173">
        <v>-3.12</v>
      </c>
      <c r="AR7" s="190">
        <f t="shared" si="13"/>
        <v>0</v>
      </c>
      <c r="AS7" s="188"/>
      <c r="AT7" s="173"/>
      <c r="AU7" s="190">
        <f t="shared" si="14"/>
        <v>-15475</v>
      </c>
      <c r="AV7" s="188">
        <v>500</v>
      </c>
      <c r="AW7" s="173">
        <v>-30.95</v>
      </c>
      <c r="AX7" s="190">
        <f t="shared" si="15"/>
        <v>0</v>
      </c>
      <c r="AY7" s="188"/>
      <c r="AZ7" s="173"/>
      <c r="BA7" s="190">
        <f t="shared" si="16"/>
        <v>0</v>
      </c>
      <c r="BB7" s="185"/>
      <c r="BC7" s="173"/>
      <c r="BD7" s="190">
        <f t="shared" si="17"/>
        <v>0</v>
      </c>
      <c r="BE7" s="188"/>
      <c r="BF7" s="173"/>
      <c r="BG7" s="190">
        <f t="shared" si="18"/>
        <v>-15610.5</v>
      </c>
      <c r="BH7" s="188">
        <v>3000</v>
      </c>
      <c r="BI7" s="173">
        <v>-5.2035</v>
      </c>
      <c r="BJ7" s="190">
        <f t="shared" si="19"/>
        <v>0</v>
      </c>
      <c r="BK7" s="185"/>
      <c r="BL7" s="173"/>
      <c r="BM7" s="190">
        <f t="shared" si="20"/>
        <v>-63040</v>
      </c>
      <c r="BN7" s="188">
        <v>4000</v>
      </c>
      <c r="BO7" s="173">
        <v>-15.76</v>
      </c>
      <c r="BP7" s="190">
        <f t="shared" si="21"/>
        <v>0</v>
      </c>
      <c r="BQ7" s="188"/>
      <c r="BR7" s="173"/>
      <c r="BS7" s="190">
        <f t="shared" si="22"/>
        <v>-3140000</v>
      </c>
      <c r="BT7" s="188">
        <v>20000</v>
      </c>
      <c r="BU7" s="173">
        <v>-157</v>
      </c>
      <c r="BV7" s="190">
        <f t="shared" si="23"/>
        <v>0</v>
      </c>
      <c r="BW7" s="188"/>
      <c r="BX7" s="173"/>
      <c r="BY7" s="190">
        <f t="shared" si="24"/>
        <v>0</v>
      </c>
      <c r="BZ7" s="185"/>
      <c r="CA7" s="173"/>
      <c r="CB7" s="190">
        <f t="shared" si="25"/>
        <v>0</v>
      </c>
      <c r="CC7" s="185"/>
      <c r="CD7" s="173"/>
      <c r="CE7" s="190"/>
      <c r="CF7" s="188">
        <v>1000</v>
      </c>
      <c r="CG7" s="173">
        <v>-47.13</v>
      </c>
      <c r="CH7" s="190">
        <f t="shared" si="26"/>
        <v>-56814</v>
      </c>
      <c r="CI7" s="188">
        <v>150</v>
      </c>
      <c r="CJ7" s="173">
        <v>-378.76</v>
      </c>
      <c r="CK7" s="190">
        <f t="shared" si="27"/>
        <v>0</v>
      </c>
      <c r="CL7" s="188"/>
      <c r="CM7" s="173"/>
      <c r="CN7" s="190">
        <f t="shared" si="28"/>
        <v>-81466.600000000006</v>
      </c>
      <c r="CO7" s="188">
        <v>2000</v>
      </c>
      <c r="CP7" s="173">
        <v>-40.7333</v>
      </c>
      <c r="CQ7" s="190">
        <f t="shared" si="29"/>
        <v>0</v>
      </c>
      <c r="CR7" s="188"/>
      <c r="CS7" s="173"/>
      <c r="CT7" s="190">
        <f t="shared" si="30"/>
        <v>0</v>
      </c>
      <c r="CU7" s="188"/>
      <c r="CV7" s="173"/>
      <c r="CW7" s="190">
        <f t="shared" si="31"/>
        <v>-23810</v>
      </c>
      <c r="CX7" s="188">
        <v>1000</v>
      </c>
      <c r="CY7" s="173">
        <v>-23.81</v>
      </c>
      <c r="CZ7" s="190">
        <f t="shared" si="32"/>
        <v>0</v>
      </c>
      <c r="DA7" s="188"/>
      <c r="DB7" s="173"/>
      <c r="DC7" s="190">
        <f t="shared" si="33"/>
        <v>-12800</v>
      </c>
      <c r="DD7" s="188">
        <v>2500</v>
      </c>
      <c r="DE7" s="173">
        <v>-5.12</v>
      </c>
      <c r="DF7" s="190">
        <f t="shared" si="34"/>
        <v>-7180.1729999999998</v>
      </c>
      <c r="DG7" s="188">
        <v>6006</v>
      </c>
      <c r="DH7" s="173">
        <v>-1.1955</v>
      </c>
      <c r="DI7" s="190">
        <f t="shared" si="35"/>
        <v>0</v>
      </c>
      <c r="DJ7" s="188"/>
      <c r="DK7" s="173"/>
      <c r="DL7" s="190">
        <f t="shared" si="36"/>
        <v>0</v>
      </c>
      <c r="DM7" s="185"/>
      <c r="DN7" s="173"/>
      <c r="DO7" s="190">
        <f t="shared" si="37"/>
        <v>-147120</v>
      </c>
      <c r="DP7" s="188">
        <v>1000</v>
      </c>
      <c r="DQ7" s="173">
        <v>-147.12</v>
      </c>
      <c r="DR7" s="190">
        <f t="shared" si="38"/>
        <v>-44670</v>
      </c>
      <c r="DS7" s="188">
        <v>3000</v>
      </c>
      <c r="DT7" s="173">
        <v>-14.89</v>
      </c>
      <c r="DU7" s="190">
        <f t="shared" si="39"/>
        <v>-20026.599999999999</v>
      </c>
      <c r="DV7" s="188">
        <v>2000</v>
      </c>
      <c r="DW7" s="173">
        <v>-10.013299999999999</v>
      </c>
      <c r="DX7" s="190">
        <f t="shared" si="40"/>
        <v>0</v>
      </c>
      <c r="DY7" s="188"/>
      <c r="DZ7" s="173"/>
      <c r="EA7" s="190">
        <f t="shared" si="41"/>
        <v>-30516.000000000004</v>
      </c>
      <c r="EB7" s="188">
        <v>200</v>
      </c>
      <c r="EC7" s="173">
        <v>-152.58000000000001</v>
      </c>
      <c r="ED7" s="190">
        <f t="shared" si="42"/>
        <v>-15318.6</v>
      </c>
      <c r="EE7" s="188">
        <v>363</v>
      </c>
      <c r="EF7" s="173">
        <v>-42.2</v>
      </c>
      <c r="EG7" s="190">
        <f t="shared" si="43"/>
        <v>0</v>
      </c>
      <c r="EH7" s="188"/>
      <c r="EI7" s="173"/>
      <c r="EJ7" s="190">
        <f t="shared" si="44"/>
        <v>0</v>
      </c>
      <c r="EK7" s="188"/>
      <c r="EL7" s="173"/>
      <c r="EM7" s="190">
        <f t="shared" si="45"/>
        <v>0</v>
      </c>
      <c r="EN7" s="185"/>
      <c r="EO7" s="173"/>
      <c r="EP7" s="190">
        <f t="shared" si="46"/>
        <v>-52900</v>
      </c>
      <c r="EQ7" s="188">
        <v>1000</v>
      </c>
      <c r="ER7" s="173">
        <v>-52.9</v>
      </c>
      <c r="ES7" s="190">
        <f t="shared" si="47"/>
        <v>0</v>
      </c>
      <c r="ET7" s="185"/>
      <c r="EU7" s="173"/>
      <c r="EV7" s="190">
        <f t="shared" si="48"/>
        <v>0</v>
      </c>
      <c r="EW7" s="185"/>
      <c r="EX7" s="184"/>
      <c r="EY7" s="190">
        <f t="shared" si="49"/>
        <v>0</v>
      </c>
      <c r="EZ7" s="185"/>
      <c r="FA7" s="184"/>
      <c r="FB7" s="190">
        <f t="shared" si="50"/>
        <v>0</v>
      </c>
      <c r="FC7" s="188"/>
      <c r="FD7" s="184"/>
      <c r="FE7" s="190">
        <f t="shared" si="51"/>
        <v>-21400</v>
      </c>
      <c r="FF7" s="188">
        <v>20000</v>
      </c>
      <c r="FG7" s="173">
        <v>-1.07</v>
      </c>
      <c r="FH7" s="190">
        <f t="shared" si="52"/>
        <v>0</v>
      </c>
      <c r="FI7" s="188"/>
      <c r="FJ7" s="173"/>
      <c r="FK7" s="190">
        <f t="shared" si="53"/>
        <v>-131800</v>
      </c>
      <c r="FL7" s="188">
        <v>4000</v>
      </c>
      <c r="FM7" s="173">
        <v>-32.950000000000003</v>
      </c>
      <c r="FN7" s="190">
        <f t="shared" si="54"/>
        <v>0</v>
      </c>
      <c r="FO7" s="188"/>
      <c r="FP7" s="173"/>
      <c r="FQ7" s="190">
        <f t="shared" si="55"/>
        <v>-103680</v>
      </c>
      <c r="FR7" s="188">
        <v>8000</v>
      </c>
      <c r="FS7" s="173">
        <v>-12.96</v>
      </c>
      <c r="FT7" s="190">
        <f t="shared" si="56"/>
        <v>0</v>
      </c>
      <c r="FU7" s="188"/>
      <c r="FV7" s="173"/>
      <c r="FW7" s="190">
        <f t="shared" si="57"/>
        <v>0</v>
      </c>
      <c r="FX7" s="185"/>
      <c r="FY7" s="173"/>
      <c r="FZ7" s="190">
        <f t="shared" si="58"/>
        <v>-52050</v>
      </c>
      <c r="GA7" s="188">
        <v>5000</v>
      </c>
      <c r="GB7" s="173">
        <v>-10.41</v>
      </c>
      <c r="GC7" s="190">
        <f t="shared" si="59"/>
        <v>0</v>
      </c>
      <c r="GD7" s="188"/>
      <c r="GE7" s="173"/>
      <c r="GF7" s="190">
        <f t="shared" si="60"/>
        <v>-169.08</v>
      </c>
      <c r="GG7" s="188">
        <v>1</v>
      </c>
      <c r="GH7" s="173">
        <v>-169.08</v>
      </c>
      <c r="GI7" s="190">
        <f t="shared" si="61"/>
        <v>-21100</v>
      </c>
      <c r="GJ7" s="188">
        <v>500</v>
      </c>
      <c r="GK7" s="173">
        <v>-42.2</v>
      </c>
      <c r="GL7" s="190">
        <f t="shared" si="62"/>
        <v>0</v>
      </c>
      <c r="GM7" s="188"/>
      <c r="GN7" s="173"/>
      <c r="GO7" s="190">
        <f t="shared" si="63"/>
        <v>-87110</v>
      </c>
      <c r="GP7" s="188">
        <v>500</v>
      </c>
      <c r="GQ7" s="173">
        <v>-174.22</v>
      </c>
      <c r="GR7" s="190">
        <f t="shared" si="64"/>
        <v>0</v>
      </c>
      <c r="GS7" s="188"/>
      <c r="GT7" s="173"/>
      <c r="GU7" s="190">
        <f t="shared" si="65"/>
        <v>-68600</v>
      </c>
      <c r="GV7" s="188">
        <v>20000</v>
      </c>
      <c r="GW7" s="173">
        <v>-3.43</v>
      </c>
      <c r="GX7" s="190">
        <f t="shared" si="66"/>
        <v>0</v>
      </c>
      <c r="GY7" s="188"/>
      <c r="GZ7" s="173"/>
      <c r="HA7" s="190">
        <f t="shared" si="67"/>
        <v>0</v>
      </c>
      <c r="HB7" s="185"/>
      <c r="HC7" s="173"/>
      <c r="HD7" s="190">
        <f t="shared" si="68"/>
        <v>0</v>
      </c>
      <c r="HE7" s="185"/>
      <c r="HF7" s="173"/>
      <c r="HG7" s="190">
        <f t="shared" si="69"/>
        <v>-37166.850000000006</v>
      </c>
      <c r="HH7" s="188">
        <v>399</v>
      </c>
      <c r="HI7" s="173">
        <v>-93.15</v>
      </c>
      <c r="HJ7" s="190">
        <f t="shared" si="70"/>
        <v>-58200</v>
      </c>
      <c r="HK7" s="188">
        <v>20000</v>
      </c>
      <c r="HL7" s="173">
        <v>-2.91</v>
      </c>
      <c r="HM7" s="190">
        <f t="shared" si="71"/>
        <v>0</v>
      </c>
      <c r="HN7" s="188"/>
      <c r="HO7" s="173"/>
      <c r="HP7" s="190">
        <f t="shared" si="72"/>
        <v>0</v>
      </c>
      <c r="HQ7" s="188"/>
      <c r="HR7" s="173"/>
      <c r="HS7" s="190">
        <f t="shared" si="73"/>
        <v>0</v>
      </c>
      <c r="HT7" s="188"/>
      <c r="HU7" s="173"/>
      <c r="HV7" s="190">
        <f t="shared" si="74"/>
        <v>0</v>
      </c>
      <c r="HW7" s="185"/>
      <c r="HX7" s="173"/>
      <c r="HY7" s="190">
        <f t="shared" si="75"/>
        <v>0</v>
      </c>
      <c r="HZ7" s="188"/>
      <c r="IA7" s="173"/>
      <c r="IB7" s="190">
        <f t="shared" si="76"/>
        <v>0</v>
      </c>
      <c r="IC7" s="185"/>
      <c r="ID7" s="173"/>
      <c r="IE7" s="190">
        <f t="shared" si="77"/>
        <v>-252019.24</v>
      </c>
      <c r="IF7" s="188">
        <v>5353</v>
      </c>
      <c r="IG7" s="173">
        <v>-47.08</v>
      </c>
      <c r="IH7" s="190">
        <f t="shared" si="78"/>
        <v>0</v>
      </c>
      <c r="II7" s="185"/>
      <c r="IJ7" s="173"/>
      <c r="IK7" s="190">
        <f t="shared" si="79"/>
        <v>0</v>
      </c>
      <c r="IL7" s="185"/>
      <c r="IM7" s="173"/>
      <c r="IN7" s="190">
        <f t="shared" si="80"/>
        <v>-43875</v>
      </c>
      <c r="IO7" s="188">
        <v>4500</v>
      </c>
      <c r="IP7" s="173">
        <v>-9.75</v>
      </c>
      <c r="IQ7" s="190">
        <f t="shared" si="81"/>
        <v>0</v>
      </c>
      <c r="IR7" s="185"/>
      <c r="IS7" s="173"/>
      <c r="IT7" s="190">
        <f t="shared" si="82"/>
        <v>0</v>
      </c>
      <c r="IU7" s="185"/>
      <c r="IV7" s="173"/>
      <c r="IW7" s="190">
        <f t="shared" si="83"/>
        <v>-64436.9</v>
      </c>
      <c r="IX7" s="188">
        <v>1100</v>
      </c>
      <c r="IY7" s="173">
        <v>-58.579000000000001</v>
      </c>
      <c r="IZ7" s="190">
        <f t="shared" si="84"/>
        <v>0</v>
      </c>
      <c r="JA7" s="188"/>
      <c r="JB7" s="173"/>
      <c r="JC7" s="190">
        <f t="shared" si="85"/>
        <v>-25900</v>
      </c>
      <c r="JD7" s="188">
        <v>7000</v>
      </c>
      <c r="JE7" s="173">
        <v>-3.7</v>
      </c>
      <c r="JF7" s="190">
        <f t="shared" si="86"/>
        <v>0</v>
      </c>
      <c r="JG7" s="185"/>
      <c r="JH7" s="173"/>
      <c r="JI7" s="190">
        <f t="shared" si="87"/>
        <v>0</v>
      </c>
      <c r="JJ7" s="185"/>
      <c r="JK7" s="173"/>
      <c r="JL7" s="190">
        <f t="shared" si="88"/>
        <v>-61250</v>
      </c>
      <c r="JM7" s="188">
        <v>500</v>
      </c>
      <c r="JN7" s="173">
        <v>-122.5</v>
      </c>
      <c r="JO7" s="190">
        <f t="shared" si="89"/>
        <v>0</v>
      </c>
      <c r="JP7" s="188"/>
      <c r="JQ7" s="173"/>
      <c r="JR7" s="190">
        <f t="shared" si="90"/>
        <v>-73650</v>
      </c>
      <c r="JS7" s="188">
        <v>5000</v>
      </c>
      <c r="JT7" s="173">
        <v>-14.73</v>
      </c>
      <c r="JU7" s="190" t="str" cm="1">
        <f t="array" aca="1" ref="JU7"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7" s="193"/>
      <c r="JW7" s="173"/>
      <c r="JX7" s="190" t="str" cm="1">
        <f t="array" aca="1" ref="JX7"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7" s="185"/>
      <c r="JZ7" s="184"/>
      <c r="KA7" s="190" t="str" cm="1">
        <f t="array" aca="1" ref="KA7"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7" s="185"/>
      <c r="KC7" s="184"/>
      <c r="KD7" s="190" t="str" cm="1">
        <f t="array" aca="1" ref="KD7"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7" s="185"/>
      <c r="KF7" s="184"/>
    </row>
    <row r="8" spans="1:294" x14ac:dyDescent="0.3">
      <c r="A8" s="192">
        <f>[1]Reg!A8</f>
        <v>5</v>
      </c>
      <c r="B8" s="190">
        <f t="shared" si="0"/>
        <v>-98710</v>
      </c>
      <c r="C8" s="188">
        <v>500</v>
      </c>
      <c r="D8" s="173">
        <v>-197.42</v>
      </c>
      <c r="E8" s="190">
        <f t="shared" si="1"/>
        <v>-2473.7999999999997</v>
      </c>
      <c r="F8" s="188">
        <v>190</v>
      </c>
      <c r="G8" s="173">
        <v>-13.02</v>
      </c>
      <c r="H8" s="190">
        <f t="shared" si="2"/>
        <v>-4650000</v>
      </c>
      <c r="I8" s="188">
        <v>100000</v>
      </c>
      <c r="J8" s="173">
        <v>-46.5</v>
      </c>
      <c r="K8" s="190">
        <f t="shared" si="3"/>
        <v>-269576.25</v>
      </c>
      <c r="L8" s="188">
        <v>1500</v>
      </c>
      <c r="M8" s="173">
        <v>-179.7175</v>
      </c>
      <c r="N8" s="190">
        <f t="shared" si="4"/>
        <v>-11500</v>
      </c>
      <c r="O8" s="188">
        <v>10000</v>
      </c>
      <c r="P8" s="173">
        <v>-1.1499999999999999</v>
      </c>
      <c r="Q8" s="190">
        <f t="shared" si="5"/>
        <v>-311100</v>
      </c>
      <c r="R8" s="188">
        <v>500</v>
      </c>
      <c r="S8" s="173">
        <v>-622.20000000000005</v>
      </c>
      <c r="T8" s="189"/>
      <c r="U8" s="189"/>
      <c r="V8" s="189"/>
      <c r="W8" s="186">
        <f t="shared" si="6"/>
        <v>0</v>
      </c>
      <c r="X8" s="188"/>
      <c r="Y8" s="173"/>
      <c r="Z8" s="186">
        <f t="shared" si="7"/>
        <v>0</v>
      </c>
      <c r="AA8" s="188"/>
      <c r="AB8" s="173"/>
      <c r="AC8" s="186">
        <f t="shared" si="8"/>
        <v>0</v>
      </c>
      <c r="AD8" s="185"/>
      <c r="AE8" s="173"/>
      <c r="AF8" s="186">
        <f t="shared" si="9"/>
        <v>0</v>
      </c>
      <c r="AG8" s="188"/>
      <c r="AH8" s="173"/>
      <c r="AI8" s="186">
        <f t="shared" si="10"/>
        <v>0</v>
      </c>
      <c r="AJ8" s="185"/>
      <c r="AK8" s="173"/>
      <c r="AL8" s="186">
        <f t="shared" si="11"/>
        <v>0</v>
      </c>
      <c r="AM8" s="185"/>
      <c r="AN8" s="173"/>
      <c r="AO8" s="186">
        <f t="shared" si="12"/>
        <v>-54900</v>
      </c>
      <c r="AP8" s="188">
        <v>15000</v>
      </c>
      <c r="AQ8" s="173">
        <v>-3.66</v>
      </c>
      <c r="AR8" s="186">
        <f t="shared" si="13"/>
        <v>0</v>
      </c>
      <c r="AS8" s="188"/>
      <c r="AT8" s="173"/>
      <c r="AU8" s="186">
        <f t="shared" si="14"/>
        <v>-15670</v>
      </c>
      <c r="AV8" s="188">
        <v>500</v>
      </c>
      <c r="AW8" s="173">
        <v>-31.34</v>
      </c>
      <c r="AX8" s="186">
        <f t="shared" si="15"/>
        <v>0</v>
      </c>
      <c r="AY8" s="188"/>
      <c r="AZ8" s="173"/>
      <c r="BA8" s="186">
        <f t="shared" si="16"/>
        <v>0</v>
      </c>
      <c r="BB8" s="185"/>
      <c r="BC8" s="173"/>
      <c r="BD8" s="186">
        <f t="shared" si="17"/>
        <v>0</v>
      </c>
      <c r="BE8" s="188"/>
      <c r="BF8" s="173"/>
      <c r="BG8" s="186">
        <f t="shared" si="18"/>
        <v>0</v>
      </c>
      <c r="BH8" s="185"/>
      <c r="BI8" s="173"/>
      <c r="BJ8" s="186">
        <f t="shared" si="19"/>
        <v>0</v>
      </c>
      <c r="BK8" s="185"/>
      <c r="BL8" s="173"/>
      <c r="BM8" s="186">
        <f t="shared" si="20"/>
        <v>0</v>
      </c>
      <c r="BN8" s="188"/>
      <c r="BO8" s="173"/>
      <c r="BP8" s="186">
        <f t="shared" si="21"/>
        <v>0</v>
      </c>
      <c r="BQ8" s="188"/>
      <c r="BR8" s="173"/>
      <c r="BS8" s="186">
        <f t="shared" si="22"/>
        <v>-3352000</v>
      </c>
      <c r="BT8" s="188">
        <v>20000</v>
      </c>
      <c r="BU8" s="173">
        <v>-167.6</v>
      </c>
      <c r="BV8" s="186">
        <f t="shared" si="23"/>
        <v>0</v>
      </c>
      <c r="BW8" s="188"/>
      <c r="BX8" s="173"/>
      <c r="BY8" s="186">
        <f t="shared" si="24"/>
        <v>0</v>
      </c>
      <c r="BZ8" s="185"/>
      <c r="CA8" s="173"/>
      <c r="CB8" s="186">
        <f t="shared" si="25"/>
        <v>0</v>
      </c>
      <c r="CC8" s="185"/>
      <c r="CD8" s="173"/>
      <c r="CE8" s="186"/>
      <c r="CF8" s="188">
        <v>2000</v>
      </c>
      <c r="CG8" s="173">
        <v>-72.05</v>
      </c>
      <c r="CH8" s="186">
        <f t="shared" si="26"/>
        <v>-79068</v>
      </c>
      <c r="CI8" s="188">
        <v>200</v>
      </c>
      <c r="CJ8" s="173">
        <v>-395.34</v>
      </c>
      <c r="CK8" s="186">
        <f t="shared" si="27"/>
        <v>0</v>
      </c>
      <c r="CL8" s="188"/>
      <c r="CM8" s="173"/>
      <c r="CN8" s="186">
        <f t="shared" si="28"/>
        <v>-48890.64</v>
      </c>
      <c r="CO8" s="188">
        <v>1200</v>
      </c>
      <c r="CP8" s="173">
        <v>-40.742199999999997</v>
      </c>
      <c r="CQ8" s="186">
        <f t="shared" si="29"/>
        <v>0</v>
      </c>
      <c r="CR8" s="188"/>
      <c r="CS8" s="173"/>
      <c r="CT8" s="186">
        <f t="shared" si="30"/>
        <v>0</v>
      </c>
      <c r="CU8" s="188"/>
      <c r="CV8" s="173"/>
      <c r="CW8" s="186">
        <f t="shared" si="31"/>
        <v>0</v>
      </c>
      <c r="CX8" s="188"/>
      <c r="CY8" s="173"/>
      <c r="CZ8" s="186">
        <f t="shared" si="32"/>
        <v>0</v>
      </c>
      <c r="DA8" s="188"/>
      <c r="DB8" s="173"/>
      <c r="DC8" s="186">
        <f t="shared" si="33"/>
        <v>-229976.84111111111</v>
      </c>
      <c r="DD8" s="188">
        <v>35000</v>
      </c>
      <c r="DE8" s="173">
        <v>-6.5707668888888886</v>
      </c>
      <c r="DF8" s="186">
        <f t="shared" si="34"/>
        <v>0</v>
      </c>
      <c r="DG8" s="188"/>
      <c r="DH8" s="173"/>
      <c r="DI8" s="186">
        <f t="shared" si="35"/>
        <v>0</v>
      </c>
      <c r="DJ8" s="185"/>
      <c r="DK8" s="173"/>
      <c r="DL8" s="186">
        <f t="shared" si="36"/>
        <v>0</v>
      </c>
      <c r="DM8" s="185"/>
      <c r="DN8" s="173"/>
      <c r="DO8" s="186">
        <f t="shared" si="37"/>
        <v>-83950</v>
      </c>
      <c r="DP8" s="188">
        <v>500</v>
      </c>
      <c r="DQ8" s="173">
        <v>-167.9</v>
      </c>
      <c r="DR8" s="186">
        <f t="shared" si="38"/>
        <v>-46350</v>
      </c>
      <c r="DS8" s="188">
        <v>3000</v>
      </c>
      <c r="DT8" s="173">
        <v>-15.45</v>
      </c>
      <c r="DU8" s="186">
        <f t="shared" si="39"/>
        <v>-382903.29000000004</v>
      </c>
      <c r="DV8" s="188">
        <v>7000</v>
      </c>
      <c r="DW8" s="173">
        <v>-54.700470000000003</v>
      </c>
      <c r="DX8" s="186">
        <f t="shared" si="40"/>
        <v>0</v>
      </c>
      <c r="DY8" s="185"/>
      <c r="DZ8" s="173"/>
      <c r="EA8" s="186">
        <f t="shared" si="41"/>
        <v>-125959.99999999999</v>
      </c>
      <c r="EB8" s="188">
        <v>800</v>
      </c>
      <c r="EC8" s="173">
        <v>-157.44999999999999</v>
      </c>
      <c r="ED8" s="186">
        <f t="shared" si="42"/>
        <v>-90777.514999999999</v>
      </c>
      <c r="EE8" s="188">
        <v>2150</v>
      </c>
      <c r="EF8" s="173">
        <v>-42.222099999999998</v>
      </c>
      <c r="EG8" s="186">
        <f t="shared" si="43"/>
        <v>0</v>
      </c>
      <c r="EH8" s="185"/>
      <c r="EI8" s="173"/>
      <c r="EJ8" s="186">
        <f t="shared" si="44"/>
        <v>0</v>
      </c>
      <c r="EK8" s="188"/>
      <c r="EL8" s="173"/>
      <c r="EM8" s="186">
        <f t="shared" si="45"/>
        <v>0</v>
      </c>
      <c r="EN8" s="185"/>
      <c r="EO8" s="173"/>
      <c r="EP8" s="186">
        <f t="shared" si="46"/>
        <v>-268603.5</v>
      </c>
      <c r="EQ8" s="188">
        <v>5000</v>
      </c>
      <c r="ER8" s="173">
        <v>-53.720700000000001</v>
      </c>
      <c r="ES8" s="186">
        <f t="shared" si="47"/>
        <v>0</v>
      </c>
      <c r="ET8" s="185"/>
      <c r="EU8" s="173"/>
      <c r="EV8" s="186">
        <f t="shared" si="48"/>
        <v>0</v>
      </c>
      <c r="EW8" s="185"/>
      <c r="EX8" s="184"/>
      <c r="EY8" s="186">
        <f t="shared" si="49"/>
        <v>0</v>
      </c>
      <c r="EZ8" s="185"/>
      <c r="FA8" s="184"/>
      <c r="FB8" s="186">
        <f t="shared" si="50"/>
        <v>0</v>
      </c>
      <c r="FC8" s="188"/>
      <c r="FD8" s="184"/>
      <c r="FE8" s="186">
        <f t="shared" si="51"/>
        <v>-3159.7080000000001</v>
      </c>
      <c r="FF8" s="188">
        <v>2942</v>
      </c>
      <c r="FG8" s="173">
        <v>-1.0740000000000001</v>
      </c>
      <c r="FH8" s="186">
        <f t="shared" si="52"/>
        <v>0</v>
      </c>
      <c r="FI8" s="188"/>
      <c r="FJ8" s="173"/>
      <c r="FK8" s="186">
        <f t="shared" si="53"/>
        <v>-139960</v>
      </c>
      <c r="FL8" s="188">
        <v>4000</v>
      </c>
      <c r="FM8" s="173">
        <v>-34.99</v>
      </c>
      <c r="FN8" s="186">
        <f t="shared" si="54"/>
        <v>0</v>
      </c>
      <c r="FO8" s="188"/>
      <c r="FP8" s="173"/>
      <c r="FQ8" s="186">
        <f t="shared" si="55"/>
        <v>-54120</v>
      </c>
      <c r="FR8" s="188">
        <v>4000</v>
      </c>
      <c r="FS8" s="173">
        <v>-13.53</v>
      </c>
      <c r="FT8" s="186">
        <f t="shared" si="56"/>
        <v>0</v>
      </c>
      <c r="FU8" s="188"/>
      <c r="FV8" s="173"/>
      <c r="FW8" s="186">
        <f t="shared" si="57"/>
        <v>0</v>
      </c>
      <c r="FX8" s="185"/>
      <c r="FY8" s="173"/>
      <c r="FZ8" s="186">
        <f t="shared" si="58"/>
        <v>-63201.599999999999</v>
      </c>
      <c r="GA8" s="188">
        <v>6000</v>
      </c>
      <c r="GB8" s="173">
        <v>-10.5336</v>
      </c>
      <c r="GC8" s="186">
        <f t="shared" si="59"/>
        <v>0</v>
      </c>
      <c r="GD8" s="185"/>
      <c r="GE8" s="173"/>
      <c r="GF8" s="186">
        <f t="shared" si="60"/>
        <v>0</v>
      </c>
      <c r="GG8" s="185"/>
      <c r="GH8" s="173"/>
      <c r="GI8" s="186">
        <f t="shared" si="61"/>
        <v>-519.80399999999997</v>
      </c>
      <c r="GJ8" s="188">
        <v>12</v>
      </c>
      <c r="GK8" s="173">
        <v>-43.317</v>
      </c>
      <c r="GL8" s="186">
        <f t="shared" si="62"/>
        <v>0</v>
      </c>
      <c r="GM8" s="185"/>
      <c r="GN8" s="173"/>
      <c r="GO8" s="186">
        <f t="shared" si="63"/>
        <v>-43640</v>
      </c>
      <c r="GP8" s="188">
        <v>250</v>
      </c>
      <c r="GQ8" s="173">
        <v>-174.56</v>
      </c>
      <c r="GR8" s="186">
        <f t="shared" si="64"/>
        <v>0</v>
      </c>
      <c r="GS8" s="185"/>
      <c r="GT8" s="173"/>
      <c r="GU8" s="186">
        <f t="shared" si="65"/>
        <v>-19050</v>
      </c>
      <c r="GV8" s="188">
        <v>5000</v>
      </c>
      <c r="GW8" s="173">
        <v>-3.81</v>
      </c>
      <c r="GX8" s="186">
        <f t="shared" si="66"/>
        <v>0</v>
      </c>
      <c r="GY8" s="188"/>
      <c r="GZ8" s="173"/>
      <c r="HA8" s="186">
        <f t="shared" si="67"/>
        <v>0</v>
      </c>
      <c r="HB8" s="185"/>
      <c r="HC8" s="173"/>
      <c r="HD8" s="186">
        <f t="shared" si="68"/>
        <v>0</v>
      </c>
      <c r="HE8" s="185"/>
      <c r="HF8" s="173"/>
      <c r="HG8" s="186">
        <f t="shared" si="69"/>
        <v>-9598.5942869999999</v>
      </c>
      <c r="HH8" s="188">
        <v>101</v>
      </c>
      <c r="HI8" s="173">
        <v>-95.035587000000007</v>
      </c>
      <c r="HJ8" s="186">
        <f t="shared" si="70"/>
        <v>-45384</v>
      </c>
      <c r="HK8" s="188">
        <v>15000</v>
      </c>
      <c r="HL8" s="173">
        <v>-3.0255999999999998</v>
      </c>
      <c r="HM8" s="186">
        <f t="shared" si="71"/>
        <v>0</v>
      </c>
      <c r="HN8" s="188"/>
      <c r="HO8" s="173"/>
      <c r="HP8" s="186">
        <f t="shared" si="72"/>
        <v>0</v>
      </c>
      <c r="HQ8" s="185"/>
      <c r="HR8" s="173"/>
      <c r="HS8" s="186">
        <f t="shared" si="73"/>
        <v>0</v>
      </c>
      <c r="HT8" s="185"/>
      <c r="HU8" s="173"/>
      <c r="HV8" s="186">
        <f t="shared" si="74"/>
        <v>0</v>
      </c>
      <c r="HW8" s="185"/>
      <c r="HX8" s="173"/>
      <c r="HY8" s="186">
        <f t="shared" si="75"/>
        <v>0</v>
      </c>
      <c r="HZ8" s="185"/>
      <c r="IA8" s="173"/>
      <c r="IB8" s="186">
        <f t="shared" si="76"/>
        <v>0</v>
      </c>
      <c r="IC8" s="185"/>
      <c r="ID8" s="173"/>
      <c r="IE8" s="186">
        <f t="shared" si="77"/>
        <v>0</v>
      </c>
      <c r="IF8" s="185"/>
      <c r="IG8" s="173"/>
      <c r="IH8" s="186">
        <f t="shared" si="78"/>
        <v>0</v>
      </c>
      <c r="II8" s="185"/>
      <c r="IJ8" s="173"/>
      <c r="IK8" s="186">
        <f t="shared" si="79"/>
        <v>0</v>
      </c>
      <c r="IL8" s="185"/>
      <c r="IM8" s="173"/>
      <c r="IN8" s="186">
        <f t="shared" si="80"/>
        <v>0</v>
      </c>
      <c r="IO8" s="185"/>
      <c r="IP8" s="173"/>
      <c r="IQ8" s="186">
        <f t="shared" si="81"/>
        <v>0</v>
      </c>
      <c r="IR8" s="185"/>
      <c r="IS8" s="173"/>
      <c r="IT8" s="186">
        <f t="shared" si="82"/>
        <v>0</v>
      </c>
      <c r="IU8" s="185"/>
      <c r="IV8" s="173"/>
      <c r="IW8" s="186">
        <f t="shared" si="83"/>
        <v>-62047.4</v>
      </c>
      <c r="IX8" s="188">
        <v>1000</v>
      </c>
      <c r="IY8" s="173">
        <v>-62.047400000000003</v>
      </c>
      <c r="IZ8" s="186">
        <f t="shared" si="84"/>
        <v>0</v>
      </c>
      <c r="JA8" s="185"/>
      <c r="JB8" s="173"/>
      <c r="JC8" s="186">
        <f t="shared" si="85"/>
        <v>0</v>
      </c>
      <c r="JD8" s="185"/>
      <c r="JE8" s="173"/>
      <c r="JF8" s="186">
        <f t="shared" si="86"/>
        <v>0</v>
      </c>
      <c r="JG8" s="185"/>
      <c r="JH8" s="173"/>
      <c r="JI8" s="186">
        <f t="shared" si="87"/>
        <v>0</v>
      </c>
      <c r="JJ8" s="185"/>
      <c r="JK8" s="173"/>
      <c r="JL8" s="186">
        <f t="shared" si="88"/>
        <v>-130110.00000000001</v>
      </c>
      <c r="JM8" s="188">
        <v>1000</v>
      </c>
      <c r="JN8" s="173">
        <v>-130.11000000000001</v>
      </c>
      <c r="JO8" s="186">
        <f t="shared" si="89"/>
        <v>0</v>
      </c>
      <c r="JP8" s="185"/>
      <c r="JQ8" s="173"/>
      <c r="JR8" s="186">
        <f t="shared" si="90"/>
        <v>0</v>
      </c>
      <c r="JS8" s="185"/>
      <c r="JT8" s="173"/>
      <c r="JU8" s="186" t="str" cm="1">
        <f t="array" aca="1" ref="JU8"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8" s="187"/>
      <c r="JW8" s="173"/>
      <c r="JX8" s="186" t="str" cm="1">
        <f t="array" aca="1" ref="JX8"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8" s="185"/>
      <c r="JZ8" s="184"/>
      <c r="KA8" s="186" t="str" cm="1">
        <f t="array" aca="1" ref="KA8"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8" s="185"/>
      <c r="KC8" s="184"/>
      <c r="KD8" s="186" t="str" cm="1">
        <f t="array" aca="1" ref="KD8"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8" s="185"/>
      <c r="KF8" s="184"/>
    </row>
    <row r="9" spans="1:294" x14ac:dyDescent="0.3">
      <c r="A9" s="191">
        <f>[1]Reg!A9</f>
        <v>6</v>
      </c>
      <c r="B9" s="190">
        <f t="shared" si="0"/>
        <v>-60210</v>
      </c>
      <c r="C9" s="188">
        <v>300</v>
      </c>
      <c r="D9" s="173">
        <v>-200.7</v>
      </c>
      <c r="E9" s="190">
        <f t="shared" si="1"/>
        <v>0</v>
      </c>
      <c r="F9" s="188"/>
      <c r="G9" s="173"/>
      <c r="H9" s="190">
        <f t="shared" si="2"/>
        <v>-7194000</v>
      </c>
      <c r="I9" s="188">
        <v>150000</v>
      </c>
      <c r="J9" s="173">
        <v>-47.96</v>
      </c>
      <c r="K9" s="190">
        <f t="shared" si="3"/>
        <v>-91716.7</v>
      </c>
      <c r="L9" s="188">
        <v>500</v>
      </c>
      <c r="M9" s="173">
        <v>-183.43340000000001</v>
      </c>
      <c r="N9" s="190">
        <f t="shared" si="4"/>
        <v>-2858703.6387637169</v>
      </c>
      <c r="O9" s="188">
        <v>2448050</v>
      </c>
      <c r="P9" s="173">
        <v>-1.1677472432195899</v>
      </c>
      <c r="Q9" s="190">
        <f t="shared" si="5"/>
        <v>-189840</v>
      </c>
      <c r="R9" s="188">
        <v>300</v>
      </c>
      <c r="S9" s="173">
        <v>-632.79999999999995</v>
      </c>
      <c r="T9" s="189"/>
      <c r="U9" s="189"/>
      <c r="V9" s="189"/>
      <c r="W9" s="186">
        <f t="shared" si="6"/>
        <v>0</v>
      </c>
      <c r="X9" s="188"/>
      <c r="Y9" s="173"/>
      <c r="Z9" s="186">
        <f t="shared" si="7"/>
        <v>0</v>
      </c>
      <c r="AA9" s="188"/>
      <c r="AB9" s="173"/>
      <c r="AC9" s="186">
        <f t="shared" si="8"/>
        <v>0</v>
      </c>
      <c r="AD9" s="185"/>
      <c r="AE9" s="173"/>
      <c r="AF9" s="186">
        <f t="shared" si="9"/>
        <v>0</v>
      </c>
      <c r="AG9" s="188"/>
      <c r="AH9" s="173"/>
      <c r="AI9" s="186">
        <f t="shared" si="10"/>
        <v>0</v>
      </c>
      <c r="AJ9" s="185"/>
      <c r="AK9" s="173"/>
      <c r="AL9" s="186">
        <f t="shared" si="11"/>
        <v>0</v>
      </c>
      <c r="AM9" s="185"/>
      <c r="AN9" s="173"/>
      <c r="AO9" s="186">
        <f t="shared" si="12"/>
        <v>-57300</v>
      </c>
      <c r="AP9" s="188">
        <v>15000</v>
      </c>
      <c r="AQ9" s="173">
        <v>-3.82</v>
      </c>
      <c r="AR9" s="186">
        <f t="shared" si="13"/>
        <v>0</v>
      </c>
      <c r="AS9" s="188"/>
      <c r="AT9" s="173"/>
      <c r="AU9" s="186">
        <f t="shared" si="14"/>
        <v>-49199.999999999993</v>
      </c>
      <c r="AV9" s="188">
        <v>1500</v>
      </c>
      <c r="AW9" s="173">
        <v>-32.799999999999997</v>
      </c>
      <c r="AX9" s="186">
        <f t="shared" si="15"/>
        <v>0</v>
      </c>
      <c r="AY9" s="185"/>
      <c r="AZ9" s="173"/>
      <c r="BA9" s="186">
        <f t="shared" si="16"/>
        <v>0</v>
      </c>
      <c r="BB9" s="185"/>
      <c r="BC9" s="173"/>
      <c r="BD9" s="186">
        <f t="shared" si="17"/>
        <v>0</v>
      </c>
      <c r="BE9" s="188"/>
      <c r="BF9" s="173"/>
      <c r="BG9" s="186">
        <f t="shared" si="18"/>
        <v>0</v>
      </c>
      <c r="BH9" s="185"/>
      <c r="BI9" s="173"/>
      <c r="BJ9" s="186">
        <f t="shared" si="19"/>
        <v>0</v>
      </c>
      <c r="BK9" s="185"/>
      <c r="BL9" s="173"/>
      <c r="BM9" s="186">
        <f t="shared" si="20"/>
        <v>0</v>
      </c>
      <c r="BN9" s="188"/>
      <c r="BO9" s="173"/>
      <c r="BP9" s="186">
        <f t="shared" si="21"/>
        <v>0</v>
      </c>
      <c r="BQ9" s="185"/>
      <c r="BR9" s="173"/>
      <c r="BS9" s="186">
        <f t="shared" si="22"/>
        <v>-3380000</v>
      </c>
      <c r="BT9" s="188">
        <v>20000</v>
      </c>
      <c r="BU9" s="173">
        <v>-169</v>
      </c>
      <c r="BV9" s="186">
        <f t="shared" si="23"/>
        <v>0</v>
      </c>
      <c r="BW9" s="188"/>
      <c r="BX9" s="173"/>
      <c r="BY9" s="186">
        <f t="shared" si="24"/>
        <v>0</v>
      </c>
      <c r="BZ9" s="185"/>
      <c r="CA9" s="173"/>
      <c r="CB9" s="186">
        <f t="shared" si="25"/>
        <v>0</v>
      </c>
      <c r="CC9" s="185"/>
      <c r="CD9" s="173"/>
      <c r="CE9" s="186"/>
      <c r="CF9" s="188">
        <v>1000</v>
      </c>
      <c r="CG9" s="173">
        <v>-77.319999999999993</v>
      </c>
      <c r="CH9" s="186">
        <f t="shared" si="26"/>
        <v>-396848</v>
      </c>
      <c r="CI9" s="188">
        <v>1000</v>
      </c>
      <c r="CJ9" s="173">
        <v>-396.84800000000001</v>
      </c>
      <c r="CK9" s="186">
        <f t="shared" si="27"/>
        <v>0</v>
      </c>
      <c r="CL9" s="188"/>
      <c r="CM9" s="173"/>
      <c r="CN9" s="186">
        <f t="shared" si="28"/>
        <v>-41240</v>
      </c>
      <c r="CO9" s="188">
        <v>1000</v>
      </c>
      <c r="CP9" s="173">
        <v>-41.24</v>
      </c>
      <c r="CQ9" s="186">
        <f t="shared" si="29"/>
        <v>0</v>
      </c>
      <c r="CR9" s="188"/>
      <c r="CS9" s="173"/>
      <c r="CT9" s="186">
        <f t="shared" si="30"/>
        <v>0</v>
      </c>
      <c r="CU9" s="188"/>
      <c r="CV9" s="173"/>
      <c r="CW9" s="186">
        <f t="shared" si="31"/>
        <v>0</v>
      </c>
      <c r="CX9" s="188"/>
      <c r="CY9" s="173"/>
      <c r="CZ9" s="186">
        <f t="shared" si="32"/>
        <v>0</v>
      </c>
      <c r="DA9" s="185"/>
      <c r="DB9" s="173"/>
      <c r="DC9" s="186">
        <f t="shared" si="33"/>
        <v>-3545</v>
      </c>
      <c r="DD9" s="188">
        <v>500</v>
      </c>
      <c r="DE9" s="173">
        <v>-7.09</v>
      </c>
      <c r="DF9" s="186">
        <f t="shared" si="34"/>
        <v>0</v>
      </c>
      <c r="DG9" s="185"/>
      <c r="DH9" s="173"/>
      <c r="DI9" s="186">
        <f t="shared" si="35"/>
        <v>0</v>
      </c>
      <c r="DJ9" s="185"/>
      <c r="DK9" s="173"/>
      <c r="DL9" s="186">
        <f t="shared" si="36"/>
        <v>0</v>
      </c>
      <c r="DM9" s="185"/>
      <c r="DN9" s="173"/>
      <c r="DO9" s="186">
        <f t="shared" si="37"/>
        <v>-184.04</v>
      </c>
      <c r="DP9" s="188">
        <v>1</v>
      </c>
      <c r="DQ9" s="173">
        <v>-184.04</v>
      </c>
      <c r="DR9" s="186">
        <f t="shared" si="38"/>
        <v>-49230</v>
      </c>
      <c r="DS9" s="188">
        <v>3000</v>
      </c>
      <c r="DT9" s="173">
        <v>-16.41</v>
      </c>
      <c r="DU9" s="186">
        <f t="shared" si="39"/>
        <v>0</v>
      </c>
      <c r="DV9" s="188"/>
      <c r="DW9" s="173"/>
      <c r="DX9" s="186">
        <f t="shared" si="40"/>
        <v>0</v>
      </c>
      <c r="DY9" s="185"/>
      <c r="DZ9" s="173"/>
      <c r="EA9" s="186">
        <f t="shared" si="41"/>
        <v>-73768.5</v>
      </c>
      <c r="EB9" s="188">
        <v>450</v>
      </c>
      <c r="EC9" s="173">
        <v>-163.93</v>
      </c>
      <c r="ED9" s="186">
        <f t="shared" si="42"/>
        <v>0</v>
      </c>
      <c r="EE9" s="188"/>
      <c r="EF9" s="173"/>
      <c r="EG9" s="186">
        <f t="shared" si="43"/>
        <v>0</v>
      </c>
      <c r="EH9" s="185"/>
      <c r="EI9" s="173"/>
      <c r="EJ9" s="186">
        <f t="shared" si="44"/>
        <v>0</v>
      </c>
      <c r="EK9" s="185"/>
      <c r="EL9" s="173"/>
      <c r="EM9" s="186">
        <f t="shared" si="45"/>
        <v>0</v>
      </c>
      <c r="EN9" s="185"/>
      <c r="EO9" s="173"/>
      <c r="EP9" s="186">
        <f t="shared" si="46"/>
        <v>0</v>
      </c>
      <c r="EQ9" s="185"/>
      <c r="ER9" s="173"/>
      <c r="ES9" s="186">
        <f t="shared" si="47"/>
        <v>0</v>
      </c>
      <c r="ET9" s="185"/>
      <c r="EU9" s="173"/>
      <c r="EV9" s="186">
        <f t="shared" si="48"/>
        <v>0</v>
      </c>
      <c r="EW9" s="185"/>
      <c r="EX9" s="184"/>
      <c r="EY9" s="186">
        <f t="shared" si="49"/>
        <v>0</v>
      </c>
      <c r="EZ9" s="185"/>
      <c r="FA9" s="184"/>
      <c r="FB9" s="186">
        <f t="shared" si="50"/>
        <v>0</v>
      </c>
      <c r="FC9" s="185"/>
      <c r="FD9" s="184"/>
      <c r="FE9" s="186">
        <f t="shared" si="51"/>
        <v>-5400</v>
      </c>
      <c r="FF9" s="188">
        <v>5000</v>
      </c>
      <c r="FG9" s="173">
        <v>-1.08</v>
      </c>
      <c r="FH9" s="186">
        <f t="shared" si="52"/>
        <v>0</v>
      </c>
      <c r="FI9" s="188"/>
      <c r="FJ9" s="173"/>
      <c r="FK9" s="186">
        <f t="shared" si="53"/>
        <v>-70700</v>
      </c>
      <c r="FL9" s="188">
        <v>2000</v>
      </c>
      <c r="FM9" s="173">
        <v>-35.35</v>
      </c>
      <c r="FN9" s="186">
        <f t="shared" si="54"/>
        <v>0</v>
      </c>
      <c r="FO9" s="185"/>
      <c r="FP9" s="173"/>
      <c r="FQ9" s="186">
        <f t="shared" si="55"/>
        <v>-55714</v>
      </c>
      <c r="FR9" s="188">
        <v>4000</v>
      </c>
      <c r="FS9" s="173">
        <v>-13.9285</v>
      </c>
      <c r="FT9" s="186">
        <f t="shared" si="56"/>
        <v>0</v>
      </c>
      <c r="FU9" s="188"/>
      <c r="FV9" s="173"/>
      <c r="FW9" s="186">
        <f t="shared" si="57"/>
        <v>0</v>
      </c>
      <c r="FX9" s="185"/>
      <c r="FY9" s="173"/>
      <c r="FZ9" s="186">
        <f t="shared" si="58"/>
        <v>-31844.1</v>
      </c>
      <c r="GA9" s="188">
        <v>3000</v>
      </c>
      <c r="GB9" s="173">
        <v>-10.614699999999999</v>
      </c>
      <c r="GC9" s="186">
        <f t="shared" si="59"/>
        <v>0</v>
      </c>
      <c r="GD9" s="185"/>
      <c r="GE9" s="173"/>
      <c r="GF9" s="186">
        <f t="shared" si="60"/>
        <v>0</v>
      </c>
      <c r="GG9" s="185"/>
      <c r="GH9" s="173"/>
      <c r="GI9" s="186">
        <f t="shared" si="61"/>
        <v>0</v>
      </c>
      <c r="GJ9" s="185"/>
      <c r="GK9" s="173"/>
      <c r="GL9" s="186">
        <f t="shared" si="62"/>
        <v>0</v>
      </c>
      <c r="GM9" s="185"/>
      <c r="GN9" s="173"/>
      <c r="GO9" s="186">
        <f t="shared" si="63"/>
        <v>0</v>
      </c>
      <c r="GP9" s="185"/>
      <c r="GQ9" s="173"/>
      <c r="GR9" s="186">
        <f t="shared" si="64"/>
        <v>0</v>
      </c>
      <c r="GS9" s="185"/>
      <c r="GT9" s="173"/>
      <c r="GU9" s="186">
        <f t="shared" si="65"/>
        <v>-76873.42</v>
      </c>
      <c r="GV9" s="188">
        <v>20000</v>
      </c>
      <c r="GW9" s="173">
        <v>-3.8436710000000001</v>
      </c>
      <c r="GX9" s="186">
        <f t="shared" si="66"/>
        <v>0</v>
      </c>
      <c r="GY9" s="188"/>
      <c r="GZ9" s="173"/>
      <c r="HA9" s="186">
        <f t="shared" si="67"/>
        <v>0</v>
      </c>
      <c r="HB9" s="185"/>
      <c r="HC9" s="173"/>
      <c r="HD9" s="186">
        <f t="shared" si="68"/>
        <v>0</v>
      </c>
      <c r="HE9" s="185"/>
      <c r="HF9" s="173"/>
      <c r="HG9" s="186">
        <f t="shared" si="69"/>
        <v>-50125</v>
      </c>
      <c r="HH9" s="188">
        <v>500</v>
      </c>
      <c r="HI9" s="173">
        <v>-100.25</v>
      </c>
      <c r="HJ9" s="186">
        <f t="shared" si="70"/>
        <v>-126000</v>
      </c>
      <c r="HK9" s="188">
        <v>40000</v>
      </c>
      <c r="HL9" s="173">
        <v>-3.15</v>
      </c>
      <c r="HM9" s="186">
        <f t="shared" si="71"/>
        <v>0</v>
      </c>
      <c r="HN9" s="188"/>
      <c r="HO9" s="173"/>
      <c r="HP9" s="186">
        <f t="shared" si="72"/>
        <v>0</v>
      </c>
      <c r="HQ9" s="185"/>
      <c r="HR9" s="173"/>
      <c r="HS9" s="186">
        <f t="shared" si="73"/>
        <v>0</v>
      </c>
      <c r="HT9" s="185"/>
      <c r="HU9" s="173"/>
      <c r="HV9" s="186">
        <f t="shared" si="74"/>
        <v>0</v>
      </c>
      <c r="HW9" s="185"/>
      <c r="HX9" s="173"/>
      <c r="HY9" s="186">
        <f t="shared" si="75"/>
        <v>0</v>
      </c>
      <c r="HZ9" s="185"/>
      <c r="IA9" s="173"/>
      <c r="IB9" s="186">
        <f t="shared" si="76"/>
        <v>0</v>
      </c>
      <c r="IC9" s="185"/>
      <c r="ID9" s="173"/>
      <c r="IE9" s="186">
        <f t="shared" si="77"/>
        <v>0</v>
      </c>
      <c r="IF9" s="185"/>
      <c r="IG9" s="173"/>
      <c r="IH9" s="186">
        <f t="shared" si="78"/>
        <v>0</v>
      </c>
      <c r="II9" s="185"/>
      <c r="IJ9" s="173"/>
      <c r="IK9" s="186">
        <f t="shared" si="79"/>
        <v>0</v>
      </c>
      <c r="IL9" s="185"/>
      <c r="IM9" s="173"/>
      <c r="IN9" s="186">
        <f t="shared" si="80"/>
        <v>0</v>
      </c>
      <c r="IO9" s="185"/>
      <c r="IP9" s="173"/>
      <c r="IQ9" s="186">
        <f t="shared" si="81"/>
        <v>0</v>
      </c>
      <c r="IR9" s="185"/>
      <c r="IS9" s="173"/>
      <c r="IT9" s="186">
        <f t="shared" si="82"/>
        <v>0</v>
      </c>
      <c r="IU9" s="185"/>
      <c r="IV9" s="173"/>
      <c r="IW9" s="186">
        <f t="shared" si="83"/>
        <v>0</v>
      </c>
      <c r="IX9" s="185"/>
      <c r="IY9" s="173"/>
      <c r="IZ9" s="186">
        <f t="shared" si="84"/>
        <v>0</v>
      </c>
      <c r="JA9" s="185"/>
      <c r="JB9" s="173"/>
      <c r="JC9" s="186">
        <f t="shared" si="85"/>
        <v>0</v>
      </c>
      <c r="JD9" s="185"/>
      <c r="JE9" s="173"/>
      <c r="JF9" s="186">
        <f t="shared" si="86"/>
        <v>0</v>
      </c>
      <c r="JG9" s="185"/>
      <c r="JH9" s="173"/>
      <c r="JI9" s="186">
        <f t="shared" si="87"/>
        <v>0</v>
      </c>
      <c r="JJ9" s="185"/>
      <c r="JK9" s="173"/>
      <c r="JL9" s="186">
        <f t="shared" si="88"/>
        <v>0</v>
      </c>
      <c r="JM9" s="185"/>
      <c r="JN9" s="173"/>
      <c r="JO9" s="186">
        <f t="shared" si="89"/>
        <v>0</v>
      </c>
      <c r="JP9" s="185"/>
      <c r="JQ9" s="173"/>
      <c r="JR9" s="186">
        <f t="shared" si="90"/>
        <v>0</v>
      </c>
      <c r="JS9" s="185"/>
      <c r="JT9" s="173"/>
      <c r="JU9" s="186" t="str" cm="1">
        <f t="array" aca="1" ref="JU9"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9" s="187"/>
      <c r="JW9" s="173"/>
      <c r="JX9" s="186" t="str" cm="1">
        <f t="array" aca="1" ref="JX9"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9" s="185"/>
      <c r="JZ9" s="184"/>
      <c r="KA9" s="186" t="str" cm="1">
        <f t="array" aca="1" ref="KA9"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9" s="185"/>
      <c r="KC9" s="184"/>
      <c r="KD9" s="186" t="str" cm="1">
        <f t="array" aca="1" ref="KD9"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9" s="185"/>
      <c r="KF9" s="184"/>
    </row>
    <row r="10" spans="1:294" x14ac:dyDescent="0.3">
      <c r="A10" s="192">
        <f>[1]Reg!A10</f>
        <v>7</v>
      </c>
      <c r="B10" s="190">
        <f t="shared" si="0"/>
        <v>-605252.61</v>
      </c>
      <c r="C10" s="188">
        <v>3000</v>
      </c>
      <c r="D10" s="173">
        <v>-201.75086999999999</v>
      </c>
      <c r="E10" s="190">
        <f t="shared" si="1"/>
        <v>0</v>
      </c>
      <c r="F10" s="188"/>
      <c r="G10" s="173"/>
      <c r="H10" s="190">
        <f t="shared" si="2"/>
        <v>-7200000</v>
      </c>
      <c r="I10" s="188">
        <v>150000</v>
      </c>
      <c r="J10" s="173">
        <v>-48</v>
      </c>
      <c r="K10" s="190">
        <f t="shared" si="3"/>
        <v>-185280</v>
      </c>
      <c r="L10" s="188">
        <v>1000</v>
      </c>
      <c r="M10" s="173">
        <v>-185.28</v>
      </c>
      <c r="N10" s="190">
        <f t="shared" si="4"/>
        <v>-18000</v>
      </c>
      <c r="O10" s="188">
        <v>15000</v>
      </c>
      <c r="P10" s="173">
        <v>-1.2</v>
      </c>
      <c r="Q10" s="190">
        <f t="shared" si="5"/>
        <v>-63295.000000000007</v>
      </c>
      <c r="R10" s="188">
        <v>100</v>
      </c>
      <c r="S10" s="173">
        <v>-632.95000000000005</v>
      </c>
      <c r="T10" s="189"/>
      <c r="U10" s="189"/>
      <c r="V10" s="189"/>
      <c r="W10" s="186">
        <f t="shared" si="6"/>
        <v>0</v>
      </c>
      <c r="X10" s="188"/>
      <c r="Y10" s="173"/>
      <c r="Z10" s="186">
        <f t="shared" si="7"/>
        <v>0</v>
      </c>
      <c r="AA10" s="188"/>
      <c r="AB10" s="173"/>
      <c r="AC10" s="186">
        <f t="shared" si="8"/>
        <v>0</v>
      </c>
      <c r="AD10" s="185"/>
      <c r="AE10" s="173"/>
      <c r="AF10" s="186">
        <f t="shared" si="9"/>
        <v>0</v>
      </c>
      <c r="AG10" s="188"/>
      <c r="AH10" s="173"/>
      <c r="AI10" s="186">
        <f t="shared" si="10"/>
        <v>0</v>
      </c>
      <c r="AJ10" s="185"/>
      <c r="AK10" s="173"/>
      <c r="AL10" s="186">
        <f t="shared" si="11"/>
        <v>0</v>
      </c>
      <c r="AM10" s="185"/>
      <c r="AN10" s="173"/>
      <c r="AO10" s="186">
        <f t="shared" si="12"/>
        <v>-38700</v>
      </c>
      <c r="AP10" s="188">
        <v>10000</v>
      </c>
      <c r="AQ10" s="173">
        <v>-3.87</v>
      </c>
      <c r="AR10" s="186">
        <f t="shared" si="13"/>
        <v>0</v>
      </c>
      <c r="AS10" s="188"/>
      <c r="AT10" s="173"/>
      <c r="AU10" s="186">
        <f t="shared" si="14"/>
        <v>-32950</v>
      </c>
      <c r="AV10" s="188">
        <v>1000</v>
      </c>
      <c r="AW10" s="173">
        <v>-32.950000000000003</v>
      </c>
      <c r="AX10" s="186">
        <f t="shared" si="15"/>
        <v>0</v>
      </c>
      <c r="AY10" s="185"/>
      <c r="AZ10" s="173"/>
      <c r="BA10" s="186">
        <f t="shared" si="16"/>
        <v>0</v>
      </c>
      <c r="BB10" s="185"/>
      <c r="BC10" s="173"/>
      <c r="BD10" s="186">
        <f t="shared" si="17"/>
        <v>0</v>
      </c>
      <c r="BE10" s="185"/>
      <c r="BF10" s="173"/>
      <c r="BG10" s="186">
        <f t="shared" si="18"/>
        <v>0</v>
      </c>
      <c r="BH10" s="185"/>
      <c r="BI10" s="173"/>
      <c r="BJ10" s="186">
        <f t="shared" si="19"/>
        <v>0</v>
      </c>
      <c r="BK10" s="185"/>
      <c r="BL10" s="173"/>
      <c r="BM10" s="186">
        <f t="shared" si="20"/>
        <v>0</v>
      </c>
      <c r="BN10" s="185"/>
      <c r="BO10" s="173"/>
      <c r="BP10" s="186">
        <f t="shared" si="21"/>
        <v>0</v>
      </c>
      <c r="BQ10" s="185"/>
      <c r="BR10" s="173"/>
      <c r="BS10" s="186">
        <f t="shared" si="22"/>
        <v>-1705000</v>
      </c>
      <c r="BT10" s="188">
        <v>10000</v>
      </c>
      <c r="BU10" s="173">
        <v>-170.5</v>
      </c>
      <c r="BV10" s="186">
        <f t="shared" si="23"/>
        <v>0</v>
      </c>
      <c r="BW10" s="188"/>
      <c r="BX10" s="173"/>
      <c r="BY10" s="186">
        <f t="shared" si="24"/>
        <v>0</v>
      </c>
      <c r="BZ10" s="185"/>
      <c r="CA10" s="173"/>
      <c r="CB10" s="186">
        <f t="shared" si="25"/>
        <v>0</v>
      </c>
      <c r="CC10" s="185"/>
      <c r="CD10" s="173"/>
      <c r="CE10" s="186"/>
      <c r="CF10" s="188">
        <v>2500</v>
      </c>
      <c r="CG10" s="173">
        <v>-121.971</v>
      </c>
      <c r="CH10" s="186">
        <f t="shared" si="26"/>
        <v>-800360.6</v>
      </c>
      <c r="CI10" s="188">
        <v>2000</v>
      </c>
      <c r="CJ10" s="173">
        <v>-400.18029999999999</v>
      </c>
      <c r="CK10" s="186">
        <f t="shared" si="27"/>
        <v>0</v>
      </c>
      <c r="CL10" s="188"/>
      <c r="CM10" s="173"/>
      <c r="CN10" s="186">
        <f t="shared" si="28"/>
        <v>-84034</v>
      </c>
      <c r="CO10" s="188">
        <v>2000</v>
      </c>
      <c r="CP10" s="173">
        <v>-42.017000000000003</v>
      </c>
      <c r="CQ10" s="186">
        <f t="shared" si="29"/>
        <v>0</v>
      </c>
      <c r="CR10" s="188"/>
      <c r="CS10" s="173"/>
      <c r="CT10" s="186">
        <f t="shared" si="30"/>
        <v>0</v>
      </c>
      <c r="CU10" s="188"/>
      <c r="CV10" s="173"/>
      <c r="CW10" s="186">
        <f t="shared" si="31"/>
        <v>0</v>
      </c>
      <c r="CX10" s="188"/>
      <c r="CY10" s="173"/>
      <c r="CZ10" s="186">
        <f t="shared" si="32"/>
        <v>0</v>
      </c>
      <c r="DA10" s="185"/>
      <c r="DB10" s="173"/>
      <c r="DC10" s="186">
        <f t="shared" si="33"/>
        <v>0</v>
      </c>
      <c r="DD10" s="185"/>
      <c r="DE10" s="173"/>
      <c r="DF10" s="186">
        <f t="shared" si="34"/>
        <v>0</v>
      </c>
      <c r="DG10" s="185"/>
      <c r="DH10" s="173"/>
      <c r="DI10" s="186">
        <f t="shared" si="35"/>
        <v>0</v>
      </c>
      <c r="DJ10" s="185"/>
      <c r="DK10" s="173"/>
      <c r="DL10" s="186">
        <f t="shared" si="36"/>
        <v>0</v>
      </c>
      <c r="DM10" s="185"/>
      <c r="DN10" s="173"/>
      <c r="DO10" s="186">
        <f t="shared" si="37"/>
        <v>-98000</v>
      </c>
      <c r="DP10" s="188">
        <v>500</v>
      </c>
      <c r="DQ10" s="173">
        <v>-196</v>
      </c>
      <c r="DR10" s="186">
        <f t="shared" si="38"/>
        <v>-115560.00000000001</v>
      </c>
      <c r="DS10" s="188">
        <v>6000</v>
      </c>
      <c r="DT10" s="173">
        <v>-19.260000000000002</v>
      </c>
      <c r="DU10" s="186">
        <f t="shared" si="39"/>
        <v>0</v>
      </c>
      <c r="DV10" s="185"/>
      <c r="DW10" s="173"/>
      <c r="DX10" s="186">
        <f t="shared" si="40"/>
        <v>0</v>
      </c>
      <c r="DY10" s="185"/>
      <c r="DZ10" s="173"/>
      <c r="EA10" s="186">
        <f t="shared" si="41"/>
        <v>-35662</v>
      </c>
      <c r="EB10" s="188">
        <v>200</v>
      </c>
      <c r="EC10" s="173">
        <v>-178.31</v>
      </c>
      <c r="ED10" s="186">
        <f t="shared" si="42"/>
        <v>0</v>
      </c>
      <c r="EE10" s="188"/>
      <c r="EF10" s="173"/>
      <c r="EG10" s="186">
        <f t="shared" si="43"/>
        <v>0</v>
      </c>
      <c r="EH10" s="185"/>
      <c r="EI10" s="173"/>
      <c r="EJ10" s="186">
        <f t="shared" si="44"/>
        <v>0</v>
      </c>
      <c r="EK10" s="185"/>
      <c r="EL10" s="173"/>
      <c r="EM10" s="186">
        <f t="shared" si="45"/>
        <v>0</v>
      </c>
      <c r="EN10" s="185"/>
      <c r="EO10" s="173"/>
      <c r="EP10" s="186">
        <f t="shared" si="46"/>
        <v>0</v>
      </c>
      <c r="EQ10" s="185"/>
      <c r="ER10" s="173"/>
      <c r="ES10" s="186">
        <f t="shared" si="47"/>
        <v>0</v>
      </c>
      <c r="ET10" s="185"/>
      <c r="EU10" s="173"/>
      <c r="EV10" s="186">
        <f t="shared" si="48"/>
        <v>0</v>
      </c>
      <c r="EW10" s="185"/>
      <c r="EX10" s="184"/>
      <c r="EY10" s="186">
        <f t="shared" si="49"/>
        <v>0</v>
      </c>
      <c r="EZ10" s="185"/>
      <c r="FA10" s="184"/>
      <c r="FB10" s="186">
        <f t="shared" si="50"/>
        <v>0</v>
      </c>
      <c r="FC10" s="185"/>
      <c r="FD10" s="184"/>
      <c r="FE10" s="186">
        <f t="shared" si="51"/>
        <v>-13221.030273999999</v>
      </c>
      <c r="FF10" s="188">
        <v>12058</v>
      </c>
      <c r="FG10" s="173">
        <v>-1.0964529999999999</v>
      </c>
      <c r="FH10" s="186">
        <f t="shared" si="52"/>
        <v>0</v>
      </c>
      <c r="FI10" s="188"/>
      <c r="FJ10" s="173"/>
      <c r="FK10" s="186">
        <f t="shared" si="53"/>
        <v>0</v>
      </c>
      <c r="FL10" s="185"/>
      <c r="FM10" s="173"/>
      <c r="FN10" s="186">
        <f t="shared" si="54"/>
        <v>0</v>
      </c>
      <c r="FO10" s="185"/>
      <c r="FP10" s="173"/>
      <c r="FQ10" s="186">
        <f t="shared" si="55"/>
        <v>-112720</v>
      </c>
      <c r="FR10" s="188">
        <v>8000</v>
      </c>
      <c r="FS10" s="173">
        <v>-14.09</v>
      </c>
      <c r="FT10" s="186">
        <f t="shared" si="56"/>
        <v>0</v>
      </c>
      <c r="FU10" s="188"/>
      <c r="FV10" s="173"/>
      <c r="FW10" s="186">
        <f t="shared" si="57"/>
        <v>0</v>
      </c>
      <c r="FX10" s="185"/>
      <c r="FY10" s="173"/>
      <c r="FZ10" s="186">
        <f t="shared" si="58"/>
        <v>0</v>
      </c>
      <c r="GA10" s="188"/>
      <c r="GB10" s="173"/>
      <c r="GC10" s="186">
        <f t="shared" si="59"/>
        <v>0</v>
      </c>
      <c r="GD10" s="185"/>
      <c r="GE10" s="173"/>
      <c r="GF10" s="186">
        <f t="shared" si="60"/>
        <v>0</v>
      </c>
      <c r="GG10" s="185"/>
      <c r="GH10" s="173"/>
      <c r="GI10" s="186">
        <f t="shared" si="61"/>
        <v>0</v>
      </c>
      <c r="GJ10" s="185"/>
      <c r="GK10" s="173"/>
      <c r="GL10" s="186">
        <f t="shared" si="62"/>
        <v>0</v>
      </c>
      <c r="GM10" s="185"/>
      <c r="GN10" s="173"/>
      <c r="GO10" s="186">
        <f t="shared" si="63"/>
        <v>0</v>
      </c>
      <c r="GP10" s="185"/>
      <c r="GQ10" s="173"/>
      <c r="GR10" s="186">
        <f t="shared" si="64"/>
        <v>0</v>
      </c>
      <c r="GS10" s="185"/>
      <c r="GT10" s="173"/>
      <c r="GU10" s="186">
        <f t="shared" si="65"/>
        <v>-79200</v>
      </c>
      <c r="GV10" s="188">
        <v>20000</v>
      </c>
      <c r="GW10" s="173">
        <v>-3.96</v>
      </c>
      <c r="GX10" s="186">
        <f t="shared" si="66"/>
        <v>0</v>
      </c>
      <c r="GY10" s="188"/>
      <c r="GZ10" s="173"/>
      <c r="HA10" s="186">
        <f t="shared" si="67"/>
        <v>0</v>
      </c>
      <c r="HB10" s="185"/>
      <c r="HC10" s="173"/>
      <c r="HD10" s="186">
        <f t="shared" si="68"/>
        <v>0</v>
      </c>
      <c r="HE10" s="185"/>
      <c r="HF10" s="173"/>
      <c r="HG10" s="186">
        <f t="shared" si="69"/>
        <v>0</v>
      </c>
      <c r="HH10" s="188"/>
      <c r="HI10" s="173"/>
      <c r="HJ10" s="186">
        <f t="shared" si="70"/>
        <v>-65000</v>
      </c>
      <c r="HK10" s="188">
        <v>20000</v>
      </c>
      <c r="HL10" s="173">
        <v>-3.25</v>
      </c>
      <c r="HM10" s="186">
        <f t="shared" si="71"/>
        <v>0</v>
      </c>
      <c r="HN10" s="188"/>
      <c r="HO10" s="173"/>
      <c r="HP10" s="186">
        <f t="shared" si="72"/>
        <v>0</v>
      </c>
      <c r="HQ10" s="185"/>
      <c r="HR10" s="173"/>
      <c r="HS10" s="186">
        <f t="shared" si="73"/>
        <v>0</v>
      </c>
      <c r="HT10" s="185"/>
      <c r="HU10" s="173"/>
      <c r="HV10" s="186">
        <f t="shared" si="74"/>
        <v>0</v>
      </c>
      <c r="HW10" s="185"/>
      <c r="HX10" s="173"/>
      <c r="HY10" s="186">
        <f t="shared" si="75"/>
        <v>0</v>
      </c>
      <c r="HZ10" s="185"/>
      <c r="IA10" s="173"/>
      <c r="IB10" s="186">
        <f t="shared" si="76"/>
        <v>0</v>
      </c>
      <c r="IC10" s="185"/>
      <c r="ID10" s="173"/>
      <c r="IE10" s="186">
        <f t="shared" si="77"/>
        <v>0</v>
      </c>
      <c r="IF10" s="185"/>
      <c r="IG10" s="173"/>
      <c r="IH10" s="186">
        <f t="shared" si="78"/>
        <v>0</v>
      </c>
      <c r="II10" s="185"/>
      <c r="IJ10" s="173"/>
      <c r="IK10" s="186">
        <f t="shared" si="79"/>
        <v>0</v>
      </c>
      <c r="IL10" s="185"/>
      <c r="IM10" s="173"/>
      <c r="IN10" s="186">
        <f t="shared" si="80"/>
        <v>0</v>
      </c>
      <c r="IO10" s="185"/>
      <c r="IP10" s="173"/>
      <c r="IQ10" s="186">
        <f t="shared" si="81"/>
        <v>0</v>
      </c>
      <c r="IR10" s="185"/>
      <c r="IS10" s="173"/>
      <c r="IT10" s="186">
        <f t="shared" si="82"/>
        <v>0</v>
      </c>
      <c r="IU10" s="185"/>
      <c r="IV10" s="173"/>
      <c r="IW10" s="186">
        <f t="shared" si="83"/>
        <v>0</v>
      </c>
      <c r="IX10" s="185"/>
      <c r="IY10" s="173"/>
      <c r="IZ10" s="186">
        <f t="shared" si="84"/>
        <v>0</v>
      </c>
      <c r="JA10" s="185"/>
      <c r="JB10" s="173"/>
      <c r="JC10" s="186">
        <f t="shared" si="85"/>
        <v>0</v>
      </c>
      <c r="JD10" s="185"/>
      <c r="JE10" s="173"/>
      <c r="JF10" s="186">
        <f t="shared" si="86"/>
        <v>0</v>
      </c>
      <c r="JG10" s="185"/>
      <c r="JH10" s="173"/>
      <c r="JI10" s="186">
        <f t="shared" si="87"/>
        <v>0</v>
      </c>
      <c r="JJ10" s="185"/>
      <c r="JK10" s="173"/>
      <c r="JL10" s="186">
        <f t="shared" si="88"/>
        <v>0</v>
      </c>
      <c r="JM10" s="185"/>
      <c r="JN10" s="173"/>
      <c r="JO10" s="186">
        <f t="shared" si="89"/>
        <v>0</v>
      </c>
      <c r="JP10" s="185"/>
      <c r="JQ10" s="173"/>
      <c r="JR10" s="186">
        <f t="shared" si="90"/>
        <v>0</v>
      </c>
      <c r="JS10" s="185"/>
      <c r="JT10" s="173"/>
      <c r="JU10" s="186" t="str" cm="1">
        <f t="array" aca="1" ref="JU10"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0" s="187"/>
      <c r="JW10" s="173"/>
      <c r="JX10" s="186" t="str" cm="1">
        <f t="array" aca="1" ref="JX10"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0" s="185"/>
      <c r="JZ10" s="184"/>
      <c r="KA10" s="186" t="str" cm="1">
        <f t="array" aca="1" ref="KA10"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0" s="185"/>
      <c r="KC10" s="184"/>
      <c r="KD10" s="186" t="str" cm="1">
        <f t="array" aca="1" ref="KD10"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0" s="185"/>
      <c r="KF10" s="184"/>
    </row>
    <row r="11" spans="1:294" x14ac:dyDescent="0.3">
      <c r="A11" s="191">
        <f>[1]Reg!A11</f>
        <v>8</v>
      </c>
      <c r="B11" s="190">
        <f t="shared" si="0"/>
        <v>-206730</v>
      </c>
      <c r="C11" s="188">
        <v>1000</v>
      </c>
      <c r="D11" s="173">
        <v>-206.73</v>
      </c>
      <c r="E11" s="190">
        <f t="shared" si="1"/>
        <v>0</v>
      </c>
      <c r="F11" s="188"/>
      <c r="G11" s="173"/>
      <c r="H11" s="190">
        <f t="shared" si="2"/>
        <v>-2400000</v>
      </c>
      <c r="I11" s="188">
        <v>50000</v>
      </c>
      <c r="J11" s="173">
        <v>-48</v>
      </c>
      <c r="K11" s="190">
        <f t="shared" si="3"/>
        <v>-148544</v>
      </c>
      <c r="L11" s="188">
        <v>800</v>
      </c>
      <c r="M11" s="173">
        <v>-185.68</v>
      </c>
      <c r="N11" s="190">
        <f t="shared" si="4"/>
        <v>-7672.8924999999999</v>
      </c>
      <c r="O11" s="188">
        <v>2275</v>
      </c>
      <c r="P11" s="173">
        <v>-3.3727</v>
      </c>
      <c r="Q11" s="190">
        <f t="shared" si="5"/>
        <v>-129100</v>
      </c>
      <c r="R11" s="188">
        <v>200</v>
      </c>
      <c r="S11" s="173">
        <v>-645.5</v>
      </c>
      <c r="T11" s="189"/>
      <c r="U11" s="189"/>
      <c r="V11" s="189"/>
      <c r="W11" s="186">
        <f t="shared" si="6"/>
        <v>0</v>
      </c>
      <c r="X11" s="188"/>
      <c r="Y11" s="173"/>
      <c r="Z11" s="186">
        <f t="shared" si="7"/>
        <v>0</v>
      </c>
      <c r="AA11" s="188"/>
      <c r="AB11" s="173"/>
      <c r="AC11" s="186">
        <f t="shared" si="8"/>
        <v>0</v>
      </c>
      <c r="AD11" s="185"/>
      <c r="AE11" s="173"/>
      <c r="AF11" s="186">
        <f t="shared" si="9"/>
        <v>0</v>
      </c>
      <c r="AG11" s="188"/>
      <c r="AH11" s="173"/>
      <c r="AI11" s="186">
        <f t="shared" si="10"/>
        <v>0</v>
      </c>
      <c r="AJ11" s="185"/>
      <c r="AK11" s="173"/>
      <c r="AL11" s="186">
        <f t="shared" si="11"/>
        <v>0</v>
      </c>
      <c r="AM11" s="185"/>
      <c r="AN11" s="173"/>
      <c r="AO11" s="186">
        <f t="shared" si="12"/>
        <v>-19634</v>
      </c>
      <c r="AP11" s="188">
        <v>5000</v>
      </c>
      <c r="AQ11" s="173">
        <v>-3.9268000000000001</v>
      </c>
      <c r="AR11" s="186">
        <f t="shared" si="13"/>
        <v>0</v>
      </c>
      <c r="AS11" s="188"/>
      <c r="AT11" s="173"/>
      <c r="AU11" s="186">
        <f t="shared" si="14"/>
        <v>0</v>
      </c>
      <c r="AV11" s="185"/>
      <c r="AW11" s="173"/>
      <c r="AX11" s="186">
        <f t="shared" si="15"/>
        <v>0</v>
      </c>
      <c r="AY11" s="185"/>
      <c r="AZ11" s="173"/>
      <c r="BA11" s="186">
        <f t="shared" si="16"/>
        <v>0</v>
      </c>
      <c r="BB11" s="185"/>
      <c r="BC11" s="173"/>
      <c r="BD11" s="186">
        <f t="shared" si="17"/>
        <v>0</v>
      </c>
      <c r="BE11" s="185"/>
      <c r="BF11" s="173"/>
      <c r="BG11" s="186">
        <f t="shared" si="18"/>
        <v>0</v>
      </c>
      <c r="BH11" s="185"/>
      <c r="BI11" s="173"/>
      <c r="BJ11" s="186">
        <f t="shared" si="19"/>
        <v>0</v>
      </c>
      <c r="BK11" s="185"/>
      <c r="BL11" s="173"/>
      <c r="BM11" s="186">
        <f t="shared" si="20"/>
        <v>0</v>
      </c>
      <c r="BN11" s="185"/>
      <c r="BO11" s="173"/>
      <c r="BP11" s="186">
        <f t="shared" si="21"/>
        <v>0</v>
      </c>
      <c r="BQ11" s="185"/>
      <c r="BR11" s="173"/>
      <c r="BS11" s="186">
        <f t="shared" si="22"/>
        <v>-1735200</v>
      </c>
      <c r="BT11" s="188">
        <v>10000</v>
      </c>
      <c r="BU11" s="173">
        <v>-173.52</v>
      </c>
      <c r="BV11" s="186">
        <f t="shared" si="23"/>
        <v>0</v>
      </c>
      <c r="BW11" s="185"/>
      <c r="BX11" s="173"/>
      <c r="BY11" s="186">
        <f t="shared" si="24"/>
        <v>0</v>
      </c>
      <c r="BZ11" s="185"/>
      <c r="CA11" s="173"/>
      <c r="CB11" s="186">
        <f t="shared" si="25"/>
        <v>0</v>
      </c>
      <c r="CC11" s="185"/>
      <c r="CD11" s="173"/>
      <c r="CE11" s="186"/>
      <c r="CF11" s="188">
        <v>200</v>
      </c>
      <c r="CG11" s="173">
        <v>-122.57</v>
      </c>
      <c r="CH11" s="186"/>
      <c r="CI11" s="188">
        <v>300</v>
      </c>
      <c r="CJ11" s="173">
        <v>-403.05</v>
      </c>
      <c r="CK11" s="186">
        <f t="shared" si="27"/>
        <v>0</v>
      </c>
      <c r="CL11" s="188"/>
      <c r="CM11" s="173"/>
      <c r="CN11" s="186">
        <f t="shared" si="28"/>
        <v>-85120</v>
      </c>
      <c r="CO11" s="188">
        <v>2000</v>
      </c>
      <c r="CP11" s="173">
        <v>-42.56</v>
      </c>
      <c r="CQ11" s="186">
        <f t="shared" si="29"/>
        <v>0</v>
      </c>
      <c r="CR11" s="188"/>
      <c r="CS11" s="173"/>
      <c r="CT11" s="186">
        <f t="shared" si="30"/>
        <v>0</v>
      </c>
      <c r="CU11" s="188"/>
      <c r="CV11" s="173"/>
      <c r="CW11" s="186">
        <f t="shared" si="31"/>
        <v>0</v>
      </c>
      <c r="CX11" s="188"/>
      <c r="CY11" s="173"/>
      <c r="CZ11" s="186">
        <f t="shared" si="32"/>
        <v>0</v>
      </c>
      <c r="DA11" s="185"/>
      <c r="DB11" s="173"/>
      <c r="DC11" s="186">
        <f t="shared" si="33"/>
        <v>0</v>
      </c>
      <c r="DD11" s="185"/>
      <c r="DE11" s="173"/>
      <c r="DF11" s="186">
        <f t="shared" si="34"/>
        <v>0</v>
      </c>
      <c r="DG11" s="185"/>
      <c r="DH11" s="173"/>
      <c r="DI11" s="186">
        <f t="shared" si="35"/>
        <v>0</v>
      </c>
      <c r="DJ11" s="185"/>
      <c r="DK11" s="173"/>
      <c r="DL11" s="186">
        <f t="shared" si="36"/>
        <v>0</v>
      </c>
      <c r="DM11" s="185"/>
      <c r="DN11" s="173"/>
      <c r="DO11" s="186">
        <f t="shared" si="37"/>
        <v>0</v>
      </c>
      <c r="DP11" s="185"/>
      <c r="DQ11" s="173"/>
      <c r="DR11" s="186">
        <f t="shared" si="38"/>
        <v>0</v>
      </c>
      <c r="DS11" s="185"/>
      <c r="DT11" s="173"/>
      <c r="DU11" s="186">
        <f t="shared" si="39"/>
        <v>0</v>
      </c>
      <c r="DV11" s="185"/>
      <c r="DW11" s="173"/>
      <c r="DX11" s="186">
        <f t="shared" si="40"/>
        <v>0</v>
      </c>
      <c r="DY11" s="185"/>
      <c r="DZ11" s="173"/>
      <c r="EA11" s="186">
        <f t="shared" si="41"/>
        <v>-189888.75</v>
      </c>
      <c r="EB11" s="188">
        <v>1000</v>
      </c>
      <c r="EC11" s="173">
        <v>-189.88874999999999</v>
      </c>
      <c r="ED11" s="186">
        <f t="shared" si="42"/>
        <v>0</v>
      </c>
      <c r="EE11" s="185"/>
      <c r="EF11" s="173"/>
      <c r="EG11" s="186">
        <f t="shared" si="43"/>
        <v>0</v>
      </c>
      <c r="EH11" s="185"/>
      <c r="EI11" s="173"/>
      <c r="EJ11" s="186">
        <f t="shared" si="44"/>
        <v>0</v>
      </c>
      <c r="EK11" s="185"/>
      <c r="EL11" s="173"/>
      <c r="EM11" s="186">
        <f t="shared" si="45"/>
        <v>0</v>
      </c>
      <c r="EN11" s="185"/>
      <c r="EO11" s="173"/>
      <c r="EP11" s="186">
        <f t="shared" si="46"/>
        <v>0</v>
      </c>
      <c r="EQ11" s="185"/>
      <c r="ER11" s="173"/>
      <c r="ES11" s="186">
        <f t="shared" si="47"/>
        <v>0</v>
      </c>
      <c r="ET11" s="185"/>
      <c r="EU11" s="173"/>
      <c r="EV11" s="186">
        <f t="shared" si="48"/>
        <v>0</v>
      </c>
      <c r="EW11" s="185"/>
      <c r="EX11" s="184"/>
      <c r="EY11" s="186">
        <f t="shared" si="49"/>
        <v>0</v>
      </c>
      <c r="EZ11" s="185"/>
      <c r="FA11" s="184"/>
      <c r="FB11" s="186">
        <f t="shared" si="50"/>
        <v>0</v>
      </c>
      <c r="FC11" s="185"/>
      <c r="FD11" s="184"/>
      <c r="FE11" s="186">
        <f t="shared" si="51"/>
        <v>-11000</v>
      </c>
      <c r="FF11" s="188">
        <v>10000</v>
      </c>
      <c r="FG11" s="173">
        <v>-1.1000000000000001</v>
      </c>
      <c r="FH11" s="186">
        <f t="shared" si="52"/>
        <v>0</v>
      </c>
      <c r="FI11" s="188"/>
      <c r="FJ11" s="173"/>
      <c r="FK11" s="186">
        <f t="shared" si="53"/>
        <v>0</v>
      </c>
      <c r="FL11" s="185"/>
      <c r="FM11" s="173"/>
      <c r="FN11" s="186">
        <f t="shared" si="54"/>
        <v>0</v>
      </c>
      <c r="FO11" s="185"/>
      <c r="FP11" s="173"/>
      <c r="FQ11" s="186">
        <f t="shared" si="55"/>
        <v>-29087.399999999998</v>
      </c>
      <c r="FR11" s="188">
        <v>2000</v>
      </c>
      <c r="FS11" s="173">
        <v>-14.543699999999999</v>
      </c>
      <c r="FT11" s="186">
        <f t="shared" si="56"/>
        <v>0</v>
      </c>
      <c r="FU11" s="188"/>
      <c r="FV11" s="173"/>
      <c r="FW11" s="186">
        <f t="shared" si="57"/>
        <v>0</v>
      </c>
      <c r="FX11" s="185"/>
      <c r="FY11" s="173"/>
      <c r="FZ11" s="186">
        <f t="shared" si="58"/>
        <v>0</v>
      </c>
      <c r="GA11" s="188"/>
      <c r="GB11" s="173"/>
      <c r="GC11" s="186">
        <f t="shared" si="59"/>
        <v>0</v>
      </c>
      <c r="GD11" s="185"/>
      <c r="GE11" s="173"/>
      <c r="GF11" s="186">
        <f t="shared" si="60"/>
        <v>0</v>
      </c>
      <c r="GG11" s="185"/>
      <c r="GH11" s="173"/>
      <c r="GI11" s="186">
        <f t="shared" si="61"/>
        <v>0</v>
      </c>
      <c r="GJ11" s="185"/>
      <c r="GK11" s="173"/>
      <c r="GL11" s="186">
        <f t="shared" si="62"/>
        <v>0</v>
      </c>
      <c r="GM11" s="185"/>
      <c r="GN11" s="173"/>
      <c r="GO11" s="186">
        <f t="shared" si="63"/>
        <v>0</v>
      </c>
      <c r="GP11" s="185"/>
      <c r="GQ11" s="173"/>
      <c r="GR11" s="186">
        <f t="shared" si="64"/>
        <v>0</v>
      </c>
      <c r="GS11" s="185"/>
      <c r="GT11" s="173"/>
      <c r="GU11" s="186">
        <f t="shared" si="65"/>
        <v>-40185.000000000007</v>
      </c>
      <c r="GV11" s="188">
        <v>10000</v>
      </c>
      <c r="GW11" s="173">
        <v>-4.0185000000000004</v>
      </c>
      <c r="GX11" s="186">
        <f t="shared" si="66"/>
        <v>0</v>
      </c>
      <c r="GY11" s="185"/>
      <c r="GZ11" s="173"/>
      <c r="HA11" s="186">
        <f t="shared" si="67"/>
        <v>0</v>
      </c>
      <c r="HB11" s="185"/>
      <c r="HC11" s="173"/>
      <c r="HD11" s="186">
        <f t="shared" si="68"/>
        <v>0</v>
      </c>
      <c r="HE11" s="185"/>
      <c r="HF11" s="173"/>
      <c r="HG11" s="186">
        <f t="shared" si="69"/>
        <v>0</v>
      </c>
      <c r="HH11" s="188"/>
      <c r="HI11" s="173"/>
      <c r="HJ11" s="186">
        <f t="shared" si="70"/>
        <v>-17154.924999999999</v>
      </c>
      <c r="HK11" s="188">
        <v>5000</v>
      </c>
      <c r="HL11" s="173">
        <v>-3.4309850000000002</v>
      </c>
      <c r="HM11" s="186">
        <f t="shared" si="71"/>
        <v>0</v>
      </c>
      <c r="HN11" s="185"/>
      <c r="HO11" s="173"/>
      <c r="HP11" s="186">
        <f t="shared" si="72"/>
        <v>0</v>
      </c>
      <c r="HQ11" s="185"/>
      <c r="HR11" s="173"/>
      <c r="HS11" s="186">
        <f t="shared" si="73"/>
        <v>0</v>
      </c>
      <c r="HT11" s="185"/>
      <c r="HU11" s="173"/>
      <c r="HV11" s="186">
        <f t="shared" si="74"/>
        <v>0</v>
      </c>
      <c r="HW11" s="185"/>
      <c r="HX11" s="173"/>
      <c r="HY11" s="186">
        <f t="shared" si="75"/>
        <v>0</v>
      </c>
      <c r="HZ11" s="185"/>
      <c r="IA11" s="173"/>
      <c r="IB11" s="186">
        <f t="shared" si="76"/>
        <v>0</v>
      </c>
      <c r="IC11" s="185"/>
      <c r="ID11" s="173"/>
      <c r="IE11" s="186">
        <f t="shared" si="77"/>
        <v>0</v>
      </c>
      <c r="IF11" s="185"/>
      <c r="IG11" s="173"/>
      <c r="IH11" s="186">
        <f t="shared" si="78"/>
        <v>0</v>
      </c>
      <c r="II11" s="185"/>
      <c r="IJ11" s="173"/>
      <c r="IK11" s="186">
        <f t="shared" si="79"/>
        <v>0</v>
      </c>
      <c r="IL11" s="185"/>
      <c r="IM11" s="173"/>
      <c r="IN11" s="186">
        <f t="shared" si="80"/>
        <v>0</v>
      </c>
      <c r="IO11" s="185"/>
      <c r="IP11" s="173"/>
      <c r="IQ11" s="186">
        <f t="shared" si="81"/>
        <v>0</v>
      </c>
      <c r="IR11" s="185"/>
      <c r="IS11" s="173"/>
      <c r="IT11" s="186">
        <f t="shared" si="82"/>
        <v>0</v>
      </c>
      <c r="IU11" s="185"/>
      <c r="IV11" s="173"/>
      <c r="IW11" s="186">
        <f t="shared" si="83"/>
        <v>0</v>
      </c>
      <c r="IX11" s="185"/>
      <c r="IY11" s="173"/>
      <c r="IZ11" s="186">
        <f t="shared" si="84"/>
        <v>0</v>
      </c>
      <c r="JA11" s="185"/>
      <c r="JB11" s="173"/>
      <c r="JC11" s="186">
        <f t="shared" si="85"/>
        <v>0</v>
      </c>
      <c r="JD11" s="185"/>
      <c r="JE11" s="173"/>
      <c r="JF11" s="186">
        <f t="shared" si="86"/>
        <v>0</v>
      </c>
      <c r="JG11" s="185"/>
      <c r="JH11" s="173"/>
      <c r="JI11" s="186">
        <f t="shared" si="87"/>
        <v>0</v>
      </c>
      <c r="JJ11" s="185"/>
      <c r="JK11" s="173"/>
      <c r="JL11" s="186">
        <f t="shared" si="88"/>
        <v>0</v>
      </c>
      <c r="JM11" s="185"/>
      <c r="JN11" s="173"/>
      <c r="JO11" s="186">
        <f t="shared" si="89"/>
        <v>0</v>
      </c>
      <c r="JP11" s="185"/>
      <c r="JQ11" s="173"/>
      <c r="JR11" s="186">
        <f t="shared" si="90"/>
        <v>0</v>
      </c>
      <c r="JS11" s="185"/>
      <c r="JT11" s="173"/>
      <c r="JU11" s="186" t="str" cm="1">
        <f t="array" aca="1" ref="JU11"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1" s="187"/>
      <c r="JW11" s="173"/>
      <c r="JX11" s="186" t="str" cm="1">
        <f t="array" aca="1" ref="JX11"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1" s="185"/>
      <c r="JZ11" s="184"/>
      <c r="KA11" s="186" t="str" cm="1">
        <f t="array" aca="1" ref="KA11"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1" s="185"/>
      <c r="KC11" s="184"/>
      <c r="KD11" s="186" t="str" cm="1">
        <f t="array" aca="1" ref="KD11"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1" s="185"/>
      <c r="KF11" s="184"/>
    </row>
    <row r="12" spans="1:294" x14ac:dyDescent="0.3">
      <c r="A12" s="192">
        <f>[1]Reg!A12</f>
        <v>9</v>
      </c>
      <c r="B12" s="190">
        <f t="shared" si="0"/>
        <v>-110180</v>
      </c>
      <c r="C12" s="188">
        <v>500</v>
      </c>
      <c r="D12" s="173">
        <v>-220.36</v>
      </c>
      <c r="E12" s="190">
        <f t="shared" si="1"/>
        <v>0</v>
      </c>
      <c r="F12" s="188"/>
      <c r="G12" s="173"/>
      <c r="H12" s="190">
        <f t="shared" si="2"/>
        <v>-4900000</v>
      </c>
      <c r="I12" s="188">
        <v>100000</v>
      </c>
      <c r="J12" s="173">
        <v>-49</v>
      </c>
      <c r="K12" s="190">
        <f t="shared" si="3"/>
        <v>-96410</v>
      </c>
      <c r="L12" s="188">
        <v>500</v>
      </c>
      <c r="M12" s="173">
        <v>-192.82</v>
      </c>
      <c r="N12" s="190">
        <f t="shared" si="4"/>
        <v>0</v>
      </c>
      <c r="O12" s="188"/>
      <c r="P12" s="173"/>
      <c r="Q12" s="190">
        <f t="shared" si="5"/>
        <v>-129420</v>
      </c>
      <c r="R12" s="188">
        <v>200</v>
      </c>
      <c r="S12" s="173">
        <v>-647.1</v>
      </c>
      <c r="T12" s="189"/>
      <c r="U12" s="189"/>
      <c r="V12" s="189"/>
      <c r="W12" s="186">
        <f t="shared" si="6"/>
        <v>0</v>
      </c>
      <c r="X12" s="188"/>
      <c r="Y12" s="173"/>
      <c r="Z12" s="186">
        <f t="shared" si="7"/>
        <v>0</v>
      </c>
      <c r="AA12" s="188"/>
      <c r="AB12" s="173"/>
      <c r="AC12" s="186">
        <f t="shared" si="8"/>
        <v>0</v>
      </c>
      <c r="AD12" s="185"/>
      <c r="AE12" s="173"/>
      <c r="AF12" s="186">
        <f t="shared" si="9"/>
        <v>0</v>
      </c>
      <c r="AG12" s="188"/>
      <c r="AH12" s="173"/>
      <c r="AI12" s="186">
        <f t="shared" si="10"/>
        <v>0</v>
      </c>
      <c r="AJ12" s="185"/>
      <c r="AK12" s="173"/>
      <c r="AL12" s="186">
        <f t="shared" si="11"/>
        <v>0</v>
      </c>
      <c r="AM12" s="185"/>
      <c r="AN12" s="173"/>
      <c r="AO12" s="186">
        <f t="shared" si="12"/>
        <v>-39952</v>
      </c>
      <c r="AP12" s="188">
        <v>10000</v>
      </c>
      <c r="AQ12" s="173">
        <v>-3.9952000000000001</v>
      </c>
      <c r="AR12" s="186">
        <f t="shared" si="13"/>
        <v>0</v>
      </c>
      <c r="AS12" s="185"/>
      <c r="AT12" s="173"/>
      <c r="AU12" s="186">
        <f t="shared" si="14"/>
        <v>0</v>
      </c>
      <c r="AV12" s="185"/>
      <c r="AW12" s="173"/>
      <c r="AX12" s="186">
        <f t="shared" si="15"/>
        <v>0</v>
      </c>
      <c r="AY12" s="185"/>
      <c r="AZ12" s="173"/>
      <c r="BA12" s="186">
        <f t="shared" si="16"/>
        <v>0</v>
      </c>
      <c r="BB12" s="185"/>
      <c r="BC12" s="173"/>
      <c r="BD12" s="186">
        <f t="shared" si="17"/>
        <v>0</v>
      </c>
      <c r="BE12" s="185"/>
      <c r="BF12" s="173"/>
      <c r="BG12" s="186">
        <f t="shared" si="18"/>
        <v>0</v>
      </c>
      <c r="BH12" s="185"/>
      <c r="BI12" s="173"/>
      <c r="BJ12" s="186">
        <f t="shared" si="19"/>
        <v>0</v>
      </c>
      <c r="BK12" s="185"/>
      <c r="BL12" s="173"/>
      <c r="BM12" s="186">
        <f t="shared" si="20"/>
        <v>0</v>
      </c>
      <c r="BN12" s="185"/>
      <c r="BO12" s="173"/>
      <c r="BP12" s="186">
        <f t="shared" si="21"/>
        <v>0</v>
      </c>
      <c r="BQ12" s="185"/>
      <c r="BR12" s="173"/>
      <c r="BS12" s="186">
        <f t="shared" si="22"/>
        <v>0</v>
      </c>
      <c r="BT12" s="188"/>
      <c r="BU12" s="173"/>
      <c r="BV12" s="186">
        <f t="shared" si="23"/>
        <v>0</v>
      </c>
      <c r="BW12" s="185"/>
      <c r="BX12" s="173"/>
      <c r="BY12" s="186">
        <f t="shared" si="24"/>
        <v>0</v>
      </c>
      <c r="BZ12" s="185"/>
      <c r="CA12" s="173"/>
      <c r="CB12" s="186">
        <f t="shared" si="25"/>
        <v>0</v>
      </c>
      <c r="CC12" s="185"/>
      <c r="CD12" s="173"/>
      <c r="CE12" s="186"/>
      <c r="CF12" s="185"/>
      <c r="CG12" s="173"/>
      <c r="CH12" s="186"/>
      <c r="CI12" s="188">
        <v>1000</v>
      </c>
      <c r="CJ12" s="173">
        <v>-409.15</v>
      </c>
      <c r="CK12" s="186">
        <f t="shared" si="27"/>
        <v>0</v>
      </c>
      <c r="CL12" s="188"/>
      <c r="CM12" s="173"/>
      <c r="CN12" s="186">
        <f t="shared" si="28"/>
        <v>-43700</v>
      </c>
      <c r="CO12" s="188">
        <v>1000</v>
      </c>
      <c r="CP12" s="173">
        <v>-43.7</v>
      </c>
      <c r="CQ12" s="186">
        <f t="shared" si="29"/>
        <v>0</v>
      </c>
      <c r="CR12" s="188"/>
      <c r="CS12" s="173"/>
      <c r="CT12" s="186">
        <f t="shared" si="30"/>
        <v>0</v>
      </c>
      <c r="CU12" s="188"/>
      <c r="CV12" s="173"/>
      <c r="CW12" s="186">
        <f t="shared" si="31"/>
        <v>0</v>
      </c>
      <c r="CX12" s="188"/>
      <c r="CY12" s="173"/>
      <c r="CZ12" s="186">
        <f t="shared" si="32"/>
        <v>0</v>
      </c>
      <c r="DA12" s="185"/>
      <c r="DB12" s="173"/>
      <c r="DC12" s="186">
        <f t="shared" si="33"/>
        <v>0</v>
      </c>
      <c r="DD12" s="185"/>
      <c r="DE12" s="173"/>
      <c r="DF12" s="186">
        <f t="shared" si="34"/>
        <v>0</v>
      </c>
      <c r="DG12" s="185"/>
      <c r="DH12" s="173"/>
      <c r="DI12" s="186">
        <f t="shared" si="35"/>
        <v>0</v>
      </c>
      <c r="DJ12" s="185"/>
      <c r="DK12" s="173"/>
      <c r="DL12" s="186">
        <f t="shared" si="36"/>
        <v>0</v>
      </c>
      <c r="DM12" s="185"/>
      <c r="DN12" s="173"/>
      <c r="DO12" s="186">
        <f t="shared" si="37"/>
        <v>0</v>
      </c>
      <c r="DP12" s="185"/>
      <c r="DQ12" s="173"/>
      <c r="DR12" s="186">
        <f t="shared" si="38"/>
        <v>0</v>
      </c>
      <c r="DS12" s="185"/>
      <c r="DT12" s="173"/>
      <c r="DU12" s="186">
        <f t="shared" si="39"/>
        <v>0</v>
      </c>
      <c r="DV12" s="185"/>
      <c r="DW12" s="173"/>
      <c r="DX12" s="186">
        <f t="shared" si="40"/>
        <v>0</v>
      </c>
      <c r="DY12" s="185"/>
      <c r="DZ12" s="173"/>
      <c r="EA12" s="186">
        <f t="shared" si="41"/>
        <v>-96763.42</v>
      </c>
      <c r="EB12" s="188">
        <v>500</v>
      </c>
      <c r="EC12" s="173">
        <v>-193.52683999999999</v>
      </c>
      <c r="ED12" s="186">
        <f t="shared" si="42"/>
        <v>0</v>
      </c>
      <c r="EE12" s="185"/>
      <c r="EF12" s="173"/>
      <c r="EG12" s="186">
        <f t="shared" si="43"/>
        <v>0</v>
      </c>
      <c r="EH12" s="185"/>
      <c r="EI12" s="173"/>
      <c r="EJ12" s="186">
        <f t="shared" si="44"/>
        <v>0</v>
      </c>
      <c r="EK12" s="185"/>
      <c r="EL12" s="173"/>
      <c r="EM12" s="186">
        <f t="shared" si="45"/>
        <v>0</v>
      </c>
      <c r="EN12" s="185"/>
      <c r="EO12" s="173"/>
      <c r="EP12" s="186">
        <f t="shared" si="46"/>
        <v>0</v>
      </c>
      <c r="EQ12" s="185"/>
      <c r="ER12" s="173"/>
      <c r="ES12" s="186">
        <f t="shared" si="47"/>
        <v>0</v>
      </c>
      <c r="ET12" s="185"/>
      <c r="EU12" s="173"/>
      <c r="EV12" s="186">
        <f t="shared" si="48"/>
        <v>0</v>
      </c>
      <c r="EW12" s="185"/>
      <c r="EX12" s="184"/>
      <c r="EY12" s="186">
        <f t="shared" si="49"/>
        <v>0</v>
      </c>
      <c r="EZ12" s="185"/>
      <c r="FA12" s="184"/>
      <c r="FB12" s="186">
        <f t="shared" si="50"/>
        <v>0</v>
      </c>
      <c r="FC12" s="185"/>
      <c r="FD12" s="184"/>
      <c r="FE12" s="186">
        <f t="shared" si="51"/>
        <v>-462186.26999999996</v>
      </c>
      <c r="FF12" s="188">
        <v>395031</v>
      </c>
      <c r="FG12" s="173">
        <v>-1.17</v>
      </c>
      <c r="FH12" s="186">
        <f t="shared" si="52"/>
        <v>0</v>
      </c>
      <c r="FI12" s="188"/>
      <c r="FJ12" s="173"/>
      <c r="FK12" s="186">
        <f t="shared" si="53"/>
        <v>0</v>
      </c>
      <c r="FL12" s="185"/>
      <c r="FM12" s="173"/>
      <c r="FN12" s="186">
        <f t="shared" si="54"/>
        <v>0</v>
      </c>
      <c r="FO12" s="185"/>
      <c r="FP12" s="173"/>
      <c r="FQ12" s="186">
        <f t="shared" si="55"/>
        <v>-29508</v>
      </c>
      <c r="FR12" s="188">
        <v>2000</v>
      </c>
      <c r="FS12" s="173">
        <v>-14.754</v>
      </c>
      <c r="FT12" s="186">
        <f t="shared" si="56"/>
        <v>0</v>
      </c>
      <c r="FU12" s="188"/>
      <c r="FV12" s="173"/>
      <c r="FW12" s="186">
        <f t="shared" si="57"/>
        <v>0</v>
      </c>
      <c r="FX12" s="185"/>
      <c r="FY12" s="173"/>
      <c r="FZ12" s="186">
        <f t="shared" si="58"/>
        <v>0</v>
      </c>
      <c r="GA12" s="188"/>
      <c r="GB12" s="173"/>
      <c r="GC12" s="186">
        <f t="shared" si="59"/>
        <v>0</v>
      </c>
      <c r="GD12" s="185"/>
      <c r="GE12" s="173"/>
      <c r="GF12" s="186">
        <f t="shared" si="60"/>
        <v>0</v>
      </c>
      <c r="GG12" s="185"/>
      <c r="GH12" s="173"/>
      <c r="GI12" s="186">
        <f t="shared" si="61"/>
        <v>0</v>
      </c>
      <c r="GJ12" s="185"/>
      <c r="GK12" s="173"/>
      <c r="GL12" s="186">
        <f t="shared" si="62"/>
        <v>0</v>
      </c>
      <c r="GM12" s="185"/>
      <c r="GN12" s="173"/>
      <c r="GO12" s="186">
        <f t="shared" si="63"/>
        <v>0</v>
      </c>
      <c r="GP12" s="185"/>
      <c r="GQ12" s="173"/>
      <c r="GR12" s="186">
        <f t="shared" si="64"/>
        <v>0</v>
      </c>
      <c r="GS12" s="185"/>
      <c r="GT12" s="173"/>
      <c r="GU12" s="186">
        <f t="shared" si="65"/>
        <v>0</v>
      </c>
      <c r="GV12" s="185"/>
      <c r="GW12" s="173"/>
      <c r="GX12" s="186">
        <f t="shared" si="66"/>
        <v>0</v>
      </c>
      <c r="GY12" s="185"/>
      <c r="GZ12" s="173"/>
      <c r="HA12" s="186">
        <f t="shared" si="67"/>
        <v>0</v>
      </c>
      <c r="HB12" s="185"/>
      <c r="HC12" s="173"/>
      <c r="HD12" s="186">
        <f t="shared" si="68"/>
        <v>0</v>
      </c>
      <c r="HE12" s="185"/>
      <c r="HF12" s="173"/>
      <c r="HG12" s="186">
        <f t="shared" si="69"/>
        <v>0</v>
      </c>
      <c r="HH12" s="188"/>
      <c r="HI12" s="173"/>
      <c r="HJ12" s="186">
        <f t="shared" si="70"/>
        <v>0</v>
      </c>
      <c r="HK12" s="185"/>
      <c r="HL12" s="173"/>
      <c r="HM12" s="186">
        <f t="shared" si="71"/>
        <v>0</v>
      </c>
      <c r="HN12" s="185"/>
      <c r="HO12" s="173"/>
      <c r="HP12" s="186">
        <f t="shared" si="72"/>
        <v>0</v>
      </c>
      <c r="HQ12" s="185"/>
      <c r="HR12" s="173"/>
      <c r="HS12" s="186">
        <f t="shared" si="73"/>
        <v>0</v>
      </c>
      <c r="HT12" s="185"/>
      <c r="HU12" s="173"/>
      <c r="HV12" s="186">
        <f t="shared" si="74"/>
        <v>0</v>
      </c>
      <c r="HW12" s="185"/>
      <c r="HX12" s="173"/>
      <c r="HY12" s="186">
        <f t="shared" si="75"/>
        <v>0</v>
      </c>
      <c r="HZ12" s="185"/>
      <c r="IA12" s="173"/>
      <c r="IB12" s="186">
        <f t="shared" si="76"/>
        <v>0</v>
      </c>
      <c r="IC12" s="185"/>
      <c r="ID12" s="173"/>
      <c r="IE12" s="186">
        <f t="shared" si="77"/>
        <v>0</v>
      </c>
      <c r="IF12" s="185"/>
      <c r="IG12" s="173"/>
      <c r="IH12" s="186">
        <f t="shared" si="78"/>
        <v>0</v>
      </c>
      <c r="II12" s="185"/>
      <c r="IJ12" s="173"/>
      <c r="IK12" s="186">
        <f t="shared" si="79"/>
        <v>0</v>
      </c>
      <c r="IL12" s="185"/>
      <c r="IM12" s="173"/>
      <c r="IN12" s="186">
        <f t="shared" si="80"/>
        <v>0</v>
      </c>
      <c r="IO12" s="185"/>
      <c r="IP12" s="173"/>
      <c r="IQ12" s="186">
        <f t="shared" si="81"/>
        <v>0</v>
      </c>
      <c r="IR12" s="185"/>
      <c r="IS12" s="173"/>
      <c r="IT12" s="186">
        <f t="shared" si="82"/>
        <v>0</v>
      </c>
      <c r="IU12" s="185"/>
      <c r="IV12" s="173"/>
      <c r="IW12" s="186">
        <f t="shared" si="83"/>
        <v>0</v>
      </c>
      <c r="IX12" s="185"/>
      <c r="IY12" s="173"/>
      <c r="IZ12" s="186">
        <f t="shared" si="84"/>
        <v>0</v>
      </c>
      <c r="JA12" s="185"/>
      <c r="JB12" s="173"/>
      <c r="JC12" s="186">
        <f t="shared" si="85"/>
        <v>0</v>
      </c>
      <c r="JD12" s="185"/>
      <c r="JE12" s="173"/>
      <c r="JF12" s="186">
        <f t="shared" si="86"/>
        <v>0</v>
      </c>
      <c r="JG12" s="185"/>
      <c r="JH12" s="173"/>
      <c r="JI12" s="186">
        <f t="shared" si="87"/>
        <v>0</v>
      </c>
      <c r="JJ12" s="185"/>
      <c r="JK12" s="173"/>
      <c r="JL12" s="186">
        <f t="shared" si="88"/>
        <v>0</v>
      </c>
      <c r="JM12" s="185"/>
      <c r="JN12" s="173"/>
      <c r="JO12" s="186">
        <f t="shared" si="89"/>
        <v>0</v>
      </c>
      <c r="JP12" s="185"/>
      <c r="JQ12" s="173"/>
      <c r="JR12" s="186">
        <f t="shared" si="90"/>
        <v>0</v>
      </c>
      <c r="JS12" s="185"/>
      <c r="JT12" s="173"/>
      <c r="JU12" s="186" t="str" cm="1">
        <f t="array" aca="1" ref="JU12"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2" s="187"/>
      <c r="JW12" s="173"/>
      <c r="JX12" s="186" t="str" cm="1">
        <f t="array" aca="1" ref="JX12"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2" s="185"/>
      <c r="JZ12" s="184"/>
      <c r="KA12" s="186" t="str" cm="1">
        <f t="array" aca="1" ref="KA12"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2" s="185"/>
      <c r="KC12" s="184"/>
      <c r="KD12" s="186" t="str" cm="1">
        <f t="array" aca="1" ref="KD12"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2" s="185"/>
      <c r="KF12" s="184"/>
    </row>
    <row r="13" spans="1:294" x14ac:dyDescent="0.3">
      <c r="A13" s="191">
        <f>[1]Reg!A13</f>
        <v>10</v>
      </c>
      <c r="B13" s="190">
        <f t="shared" si="0"/>
        <v>-673020</v>
      </c>
      <c r="C13" s="188">
        <v>3000</v>
      </c>
      <c r="D13" s="173">
        <v>-224.34</v>
      </c>
      <c r="E13" s="190">
        <f t="shared" si="1"/>
        <v>0</v>
      </c>
      <c r="F13" s="188"/>
      <c r="G13" s="173"/>
      <c r="H13" s="190">
        <f t="shared" si="2"/>
        <v>-9453942</v>
      </c>
      <c r="I13" s="188">
        <v>180000</v>
      </c>
      <c r="J13" s="173">
        <v>-52.521900000000002</v>
      </c>
      <c r="K13" s="190">
        <f t="shared" si="3"/>
        <v>-408195</v>
      </c>
      <c r="L13" s="188">
        <v>2000</v>
      </c>
      <c r="M13" s="173">
        <v>-204.0975</v>
      </c>
      <c r="N13" s="190">
        <f t="shared" si="4"/>
        <v>0</v>
      </c>
      <c r="O13" s="188"/>
      <c r="P13" s="173"/>
      <c r="Q13" s="190">
        <f t="shared" si="5"/>
        <v>-194190</v>
      </c>
      <c r="R13" s="188">
        <v>300</v>
      </c>
      <c r="S13" s="173">
        <v>-647.29999999999995</v>
      </c>
      <c r="T13" s="189"/>
      <c r="U13" s="189"/>
      <c r="V13" s="189"/>
      <c r="W13" s="186">
        <f t="shared" si="6"/>
        <v>0</v>
      </c>
      <c r="X13" s="188"/>
      <c r="Y13" s="173"/>
      <c r="Z13" s="186">
        <f t="shared" si="7"/>
        <v>0</v>
      </c>
      <c r="AA13" s="188"/>
      <c r="AB13" s="173"/>
      <c r="AC13" s="186">
        <f t="shared" si="8"/>
        <v>0</v>
      </c>
      <c r="AD13" s="185"/>
      <c r="AE13" s="173"/>
      <c r="AF13" s="186">
        <f t="shared" si="9"/>
        <v>0</v>
      </c>
      <c r="AG13" s="188"/>
      <c r="AH13" s="173"/>
      <c r="AI13" s="186">
        <f t="shared" si="10"/>
        <v>0</v>
      </c>
      <c r="AJ13" s="185"/>
      <c r="AK13" s="173"/>
      <c r="AL13" s="186">
        <f t="shared" si="11"/>
        <v>0</v>
      </c>
      <c r="AM13" s="185"/>
      <c r="AN13" s="173"/>
      <c r="AO13" s="186">
        <f t="shared" si="12"/>
        <v>0</v>
      </c>
      <c r="AP13" s="185"/>
      <c r="AQ13" s="173"/>
      <c r="AR13" s="186">
        <f t="shared" si="13"/>
        <v>0</v>
      </c>
      <c r="AS13" s="185"/>
      <c r="AT13" s="173"/>
      <c r="AU13" s="186">
        <f t="shared" si="14"/>
        <v>0</v>
      </c>
      <c r="AV13" s="185"/>
      <c r="AW13" s="173"/>
      <c r="AX13" s="186">
        <f t="shared" si="15"/>
        <v>0</v>
      </c>
      <c r="AY13" s="185"/>
      <c r="AZ13" s="173"/>
      <c r="BA13" s="186">
        <f t="shared" si="16"/>
        <v>0</v>
      </c>
      <c r="BB13" s="185"/>
      <c r="BC13" s="173"/>
      <c r="BD13" s="186">
        <f t="shared" si="17"/>
        <v>0</v>
      </c>
      <c r="BE13" s="185"/>
      <c r="BF13" s="173"/>
      <c r="BG13" s="186">
        <f t="shared" si="18"/>
        <v>0</v>
      </c>
      <c r="BH13" s="185"/>
      <c r="BI13" s="173"/>
      <c r="BJ13" s="186">
        <f t="shared" si="19"/>
        <v>0</v>
      </c>
      <c r="BK13" s="185"/>
      <c r="BL13" s="173"/>
      <c r="BM13" s="186">
        <f t="shared" si="20"/>
        <v>0</v>
      </c>
      <c r="BN13" s="185"/>
      <c r="BO13" s="173"/>
      <c r="BP13" s="186">
        <f t="shared" si="21"/>
        <v>0</v>
      </c>
      <c r="BQ13" s="185"/>
      <c r="BR13" s="173"/>
      <c r="BS13" s="186">
        <f t="shared" si="22"/>
        <v>0</v>
      </c>
      <c r="BT13" s="188"/>
      <c r="BU13" s="173"/>
      <c r="BV13" s="186">
        <f t="shared" si="23"/>
        <v>0</v>
      </c>
      <c r="BW13" s="185"/>
      <c r="BX13" s="173"/>
      <c r="BY13" s="186">
        <f t="shared" si="24"/>
        <v>0</v>
      </c>
      <c r="BZ13" s="185"/>
      <c r="CA13" s="173"/>
      <c r="CB13" s="186">
        <f t="shared" si="25"/>
        <v>0</v>
      </c>
      <c r="CC13" s="185"/>
      <c r="CD13" s="173"/>
      <c r="CE13" s="186">
        <f t="shared" ref="CE13:CE33" si="91">CF13*CG13</f>
        <v>0</v>
      </c>
      <c r="CF13" s="185"/>
      <c r="CG13" s="173"/>
      <c r="CH13" s="186"/>
      <c r="CI13" s="188">
        <v>300</v>
      </c>
      <c r="CJ13" s="173">
        <v>-416.55</v>
      </c>
      <c r="CK13" s="186">
        <f t="shared" si="27"/>
        <v>0</v>
      </c>
      <c r="CL13" s="188"/>
      <c r="CM13" s="173"/>
      <c r="CN13" s="186">
        <f t="shared" si="28"/>
        <v>0</v>
      </c>
      <c r="CO13" s="188"/>
      <c r="CP13" s="173"/>
      <c r="CQ13" s="186">
        <f t="shared" si="29"/>
        <v>0</v>
      </c>
      <c r="CR13" s="185"/>
      <c r="CS13" s="173"/>
      <c r="CT13" s="186">
        <f t="shared" si="30"/>
        <v>0</v>
      </c>
      <c r="CU13" s="188"/>
      <c r="CV13" s="173"/>
      <c r="CW13" s="186">
        <f t="shared" si="31"/>
        <v>0</v>
      </c>
      <c r="CX13" s="188"/>
      <c r="CY13" s="173"/>
      <c r="CZ13" s="186">
        <f t="shared" si="32"/>
        <v>0</v>
      </c>
      <c r="DA13" s="185"/>
      <c r="DB13" s="173"/>
      <c r="DC13" s="186">
        <f t="shared" si="33"/>
        <v>0</v>
      </c>
      <c r="DD13" s="185"/>
      <c r="DE13" s="173"/>
      <c r="DF13" s="186">
        <f t="shared" si="34"/>
        <v>0</v>
      </c>
      <c r="DG13" s="185"/>
      <c r="DH13" s="173"/>
      <c r="DI13" s="186">
        <f t="shared" si="35"/>
        <v>0</v>
      </c>
      <c r="DJ13" s="185"/>
      <c r="DK13" s="173"/>
      <c r="DL13" s="186">
        <f t="shared" si="36"/>
        <v>0</v>
      </c>
      <c r="DM13" s="185"/>
      <c r="DN13" s="173"/>
      <c r="DO13" s="186">
        <f t="shared" si="37"/>
        <v>0</v>
      </c>
      <c r="DP13" s="185"/>
      <c r="DQ13" s="173"/>
      <c r="DR13" s="186">
        <f t="shared" si="38"/>
        <v>0</v>
      </c>
      <c r="DS13" s="185"/>
      <c r="DT13" s="173"/>
      <c r="DU13" s="186">
        <f t="shared" si="39"/>
        <v>0</v>
      </c>
      <c r="DV13" s="185"/>
      <c r="DW13" s="173"/>
      <c r="DX13" s="186">
        <f t="shared" si="40"/>
        <v>0</v>
      </c>
      <c r="DY13" s="185"/>
      <c r="DZ13" s="173"/>
      <c r="EA13" s="186">
        <f t="shared" si="41"/>
        <v>0</v>
      </c>
      <c r="EB13" s="185"/>
      <c r="EC13" s="173"/>
      <c r="ED13" s="186">
        <f t="shared" si="42"/>
        <v>0</v>
      </c>
      <c r="EE13" s="185"/>
      <c r="EF13" s="173"/>
      <c r="EG13" s="186">
        <f t="shared" si="43"/>
        <v>0</v>
      </c>
      <c r="EH13" s="185"/>
      <c r="EI13" s="173"/>
      <c r="EJ13" s="186">
        <f t="shared" si="44"/>
        <v>0</v>
      </c>
      <c r="EK13" s="185"/>
      <c r="EL13" s="173"/>
      <c r="EM13" s="186">
        <f t="shared" si="45"/>
        <v>0</v>
      </c>
      <c r="EN13" s="185"/>
      <c r="EO13" s="173"/>
      <c r="EP13" s="186">
        <f t="shared" si="46"/>
        <v>0</v>
      </c>
      <c r="EQ13" s="185"/>
      <c r="ER13" s="173"/>
      <c r="ES13" s="186">
        <f t="shared" si="47"/>
        <v>0</v>
      </c>
      <c r="ET13" s="185"/>
      <c r="EU13" s="173"/>
      <c r="EV13" s="186">
        <f t="shared" si="48"/>
        <v>0</v>
      </c>
      <c r="EW13" s="185"/>
      <c r="EX13" s="184"/>
      <c r="EY13" s="186">
        <f t="shared" si="49"/>
        <v>0</v>
      </c>
      <c r="EZ13" s="185"/>
      <c r="FA13" s="184"/>
      <c r="FB13" s="186">
        <f t="shared" si="50"/>
        <v>0</v>
      </c>
      <c r="FC13" s="185"/>
      <c r="FD13" s="184"/>
      <c r="FE13" s="186">
        <f t="shared" si="51"/>
        <v>-17050</v>
      </c>
      <c r="FF13" s="188">
        <v>5000</v>
      </c>
      <c r="FG13" s="173">
        <v>-3.41</v>
      </c>
      <c r="FH13" s="186">
        <f t="shared" si="52"/>
        <v>0</v>
      </c>
      <c r="FI13" s="188"/>
      <c r="FJ13" s="173"/>
      <c r="FK13" s="186">
        <f t="shared" si="53"/>
        <v>0</v>
      </c>
      <c r="FL13" s="185"/>
      <c r="FM13" s="173"/>
      <c r="FN13" s="186">
        <f t="shared" si="54"/>
        <v>0</v>
      </c>
      <c r="FO13" s="185"/>
      <c r="FP13" s="173"/>
      <c r="FQ13" s="186">
        <f t="shared" si="55"/>
        <v>-31185.199999999997</v>
      </c>
      <c r="FR13" s="188">
        <v>2000</v>
      </c>
      <c r="FS13" s="173">
        <v>-15.592599999999999</v>
      </c>
      <c r="FT13" s="186">
        <f t="shared" si="56"/>
        <v>0</v>
      </c>
      <c r="FU13" s="185"/>
      <c r="FV13" s="173"/>
      <c r="FW13" s="186">
        <f t="shared" si="57"/>
        <v>0</v>
      </c>
      <c r="FX13" s="185"/>
      <c r="FY13" s="173"/>
      <c r="FZ13" s="186">
        <f t="shared" si="58"/>
        <v>0</v>
      </c>
      <c r="GA13" s="188"/>
      <c r="GB13" s="173"/>
      <c r="GC13" s="186">
        <f t="shared" si="59"/>
        <v>0</v>
      </c>
      <c r="GD13" s="185"/>
      <c r="GE13" s="173"/>
      <c r="GF13" s="186">
        <f t="shared" si="60"/>
        <v>0</v>
      </c>
      <c r="GG13" s="185"/>
      <c r="GH13" s="173"/>
      <c r="GI13" s="186">
        <f t="shared" si="61"/>
        <v>0</v>
      </c>
      <c r="GJ13" s="185"/>
      <c r="GK13" s="173"/>
      <c r="GL13" s="186">
        <f t="shared" si="62"/>
        <v>0</v>
      </c>
      <c r="GM13" s="185"/>
      <c r="GN13" s="173"/>
      <c r="GO13" s="186">
        <f t="shared" si="63"/>
        <v>0</v>
      </c>
      <c r="GP13" s="185"/>
      <c r="GQ13" s="173"/>
      <c r="GR13" s="186">
        <f t="shared" si="64"/>
        <v>0</v>
      </c>
      <c r="GS13" s="185"/>
      <c r="GT13" s="173"/>
      <c r="GU13" s="186">
        <f t="shared" si="65"/>
        <v>0</v>
      </c>
      <c r="GV13" s="185"/>
      <c r="GW13" s="173"/>
      <c r="GX13" s="186">
        <f t="shared" si="66"/>
        <v>0</v>
      </c>
      <c r="GY13" s="185"/>
      <c r="GZ13" s="173"/>
      <c r="HA13" s="186">
        <f t="shared" si="67"/>
        <v>0</v>
      </c>
      <c r="HB13" s="185"/>
      <c r="HC13" s="173"/>
      <c r="HD13" s="186">
        <f t="shared" si="68"/>
        <v>0</v>
      </c>
      <c r="HE13" s="185"/>
      <c r="HF13" s="173"/>
      <c r="HG13" s="186">
        <f t="shared" si="69"/>
        <v>0</v>
      </c>
      <c r="HH13" s="188"/>
      <c r="HI13" s="173"/>
      <c r="HJ13" s="186">
        <f t="shared" si="70"/>
        <v>0</v>
      </c>
      <c r="HK13" s="185"/>
      <c r="HL13" s="173"/>
      <c r="HM13" s="186">
        <f t="shared" si="71"/>
        <v>0</v>
      </c>
      <c r="HN13" s="185"/>
      <c r="HO13" s="173"/>
      <c r="HP13" s="186">
        <f t="shared" si="72"/>
        <v>0</v>
      </c>
      <c r="HQ13" s="185"/>
      <c r="HR13" s="173"/>
      <c r="HS13" s="186">
        <f t="shared" si="73"/>
        <v>0</v>
      </c>
      <c r="HT13" s="185"/>
      <c r="HU13" s="173"/>
      <c r="HV13" s="186">
        <f t="shared" si="74"/>
        <v>0</v>
      </c>
      <c r="HW13" s="185"/>
      <c r="HX13" s="173"/>
      <c r="HY13" s="186">
        <f t="shared" si="75"/>
        <v>0</v>
      </c>
      <c r="HZ13" s="185"/>
      <c r="IA13" s="173"/>
      <c r="IB13" s="186">
        <f t="shared" si="76"/>
        <v>0</v>
      </c>
      <c r="IC13" s="185"/>
      <c r="ID13" s="173"/>
      <c r="IE13" s="186">
        <f t="shared" si="77"/>
        <v>0</v>
      </c>
      <c r="IF13" s="185"/>
      <c r="IG13" s="173"/>
      <c r="IH13" s="186">
        <f t="shared" si="78"/>
        <v>0</v>
      </c>
      <c r="II13" s="185"/>
      <c r="IJ13" s="173"/>
      <c r="IK13" s="186">
        <f t="shared" si="79"/>
        <v>0</v>
      </c>
      <c r="IL13" s="185"/>
      <c r="IM13" s="173"/>
      <c r="IN13" s="186">
        <f t="shared" si="80"/>
        <v>0</v>
      </c>
      <c r="IO13" s="185"/>
      <c r="IP13" s="173"/>
      <c r="IQ13" s="186">
        <f t="shared" si="81"/>
        <v>0</v>
      </c>
      <c r="IR13" s="185"/>
      <c r="IS13" s="173"/>
      <c r="IT13" s="186">
        <f t="shared" si="82"/>
        <v>0</v>
      </c>
      <c r="IU13" s="185"/>
      <c r="IV13" s="173"/>
      <c r="IW13" s="186">
        <f t="shared" si="83"/>
        <v>0</v>
      </c>
      <c r="IX13" s="185"/>
      <c r="IY13" s="173"/>
      <c r="IZ13" s="186">
        <f t="shared" si="84"/>
        <v>0</v>
      </c>
      <c r="JA13" s="185"/>
      <c r="JB13" s="173"/>
      <c r="JC13" s="186">
        <f t="shared" si="85"/>
        <v>0</v>
      </c>
      <c r="JD13" s="185"/>
      <c r="JE13" s="173"/>
      <c r="JF13" s="186">
        <f t="shared" si="86"/>
        <v>0</v>
      </c>
      <c r="JG13" s="185"/>
      <c r="JH13" s="173"/>
      <c r="JI13" s="186">
        <f t="shared" si="87"/>
        <v>0</v>
      </c>
      <c r="JJ13" s="185"/>
      <c r="JK13" s="173"/>
      <c r="JL13" s="186">
        <f t="shared" si="88"/>
        <v>0</v>
      </c>
      <c r="JM13" s="185"/>
      <c r="JN13" s="173"/>
      <c r="JO13" s="186">
        <f t="shared" si="89"/>
        <v>0</v>
      </c>
      <c r="JP13" s="185"/>
      <c r="JQ13" s="173"/>
      <c r="JR13" s="186">
        <f t="shared" si="90"/>
        <v>0</v>
      </c>
      <c r="JS13" s="185"/>
      <c r="JT13" s="173"/>
      <c r="JU13" s="186" t="str" cm="1">
        <f t="array" aca="1" ref="JU13"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3" s="187"/>
      <c r="JW13" s="173"/>
      <c r="JX13" s="186" t="str" cm="1">
        <f t="array" aca="1" ref="JX13"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3" s="185"/>
      <c r="JZ13" s="184"/>
      <c r="KA13" s="186" t="str" cm="1">
        <f t="array" aca="1" ref="KA13"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3" s="185"/>
      <c r="KC13" s="184"/>
      <c r="KD13" s="186" t="str" cm="1">
        <f t="array" aca="1" ref="KD13"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3" s="185"/>
      <c r="KF13" s="184"/>
    </row>
    <row r="14" spans="1:294" x14ac:dyDescent="0.3">
      <c r="A14" s="192">
        <f>[1]Reg!A14</f>
        <v>11</v>
      </c>
      <c r="B14" s="190">
        <f t="shared" si="0"/>
        <v>-69210</v>
      </c>
      <c r="C14" s="188">
        <v>300</v>
      </c>
      <c r="D14" s="173">
        <v>-230.7</v>
      </c>
      <c r="E14" s="190">
        <f t="shared" si="1"/>
        <v>0</v>
      </c>
      <c r="F14" s="188"/>
      <c r="G14" s="173"/>
      <c r="H14" s="190">
        <f t="shared" si="2"/>
        <v>0</v>
      </c>
      <c r="I14" s="188"/>
      <c r="J14" s="173"/>
      <c r="K14" s="190">
        <f t="shared" si="3"/>
        <v>-103091.7</v>
      </c>
      <c r="L14" s="188">
        <v>500</v>
      </c>
      <c r="M14" s="173">
        <v>-206.18340000000001</v>
      </c>
      <c r="N14" s="190">
        <f t="shared" si="4"/>
        <v>0</v>
      </c>
      <c r="O14" s="188"/>
      <c r="P14" s="173"/>
      <c r="Q14" s="190">
        <f t="shared" si="5"/>
        <v>-195930</v>
      </c>
      <c r="R14" s="188">
        <v>300</v>
      </c>
      <c r="S14" s="173">
        <v>-653.1</v>
      </c>
      <c r="T14" s="189"/>
      <c r="U14" s="189"/>
      <c r="V14" s="189"/>
      <c r="W14" s="186">
        <f t="shared" si="6"/>
        <v>0</v>
      </c>
      <c r="X14" s="188"/>
      <c r="Y14" s="173"/>
      <c r="Z14" s="186">
        <f t="shared" si="7"/>
        <v>0</v>
      </c>
      <c r="AA14" s="188"/>
      <c r="AB14" s="173"/>
      <c r="AC14" s="186">
        <f t="shared" si="8"/>
        <v>0</v>
      </c>
      <c r="AD14" s="185"/>
      <c r="AE14" s="173"/>
      <c r="AF14" s="186">
        <f t="shared" si="9"/>
        <v>0</v>
      </c>
      <c r="AG14" s="188"/>
      <c r="AH14" s="173"/>
      <c r="AI14" s="186">
        <f t="shared" si="10"/>
        <v>0</v>
      </c>
      <c r="AJ14" s="185"/>
      <c r="AK14" s="173"/>
      <c r="AL14" s="186">
        <f t="shared" si="11"/>
        <v>0</v>
      </c>
      <c r="AM14" s="185"/>
      <c r="AN14" s="173"/>
      <c r="AO14" s="186">
        <f t="shared" si="12"/>
        <v>0</v>
      </c>
      <c r="AP14" s="185"/>
      <c r="AQ14" s="173"/>
      <c r="AR14" s="186">
        <f t="shared" si="13"/>
        <v>0</v>
      </c>
      <c r="AS14" s="185"/>
      <c r="AT14" s="173"/>
      <c r="AU14" s="186">
        <f t="shared" si="14"/>
        <v>0</v>
      </c>
      <c r="AV14" s="185"/>
      <c r="AW14" s="173"/>
      <c r="AX14" s="186">
        <f t="shared" si="15"/>
        <v>0</v>
      </c>
      <c r="AY14" s="185"/>
      <c r="AZ14" s="173"/>
      <c r="BA14" s="186">
        <f t="shared" si="16"/>
        <v>0</v>
      </c>
      <c r="BB14" s="185"/>
      <c r="BC14" s="173"/>
      <c r="BD14" s="186">
        <f t="shared" si="17"/>
        <v>0</v>
      </c>
      <c r="BE14" s="185"/>
      <c r="BF14" s="173"/>
      <c r="BG14" s="186">
        <f t="shared" si="18"/>
        <v>0</v>
      </c>
      <c r="BH14" s="185"/>
      <c r="BI14" s="173"/>
      <c r="BJ14" s="186">
        <f t="shared" si="19"/>
        <v>0</v>
      </c>
      <c r="BK14" s="185"/>
      <c r="BL14" s="173"/>
      <c r="BM14" s="186">
        <f t="shared" si="20"/>
        <v>0</v>
      </c>
      <c r="BN14" s="185"/>
      <c r="BO14" s="173"/>
      <c r="BP14" s="186">
        <f t="shared" si="21"/>
        <v>0</v>
      </c>
      <c r="BQ14" s="185"/>
      <c r="BR14" s="173"/>
      <c r="BS14" s="186">
        <f t="shared" si="22"/>
        <v>0</v>
      </c>
      <c r="BT14" s="188"/>
      <c r="BU14" s="173"/>
      <c r="BV14" s="186">
        <f t="shared" si="23"/>
        <v>0</v>
      </c>
      <c r="BW14" s="185"/>
      <c r="BX14" s="173"/>
      <c r="BY14" s="186">
        <f t="shared" si="24"/>
        <v>0</v>
      </c>
      <c r="BZ14" s="185"/>
      <c r="CA14" s="173"/>
      <c r="CB14" s="186">
        <f t="shared" si="25"/>
        <v>0</v>
      </c>
      <c r="CC14" s="185"/>
      <c r="CD14" s="173"/>
      <c r="CE14" s="186">
        <f t="shared" si="91"/>
        <v>0</v>
      </c>
      <c r="CF14" s="185"/>
      <c r="CG14" s="173"/>
      <c r="CH14" s="186">
        <f t="shared" ref="CH14:CH33" si="92">CI14*CJ14</f>
        <v>-882080</v>
      </c>
      <c r="CI14" s="188">
        <v>2000</v>
      </c>
      <c r="CJ14" s="173">
        <v>-441.04</v>
      </c>
      <c r="CK14" s="186">
        <f t="shared" si="27"/>
        <v>0</v>
      </c>
      <c r="CL14" s="185"/>
      <c r="CM14" s="173"/>
      <c r="CN14" s="186">
        <f t="shared" si="28"/>
        <v>0</v>
      </c>
      <c r="CO14" s="185"/>
      <c r="CP14" s="173"/>
      <c r="CQ14" s="186">
        <f t="shared" si="29"/>
        <v>0</v>
      </c>
      <c r="CR14" s="185"/>
      <c r="CS14" s="173"/>
      <c r="CT14" s="186">
        <f t="shared" si="30"/>
        <v>0</v>
      </c>
      <c r="CU14" s="188"/>
      <c r="CV14" s="173"/>
      <c r="CW14" s="186">
        <f t="shared" si="31"/>
        <v>0</v>
      </c>
      <c r="CX14" s="188"/>
      <c r="CY14" s="173"/>
      <c r="CZ14" s="186">
        <f t="shared" si="32"/>
        <v>0</v>
      </c>
      <c r="DA14" s="185"/>
      <c r="DB14" s="173"/>
      <c r="DC14" s="186">
        <f t="shared" si="33"/>
        <v>0</v>
      </c>
      <c r="DD14" s="185"/>
      <c r="DE14" s="173"/>
      <c r="DF14" s="186">
        <f t="shared" si="34"/>
        <v>0</v>
      </c>
      <c r="DG14" s="185"/>
      <c r="DH14" s="173"/>
      <c r="DI14" s="186">
        <f t="shared" si="35"/>
        <v>0</v>
      </c>
      <c r="DJ14" s="185"/>
      <c r="DK14" s="173"/>
      <c r="DL14" s="186">
        <f t="shared" si="36"/>
        <v>0</v>
      </c>
      <c r="DM14" s="185"/>
      <c r="DN14" s="173"/>
      <c r="DO14" s="186">
        <f t="shared" si="37"/>
        <v>0</v>
      </c>
      <c r="DP14" s="185"/>
      <c r="DQ14" s="173"/>
      <c r="DR14" s="186">
        <f t="shared" si="38"/>
        <v>0</v>
      </c>
      <c r="DS14" s="185"/>
      <c r="DT14" s="173"/>
      <c r="DU14" s="186">
        <f t="shared" si="39"/>
        <v>0</v>
      </c>
      <c r="DV14" s="185"/>
      <c r="DW14" s="173"/>
      <c r="DX14" s="186">
        <f t="shared" si="40"/>
        <v>0</v>
      </c>
      <c r="DY14" s="185"/>
      <c r="DZ14" s="173"/>
      <c r="EA14" s="186">
        <f t="shared" si="41"/>
        <v>0</v>
      </c>
      <c r="EB14" s="185"/>
      <c r="EC14" s="173"/>
      <c r="ED14" s="186">
        <f t="shared" si="42"/>
        <v>0</v>
      </c>
      <c r="EE14" s="185"/>
      <c r="EF14" s="173"/>
      <c r="EG14" s="186">
        <f t="shared" si="43"/>
        <v>0</v>
      </c>
      <c r="EH14" s="185"/>
      <c r="EI14" s="173"/>
      <c r="EJ14" s="186">
        <f t="shared" si="44"/>
        <v>0</v>
      </c>
      <c r="EK14" s="185"/>
      <c r="EL14" s="173"/>
      <c r="EM14" s="186">
        <f t="shared" si="45"/>
        <v>0</v>
      </c>
      <c r="EN14" s="185"/>
      <c r="EO14" s="173"/>
      <c r="EP14" s="186">
        <f t="shared" si="46"/>
        <v>0</v>
      </c>
      <c r="EQ14" s="185"/>
      <c r="ER14" s="173"/>
      <c r="ES14" s="186">
        <f t="shared" si="47"/>
        <v>0</v>
      </c>
      <c r="ET14" s="185"/>
      <c r="EU14" s="173"/>
      <c r="EV14" s="186">
        <f t="shared" si="48"/>
        <v>0</v>
      </c>
      <c r="EW14" s="185"/>
      <c r="EX14" s="184"/>
      <c r="EY14" s="186">
        <f t="shared" si="49"/>
        <v>0</v>
      </c>
      <c r="EZ14" s="185"/>
      <c r="FA14" s="184"/>
      <c r="FB14" s="186">
        <f t="shared" si="50"/>
        <v>0</v>
      </c>
      <c r="FC14" s="185"/>
      <c r="FD14" s="184"/>
      <c r="FE14" s="186">
        <f t="shared" si="51"/>
        <v>-65642.058799999999</v>
      </c>
      <c r="FF14" s="188">
        <v>14969</v>
      </c>
      <c r="FG14" s="173">
        <v>-4.3852000000000002</v>
      </c>
      <c r="FH14" s="186">
        <f t="shared" si="52"/>
        <v>0</v>
      </c>
      <c r="FI14" s="185"/>
      <c r="FJ14" s="173"/>
      <c r="FK14" s="186">
        <f t="shared" si="53"/>
        <v>0</v>
      </c>
      <c r="FL14" s="185"/>
      <c r="FM14" s="173"/>
      <c r="FN14" s="186">
        <f t="shared" si="54"/>
        <v>0</v>
      </c>
      <c r="FO14" s="185"/>
      <c r="FP14" s="173"/>
      <c r="FQ14" s="186">
        <f t="shared" si="55"/>
        <v>0</v>
      </c>
      <c r="FR14" s="188"/>
      <c r="FS14" s="173"/>
      <c r="FT14" s="186">
        <f t="shared" si="56"/>
        <v>0</v>
      </c>
      <c r="FU14" s="185"/>
      <c r="FV14" s="173"/>
      <c r="FW14" s="186">
        <f t="shared" si="57"/>
        <v>0</v>
      </c>
      <c r="FX14" s="185"/>
      <c r="FY14" s="173"/>
      <c r="FZ14" s="186">
        <f t="shared" si="58"/>
        <v>0</v>
      </c>
      <c r="GA14" s="185"/>
      <c r="GB14" s="173"/>
      <c r="GC14" s="186">
        <f t="shared" si="59"/>
        <v>0</v>
      </c>
      <c r="GD14" s="185"/>
      <c r="GE14" s="173"/>
      <c r="GF14" s="186">
        <f t="shared" si="60"/>
        <v>0</v>
      </c>
      <c r="GG14" s="185"/>
      <c r="GH14" s="173"/>
      <c r="GI14" s="186">
        <f t="shared" si="61"/>
        <v>0</v>
      </c>
      <c r="GJ14" s="185"/>
      <c r="GK14" s="173"/>
      <c r="GL14" s="186">
        <f t="shared" si="62"/>
        <v>0</v>
      </c>
      <c r="GM14" s="185"/>
      <c r="GN14" s="173"/>
      <c r="GO14" s="186">
        <f t="shared" si="63"/>
        <v>0</v>
      </c>
      <c r="GP14" s="185"/>
      <c r="GQ14" s="173"/>
      <c r="GR14" s="186">
        <f t="shared" si="64"/>
        <v>0</v>
      </c>
      <c r="GS14" s="185"/>
      <c r="GT14" s="173"/>
      <c r="GU14" s="186">
        <f t="shared" si="65"/>
        <v>0</v>
      </c>
      <c r="GV14" s="185"/>
      <c r="GW14" s="173"/>
      <c r="GX14" s="186">
        <f t="shared" si="66"/>
        <v>0</v>
      </c>
      <c r="GY14" s="185"/>
      <c r="GZ14" s="173"/>
      <c r="HA14" s="186">
        <f t="shared" si="67"/>
        <v>0</v>
      </c>
      <c r="HB14" s="185"/>
      <c r="HC14" s="173"/>
      <c r="HD14" s="186">
        <f t="shared" si="68"/>
        <v>0</v>
      </c>
      <c r="HE14" s="185"/>
      <c r="HF14" s="173"/>
      <c r="HG14" s="186">
        <f t="shared" si="69"/>
        <v>0</v>
      </c>
      <c r="HH14" s="188"/>
      <c r="HI14" s="173"/>
      <c r="HJ14" s="186">
        <f t="shared" si="70"/>
        <v>0</v>
      </c>
      <c r="HK14" s="185"/>
      <c r="HL14" s="173"/>
      <c r="HM14" s="186">
        <f t="shared" si="71"/>
        <v>0</v>
      </c>
      <c r="HN14" s="185"/>
      <c r="HO14" s="173"/>
      <c r="HP14" s="186">
        <f t="shared" si="72"/>
        <v>0</v>
      </c>
      <c r="HQ14" s="185"/>
      <c r="HR14" s="173"/>
      <c r="HS14" s="186">
        <f t="shared" si="73"/>
        <v>0</v>
      </c>
      <c r="HT14" s="185"/>
      <c r="HU14" s="173"/>
      <c r="HV14" s="186">
        <f t="shared" si="74"/>
        <v>0</v>
      </c>
      <c r="HW14" s="185"/>
      <c r="HX14" s="173"/>
      <c r="HY14" s="186">
        <f t="shared" si="75"/>
        <v>0</v>
      </c>
      <c r="HZ14" s="185"/>
      <c r="IA14" s="173"/>
      <c r="IB14" s="186">
        <f t="shared" si="76"/>
        <v>0</v>
      </c>
      <c r="IC14" s="185"/>
      <c r="ID14" s="173"/>
      <c r="IE14" s="186">
        <f t="shared" si="77"/>
        <v>0</v>
      </c>
      <c r="IF14" s="185"/>
      <c r="IG14" s="173"/>
      <c r="IH14" s="186">
        <f t="shared" si="78"/>
        <v>0</v>
      </c>
      <c r="II14" s="185"/>
      <c r="IJ14" s="173"/>
      <c r="IK14" s="186">
        <f t="shared" si="79"/>
        <v>0</v>
      </c>
      <c r="IL14" s="185"/>
      <c r="IM14" s="173"/>
      <c r="IN14" s="186">
        <f t="shared" si="80"/>
        <v>0</v>
      </c>
      <c r="IO14" s="185"/>
      <c r="IP14" s="173"/>
      <c r="IQ14" s="186">
        <f t="shared" si="81"/>
        <v>0</v>
      </c>
      <c r="IR14" s="185"/>
      <c r="IS14" s="173"/>
      <c r="IT14" s="186">
        <f t="shared" si="82"/>
        <v>0</v>
      </c>
      <c r="IU14" s="185"/>
      <c r="IV14" s="173"/>
      <c r="IW14" s="186">
        <f t="shared" si="83"/>
        <v>0</v>
      </c>
      <c r="IX14" s="185"/>
      <c r="IY14" s="173"/>
      <c r="IZ14" s="186">
        <f t="shared" si="84"/>
        <v>0</v>
      </c>
      <c r="JA14" s="185"/>
      <c r="JB14" s="173"/>
      <c r="JC14" s="186">
        <f t="shared" si="85"/>
        <v>0</v>
      </c>
      <c r="JD14" s="185"/>
      <c r="JE14" s="173"/>
      <c r="JF14" s="186">
        <f t="shared" si="86"/>
        <v>0</v>
      </c>
      <c r="JG14" s="185"/>
      <c r="JH14" s="173"/>
      <c r="JI14" s="186">
        <f t="shared" si="87"/>
        <v>0</v>
      </c>
      <c r="JJ14" s="185"/>
      <c r="JK14" s="173"/>
      <c r="JL14" s="186">
        <f t="shared" si="88"/>
        <v>0</v>
      </c>
      <c r="JM14" s="185"/>
      <c r="JN14" s="173"/>
      <c r="JO14" s="186">
        <f t="shared" si="89"/>
        <v>0</v>
      </c>
      <c r="JP14" s="185"/>
      <c r="JQ14" s="173"/>
      <c r="JR14" s="186">
        <f t="shared" si="90"/>
        <v>0</v>
      </c>
      <c r="JS14" s="185"/>
      <c r="JT14" s="173"/>
      <c r="JU14" s="186" t="str" cm="1">
        <f t="array" aca="1" ref="JU14"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4" s="187"/>
      <c r="JW14" s="173"/>
      <c r="JX14" s="186" t="str" cm="1">
        <f t="array" aca="1" ref="JX14"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4" s="185"/>
      <c r="JZ14" s="184"/>
      <c r="KA14" s="186" t="str" cm="1">
        <f t="array" aca="1" ref="KA14"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4" s="185"/>
      <c r="KC14" s="184"/>
      <c r="KD14" s="186" t="str" cm="1">
        <f t="array" aca="1" ref="KD14"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4" s="185"/>
      <c r="KF14" s="184"/>
    </row>
    <row r="15" spans="1:294" x14ac:dyDescent="0.3">
      <c r="A15" s="191">
        <f>[1]Reg!A15</f>
        <v>12</v>
      </c>
      <c r="B15" s="190">
        <f t="shared" si="0"/>
        <v>-46790</v>
      </c>
      <c r="C15" s="188">
        <v>200</v>
      </c>
      <c r="D15" s="173">
        <v>-233.95</v>
      </c>
      <c r="E15" s="190">
        <f t="shared" si="1"/>
        <v>0</v>
      </c>
      <c r="F15" s="188"/>
      <c r="G15" s="173"/>
      <c r="H15" s="190">
        <f t="shared" si="2"/>
        <v>0</v>
      </c>
      <c r="I15" s="188"/>
      <c r="J15" s="173"/>
      <c r="K15" s="190">
        <f t="shared" si="3"/>
        <v>-42596</v>
      </c>
      <c r="L15" s="188">
        <v>200</v>
      </c>
      <c r="M15" s="173">
        <v>-212.98</v>
      </c>
      <c r="N15" s="190">
        <f t="shared" si="4"/>
        <v>0</v>
      </c>
      <c r="O15" s="188"/>
      <c r="P15" s="173"/>
      <c r="Q15" s="190">
        <f t="shared" si="5"/>
        <v>-130740.00000000001</v>
      </c>
      <c r="R15" s="188">
        <v>200</v>
      </c>
      <c r="S15" s="173">
        <v>-653.70000000000005</v>
      </c>
      <c r="T15" s="189"/>
      <c r="U15" s="189"/>
      <c r="V15" s="189"/>
      <c r="W15" s="186">
        <f t="shared" si="6"/>
        <v>0</v>
      </c>
      <c r="X15" s="188"/>
      <c r="Y15" s="173"/>
      <c r="Z15" s="186">
        <f t="shared" si="7"/>
        <v>0</v>
      </c>
      <c r="AA15" s="188"/>
      <c r="AB15" s="173"/>
      <c r="AC15" s="186">
        <f t="shared" si="8"/>
        <v>0</v>
      </c>
      <c r="AD15" s="185"/>
      <c r="AE15" s="173"/>
      <c r="AF15" s="186">
        <f t="shared" si="9"/>
        <v>0</v>
      </c>
      <c r="AG15" s="188"/>
      <c r="AH15" s="173"/>
      <c r="AI15" s="186">
        <f t="shared" si="10"/>
        <v>0</v>
      </c>
      <c r="AJ15" s="185"/>
      <c r="AK15" s="173"/>
      <c r="AL15" s="186">
        <f t="shared" si="11"/>
        <v>0</v>
      </c>
      <c r="AM15" s="185"/>
      <c r="AN15" s="173"/>
      <c r="AO15" s="186">
        <f t="shared" si="12"/>
        <v>0</v>
      </c>
      <c r="AP15" s="185"/>
      <c r="AQ15" s="173"/>
      <c r="AR15" s="186">
        <f t="shared" si="13"/>
        <v>0</v>
      </c>
      <c r="AS15" s="185"/>
      <c r="AT15" s="173"/>
      <c r="AU15" s="186">
        <f t="shared" si="14"/>
        <v>0</v>
      </c>
      <c r="AV15" s="185"/>
      <c r="AW15" s="173"/>
      <c r="AX15" s="186">
        <f t="shared" si="15"/>
        <v>0</v>
      </c>
      <c r="AY15" s="185"/>
      <c r="AZ15" s="173"/>
      <c r="BA15" s="186">
        <f t="shared" si="16"/>
        <v>0</v>
      </c>
      <c r="BB15" s="185"/>
      <c r="BC15" s="173"/>
      <c r="BD15" s="186">
        <f t="shared" si="17"/>
        <v>0</v>
      </c>
      <c r="BE15" s="185"/>
      <c r="BF15" s="173"/>
      <c r="BG15" s="186">
        <f t="shared" si="18"/>
        <v>0</v>
      </c>
      <c r="BH15" s="185"/>
      <c r="BI15" s="173"/>
      <c r="BJ15" s="186">
        <f t="shared" si="19"/>
        <v>0</v>
      </c>
      <c r="BK15" s="185"/>
      <c r="BL15" s="173"/>
      <c r="BM15" s="186">
        <f t="shared" si="20"/>
        <v>0</v>
      </c>
      <c r="BN15" s="185"/>
      <c r="BO15" s="173"/>
      <c r="BP15" s="186">
        <f t="shared" si="21"/>
        <v>0</v>
      </c>
      <c r="BQ15" s="185"/>
      <c r="BR15" s="173"/>
      <c r="BS15" s="186">
        <f t="shared" si="22"/>
        <v>0</v>
      </c>
      <c r="BT15" s="188"/>
      <c r="BU15" s="173"/>
      <c r="BV15" s="186">
        <f t="shared" si="23"/>
        <v>0</v>
      </c>
      <c r="BW15" s="185"/>
      <c r="BX15" s="173"/>
      <c r="BY15" s="186">
        <f t="shared" si="24"/>
        <v>0</v>
      </c>
      <c r="BZ15" s="185"/>
      <c r="CA15" s="173"/>
      <c r="CB15" s="186">
        <f t="shared" si="25"/>
        <v>0</v>
      </c>
      <c r="CC15" s="185"/>
      <c r="CD15" s="173"/>
      <c r="CE15" s="186">
        <f t="shared" si="91"/>
        <v>0</v>
      </c>
      <c r="CF15" s="185"/>
      <c r="CG15" s="173"/>
      <c r="CH15" s="186">
        <f t="shared" si="92"/>
        <v>0</v>
      </c>
      <c r="CI15" s="188"/>
      <c r="CJ15" s="173"/>
      <c r="CK15" s="186">
        <f t="shared" si="27"/>
        <v>0</v>
      </c>
      <c r="CL15" s="185"/>
      <c r="CM15" s="173"/>
      <c r="CN15" s="186">
        <f t="shared" si="28"/>
        <v>0</v>
      </c>
      <c r="CO15" s="185"/>
      <c r="CP15" s="173"/>
      <c r="CQ15" s="186">
        <f t="shared" si="29"/>
        <v>0</v>
      </c>
      <c r="CR15" s="185"/>
      <c r="CS15" s="173"/>
      <c r="CT15" s="186">
        <f t="shared" si="30"/>
        <v>0</v>
      </c>
      <c r="CU15" s="188"/>
      <c r="CV15" s="173"/>
      <c r="CW15" s="186">
        <f t="shared" si="31"/>
        <v>0</v>
      </c>
      <c r="CX15" s="188"/>
      <c r="CY15" s="173"/>
      <c r="CZ15" s="186">
        <f t="shared" si="32"/>
        <v>0</v>
      </c>
      <c r="DA15" s="185"/>
      <c r="DB15" s="173"/>
      <c r="DC15" s="186">
        <f t="shared" si="33"/>
        <v>0</v>
      </c>
      <c r="DD15" s="185"/>
      <c r="DE15" s="173"/>
      <c r="DF15" s="186">
        <f t="shared" si="34"/>
        <v>0</v>
      </c>
      <c r="DG15" s="185"/>
      <c r="DH15" s="173"/>
      <c r="DI15" s="186">
        <f t="shared" si="35"/>
        <v>0</v>
      </c>
      <c r="DJ15" s="185"/>
      <c r="DK15" s="173"/>
      <c r="DL15" s="186">
        <f t="shared" si="36"/>
        <v>0</v>
      </c>
      <c r="DM15" s="185"/>
      <c r="DN15" s="173"/>
      <c r="DO15" s="186">
        <f t="shared" si="37"/>
        <v>0</v>
      </c>
      <c r="DP15" s="185"/>
      <c r="DQ15" s="173"/>
      <c r="DR15" s="186">
        <f t="shared" si="38"/>
        <v>0</v>
      </c>
      <c r="DS15" s="185"/>
      <c r="DT15" s="173"/>
      <c r="DU15" s="186">
        <f t="shared" si="39"/>
        <v>0</v>
      </c>
      <c r="DV15" s="185"/>
      <c r="DW15" s="173"/>
      <c r="DX15" s="186">
        <f t="shared" si="40"/>
        <v>0</v>
      </c>
      <c r="DY15" s="185"/>
      <c r="DZ15" s="173"/>
      <c r="EA15" s="186">
        <f t="shared" si="41"/>
        <v>0</v>
      </c>
      <c r="EB15" s="185"/>
      <c r="EC15" s="173"/>
      <c r="ED15" s="186">
        <f t="shared" si="42"/>
        <v>0</v>
      </c>
      <c r="EE15" s="185"/>
      <c r="EF15" s="173"/>
      <c r="EG15" s="186">
        <f t="shared" si="43"/>
        <v>0</v>
      </c>
      <c r="EH15" s="185"/>
      <c r="EI15" s="173"/>
      <c r="EJ15" s="186">
        <f t="shared" si="44"/>
        <v>0</v>
      </c>
      <c r="EK15" s="185"/>
      <c r="EL15" s="173"/>
      <c r="EM15" s="186">
        <f t="shared" si="45"/>
        <v>0</v>
      </c>
      <c r="EN15" s="185"/>
      <c r="EO15" s="173"/>
      <c r="EP15" s="186">
        <f t="shared" si="46"/>
        <v>0</v>
      </c>
      <c r="EQ15" s="185"/>
      <c r="ER15" s="173"/>
      <c r="ES15" s="186">
        <f t="shared" si="47"/>
        <v>0</v>
      </c>
      <c r="ET15" s="185"/>
      <c r="EU15" s="173"/>
      <c r="EV15" s="186">
        <f t="shared" si="48"/>
        <v>0</v>
      </c>
      <c r="EW15" s="185"/>
      <c r="EX15" s="184"/>
      <c r="EY15" s="186">
        <f t="shared" si="49"/>
        <v>0</v>
      </c>
      <c r="EZ15" s="185"/>
      <c r="FA15" s="184"/>
      <c r="FB15" s="186">
        <f t="shared" si="50"/>
        <v>0</v>
      </c>
      <c r="FC15" s="185"/>
      <c r="FD15" s="184"/>
      <c r="FE15" s="186">
        <f t="shared" si="51"/>
        <v>0</v>
      </c>
      <c r="FF15" s="185"/>
      <c r="FG15" s="173"/>
      <c r="FH15" s="186">
        <f t="shared" si="52"/>
        <v>0</v>
      </c>
      <c r="FI15" s="185"/>
      <c r="FJ15" s="173"/>
      <c r="FK15" s="186">
        <f t="shared" si="53"/>
        <v>0</v>
      </c>
      <c r="FL15" s="185"/>
      <c r="FM15" s="173"/>
      <c r="FN15" s="186">
        <f t="shared" si="54"/>
        <v>0</v>
      </c>
      <c r="FO15" s="185"/>
      <c r="FP15" s="173"/>
      <c r="FQ15" s="186">
        <f t="shared" si="55"/>
        <v>0</v>
      </c>
      <c r="FR15" s="185"/>
      <c r="FS15" s="173"/>
      <c r="FT15" s="186">
        <f t="shared" si="56"/>
        <v>0</v>
      </c>
      <c r="FU15" s="185"/>
      <c r="FV15" s="173"/>
      <c r="FW15" s="186">
        <f t="shared" si="57"/>
        <v>0</v>
      </c>
      <c r="FX15" s="185"/>
      <c r="FY15" s="173"/>
      <c r="FZ15" s="186">
        <f t="shared" si="58"/>
        <v>0</v>
      </c>
      <c r="GA15" s="185"/>
      <c r="GB15" s="173"/>
      <c r="GC15" s="186">
        <f t="shared" si="59"/>
        <v>0</v>
      </c>
      <c r="GD15" s="185"/>
      <c r="GE15" s="173"/>
      <c r="GF15" s="186">
        <f t="shared" si="60"/>
        <v>0</v>
      </c>
      <c r="GG15" s="185"/>
      <c r="GH15" s="173"/>
      <c r="GI15" s="186">
        <f t="shared" si="61"/>
        <v>0</v>
      </c>
      <c r="GJ15" s="185"/>
      <c r="GK15" s="173"/>
      <c r="GL15" s="186">
        <f t="shared" si="62"/>
        <v>0</v>
      </c>
      <c r="GM15" s="185"/>
      <c r="GN15" s="173"/>
      <c r="GO15" s="186">
        <f t="shared" si="63"/>
        <v>0</v>
      </c>
      <c r="GP15" s="185"/>
      <c r="GQ15" s="173"/>
      <c r="GR15" s="186">
        <f t="shared" si="64"/>
        <v>0</v>
      </c>
      <c r="GS15" s="185"/>
      <c r="GT15" s="173"/>
      <c r="GU15" s="186">
        <f t="shared" si="65"/>
        <v>0</v>
      </c>
      <c r="GV15" s="185"/>
      <c r="GW15" s="173"/>
      <c r="GX15" s="186">
        <f t="shared" si="66"/>
        <v>0</v>
      </c>
      <c r="GY15" s="185"/>
      <c r="GZ15" s="173"/>
      <c r="HA15" s="186">
        <f t="shared" si="67"/>
        <v>0</v>
      </c>
      <c r="HB15" s="185"/>
      <c r="HC15" s="173"/>
      <c r="HD15" s="186">
        <f t="shared" si="68"/>
        <v>0</v>
      </c>
      <c r="HE15" s="185"/>
      <c r="HF15" s="173"/>
      <c r="HG15" s="186">
        <f t="shared" si="69"/>
        <v>0</v>
      </c>
      <c r="HH15" s="188"/>
      <c r="HI15" s="173"/>
      <c r="HJ15" s="186">
        <f t="shared" si="70"/>
        <v>0</v>
      </c>
      <c r="HK15" s="185"/>
      <c r="HL15" s="173"/>
      <c r="HM15" s="186">
        <f t="shared" si="71"/>
        <v>0</v>
      </c>
      <c r="HN15" s="185"/>
      <c r="HO15" s="173"/>
      <c r="HP15" s="186">
        <f t="shared" si="72"/>
        <v>0</v>
      </c>
      <c r="HQ15" s="185"/>
      <c r="HR15" s="173"/>
      <c r="HS15" s="186">
        <f t="shared" si="73"/>
        <v>0</v>
      </c>
      <c r="HT15" s="185"/>
      <c r="HU15" s="173"/>
      <c r="HV15" s="186">
        <f t="shared" si="74"/>
        <v>0</v>
      </c>
      <c r="HW15" s="185"/>
      <c r="HX15" s="173"/>
      <c r="HY15" s="186">
        <f t="shared" si="75"/>
        <v>0</v>
      </c>
      <c r="HZ15" s="185"/>
      <c r="IA15" s="173"/>
      <c r="IB15" s="186">
        <f t="shared" si="76"/>
        <v>0</v>
      </c>
      <c r="IC15" s="185"/>
      <c r="ID15" s="173"/>
      <c r="IE15" s="186">
        <f t="shared" si="77"/>
        <v>0</v>
      </c>
      <c r="IF15" s="185"/>
      <c r="IG15" s="173"/>
      <c r="IH15" s="186">
        <f t="shared" si="78"/>
        <v>0</v>
      </c>
      <c r="II15" s="185"/>
      <c r="IJ15" s="173"/>
      <c r="IK15" s="186">
        <f t="shared" si="79"/>
        <v>0</v>
      </c>
      <c r="IL15" s="185"/>
      <c r="IM15" s="173"/>
      <c r="IN15" s="186">
        <f t="shared" si="80"/>
        <v>0</v>
      </c>
      <c r="IO15" s="185"/>
      <c r="IP15" s="173"/>
      <c r="IQ15" s="186">
        <f t="shared" si="81"/>
        <v>0</v>
      </c>
      <c r="IR15" s="185"/>
      <c r="IS15" s="173"/>
      <c r="IT15" s="186">
        <f t="shared" si="82"/>
        <v>0</v>
      </c>
      <c r="IU15" s="185"/>
      <c r="IV15" s="173"/>
      <c r="IW15" s="186">
        <f t="shared" si="83"/>
        <v>0</v>
      </c>
      <c r="IX15" s="185"/>
      <c r="IY15" s="173"/>
      <c r="IZ15" s="186">
        <f t="shared" si="84"/>
        <v>0</v>
      </c>
      <c r="JA15" s="185"/>
      <c r="JB15" s="173"/>
      <c r="JC15" s="186">
        <f t="shared" si="85"/>
        <v>0</v>
      </c>
      <c r="JD15" s="185"/>
      <c r="JE15" s="173"/>
      <c r="JF15" s="186">
        <f t="shared" si="86"/>
        <v>0</v>
      </c>
      <c r="JG15" s="185"/>
      <c r="JH15" s="173"/>
      <c r="JI15" s="186">
        <f t="shared" si="87"/>
        <v>0</v>
      </c>
      <c r="JJ15" s="185"/>
      <c r="JK15" s="173"/>
      <c r="JL15" s="186">
        <f t="shared" si="88"/>
        <v>0</v>
      </c>
      <c r="JM15" s="185"/>
      <c r="JN15" s="173"/>
      <c r="JO15" s="186">
        <f t="shared" si="89"/>
        <v>0</v>
      </c>
      <c r="JP15" s="185"/>
      <c r="JQ15" s="173"/>
      <c r="JR15" s="186">
        <f t="shared" si="90"/>
        <v>0</v>
      </c>
      <c r="JS15" s="185"/>
      <c r="JT15" s="173"/>
      <c r="JU15" s="186" t="str" cm="1">
        <f t="array" aca="1" ref="JU15"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5" s="187"/>
      <c r="JW15" s="173"/>
      <c r="JX15" s="186" t="str" cm="1">
        <f t="array" aca="1" ref="JX15"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5" s="185"/>
      <c r="JZ15" s="184"/>
      <c r="KA15" s="186" t="str" cm="1">
        <f t="array" aca="1" ref="KA15"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5" s="185"/>
      <c r="KC15" s="184"/>
      <c r="KD15" s="186" t="str" cm="1">
        <f t="array" aca="1" ref="KD15"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5" s="185"/>
      <c r="KF15" s="184"/>
    </row>
    <row r="16" spans="1:294" x14ac:dyDescent="0.3">
      <c r="A16" s="192">
        <f>[1]Reg!A16</f>
        <v>13</v>
      </c>
      <c r="B16" s="190">
        <f t="shared" si="0"/>
        <v>-72102</v>
      </c>
      <c r="C16" s="188">
        <v>300</v>
      </c>
      <c r="D16" s="173">
        <v>-240.34</v>
      </c>
      <c r="E16" s="190">
        <f t="shared" si="1"/>
        <v>0</v>
      </c>
      <c r="F16" s="188"/>
      <c r="G16" s="173"/>
      <c r="H16" s="190">
        <f t="shared" si="2"/>
        <v>0</v>
      </c>
      <c r="I16" s="188"/>
      <c r="J16" s="173"/>
      <c r="K16" s="190">
        <f t="shared" si="3"/>
        <v>-107510</v>
      </c>
      <c r="L16" s="188">
        <v>500</v>
      </c>
      <c r="M16" s="173">
        <v>-215.02</v>
      </c>
      <c r="N16" s="190">
        <f t="shared" si="4"/>
        <v>0</v>
      </c>
      <c r="O16" s="188"/>
      <c r="P16" s="173"/>
      <c r="Q16" s="190">
        <f t="shared" si="5"/>
        <v>-345450</v>
      </c>
      <c r="R16" s="188">
        <v>500</v>
      </c>
      <c r="S16" s="173">
        <v>-690.9</v>
      </c>
      <c r="T16" s="189"/>
      <c r="U16" s="189"/>
      <c r="V16" s="189"/>
      <c r="W16" s="186">
        <f t="shared" si="6"/>
        <v>0</v>
      </c>
      <c r="X16" s="188"/>
      <c r="Y16" s="173"/>
      <c r="Z16" s="186">
        <f t="shared" si="7"/>
        <v>0</v>
      </c>
      <c r="AA16" s="188"/>
      <c r="AB16" s="173"/>
      <c r="AC16" s="186">
        <f t="shared" si="8"/>
        <v>0</v>
      </c>
      <c r="AD16" s="185"/>
      <c r="AE16" s="173"/>
      <c r="AF16" s="186">
        <f t="shared" si="9"/>
        <v>0</v>
      </c>
      <c r="AG16" s="185"/>
      <c r="AH16" s="173"/>
      <c r="AI16" s="186">
        <f t="shared" si="10"/>
        <v>0</v>
      </c>
      <c r="AJ16" s="185"/>
      <c r="AK16" s="173"/>
      <c r="AL16" s="186">
        <f t="shared" si="11"/>
        <v>0</v>
      </c>
      <c r="AM16" s="185"/>
      <c r="AN16" s="173"/>
      <c r="AO16" s="186">
        <f t="shared" si="12"/>
        <v>0</v>
      </c>
      <c r="AP16" s="185"/>
      <c r="AQ16" s="173"/>
      <c r="AR16" s="186">
        <f t="shared" si="13"/>
        <v>0</v>
      </c>
      <c r="AS16" s="185"/>
      <c r="AT16" s="173"/>
      <c r="AU16" s="186">
        <f t="shared" si="14"/>
        <v>0</v>
      </c>
      <c r="AV16" s="185"/>
      <c r="AW16" s="173"/>
      <c r="AX16" s="186">
        <f t="shared" si="15"/>
        <v>0</v>
      </c>
      <c r="AY16" s="185"/>
      <c r="AZ16" s="173"/>
      <c r="BA16" s="186">
        <f t="shared" si="16"/>
        <v>0</v>
      </c>
      <c r="BB16" s="185"/>
      <c r="BC16" s="173"/>
      <c r="BD16" s="186">
        <f t="shared" si="17"/>
        <v>0</v>
      </c>
      <c r="BE16" s="185"/>
      <c r="BF16" s="173"/>
      <c r="BG16" s="186">
        <f t="shared" si="18"/>
        <v>0</v>
      </c>
      <c r="BH16" s="185"/>
      <c r="BI16" s="173"/>
      <c r="BJ16" s="186">
        <f t="shared" si="19"/>
        <v>0</v>
      </c>
      <c r="BK16" s="185"/>
      <c r="BL16" s="173"/>
      <c r="BM16" s="186">
        <f t="shared" si="20"/>
        <v>0</v>
      </c>
      <c r="BN16" s="185"/>
      <c r="BO16" s="173"/>
      <c r="BP16" s="186">
        <f t="shared" si="21"/>
        <v>0</v>
      </c>
      <c r="BQ16" s="185"/>
      <c r="BR16" s="173"/>
      <c r="BS16" s="186">
        <f t="shared" si="22"/>
        <v>0</v>
      </c>
      <c r="BT16" s="185"/>
      <c r="BU16" s="173"/>
      <c r="BV16" s="186">
        <f t="shared" si="23"/>
        <v>0</v>
      </c>
      <c r="BW16" s="185"/>
      <c r="BX16" s="173"/>
      <c r="BY16" s="186">
        <f t="shared" si="24"/>
        <v>0</v>
      </c>
      <c r="BZ16" s="185"/>
      <c r="CA16" s="173"/>
      <c r="CB16" s="186">
        <f t="shared" si="25"/>
        <v>0</v>
      </c>
      <c r="CC16" s="185"/>
      <c r="CD16" s="173"/>
      <c r="CE16" s="186">
        <f t="shared" si="91"/>
        <v>0</v>
      </c>
      <c r="CF16" s="185"/>
      <c r="CG16" s="173"/>
      <c r="CH16" s="186">
        <f t="shared" si="92"/>
        <v>0</v>
      </c>
      <c r="CI16" s="188"/>
      <c r="CJ16" s="173"/>
      <c r="CK16" s="186">
        <f t="shared" si="27"/>
        <v>0</v>
      </c>
      <c r="CL16" s="185"/>
      <c r="CM16" s="173"/>
      <c r="CN16" s="186">
        <f t="shared" si="28"/>
        <v>0</v>
      </c>
      <c r="CO16" s="185"/>
      <c r="CP16" s="173"/>
      <c r="CQ16" s="186">
        <f t="shared" si="29"/>
        <v>0</v>
      </c>
      <c r="CR16" s="185"/>
      <c r="CS16" s="173"/>
      <c r="CT16" s="186">
        <f t="shared" si="30"/>
        <v>0</v>
      </c>
      <c r="CU16" s="188"/>
      <c r="CV16" s="173"/>
      <c r="CW16" s="186">
        <f t="shared" si="31"/>
        <v>0</v>
      </c>
      <c r="CX16" s="185"/>
      <c r="CY16" s="173"/>
      <c r="CZ16" s="186">
        <f t="shared" si="32"/>
        <v>0</v>
      </c>
      <c r="DA16" s="185"/>
      <c r="DB16" s="173"/>
      <c r="DC16" s="186">
        <f t="shared" si="33"/>
        <v>0</v>
      </c>
      <c r="DD16" s="185"/>
      <c r="DE16" s="173"/>
      <c r="DF16" s="186">
        <f t="shared" si="34"/>
        <v>0</v>
      </c>
      <c r="DG16" s="185"/>
      <c r="DH16" s="173"/>
      <c r="DI16" s="186">
        <f t="shared" si="35"/>
        <v>0</v>
      </c>
      <c r="DJ16" s="185"/>
      <c r="DK16" s="173"/>
      <c r="DL16" s="186">
        <f t="shared" si="36"/>
        <v>0</v>
      </c>
      <c r="DM16" s="185"/>
      <c r="DN16" s="173"/>
      <c r="DO16" s="186">
        <f t="shared" si="37"/>
        <v>0</v>
      </c>
      <c r="DP16" s="185"/>
      <c r="DQ16" s="173"/>
      <c r="DR16" s="186">
        <f t="shared" si="38"/>
        <v>0</v>
      </c>
      <c r="DS16" s="185"/>
      <c r="DT16" s="173"/>
      <c r="DU16" s="186">
        <f t="shared" si="39"/>
        <v>0</v>
      </c>
      <c r="DV16" s="185"/>
      <c r="DW16" s="173"/>
      <c r="DX16" s="186">
        <f t="shared" si="40"/>
        <v>0</v>
      </c>
      <c r="DY16" s="185"/>
      <c r="DZ16" s="173"/>
      <c r="EA16" s="186">
        <f t="shared" si="41"/>
        <v>0</v>
      </c>
      <c r="EB16" s="185"/>
      <c r="EC16" s="173"/>
      <c r="ED16" s="186">
        <f t="shared" si="42"/>
        <v>0</v>
      </c>
      <c r="EE16" s="185"/>
      <c r="EF16" s="173"/>
      <c r="EG16" s="186">
        <f t="shared" si="43"/>
        <v>0</v>
      </c>
      <c r="EH16" s="185"/>
      <c r="EI16" s="173"/>
      <c r="EJ16" s="186">
        <f t="shared" si="44"/>
        <v>0</v>
      </c>
      <c r="EK16" s="185"/>
      <c r="EL16" s="173"/>
      <c r="EM16" s="186">
        <f t="shared" si="45"/>
        <v>0</v>
      </c>
      <c r="EN16" s="185"/>
      <c r="EO16" s="173"/>
      <c r="EP16" s="186">
        <f t="shared" si="46"/>
        <v>0</v>
      </c>
      <c r="EQ16" s="185"/>
      <c r="ER16" s="173"/>
      <c r="ES16" s="186">
        <f t="shared" si="47"/>
        <v>0</v>
      </c>
      <c r="ET16" s="185"/>
      <c r="EU16" s="173"/>
      <c r="EV16" s="186">
        <f t="shared" si="48"/>
        <v>0</v>
      </c>
      <c r="EW16" s="185"/>
      <c r="EX16" s="184"/>
      <c r="EY16" s="186">
        <f t="shared" si="49"/>
        <v>0</v>
      </c>
      <c r="EZ16" s="185"/>
      <c r="FA16" s="184"/>
      <c r="FB16" s="186">
        <f t="shared" si="50"/>
        <v>0</v>
      </c>
      <c r="FC16" s="185"/>
      <c r="FD16" s="184"/>
      <c r="FE16" s="186">
        <f t="shared" si="51"/>
        <v>0</v>
      </c>
      <c r="FF16" s="185"/>
      <c r="FG16" s="173"/>
      <c r="FH16" s="186">
        <f t="shared" si="52"/>
        <v>0</v>
      </c>
      <c r="FI16" s="185"/>
      <c r="FJ16" s="173"/>
      <c r="FK16" s="186">
        <f t="shared" si="53"/>
        <v>0</v>
      </c>
      <c r="FL16" s="185"/>
      <c r="FM16" s="173"/>
      <c r="FN16" s="186">
        <f t="shared" si="54"/>
        <v>0</v>
      </c>
      <c r="FO16" s="185"/>
      <c r="FP16" s="173"/>
      <c r="FQ16" s="186">
        <f t="shared" si="55"/>
        <v>0</v>
      </c>
      <c r="FR16" s="185"/>
      <c r="FS16" s="173"/>
      <c r="FT16" s="186">
        <f t="shared" si="56"/>
        <v>0</v>
      </c>
      <c r="FU16" s="185"/>
      <c r="FV16" s="173"/>
      <c r="FW16" s="186">
        <f t="shared" si="57"/>
        <v>0</v>
      </c>
      <c r="FX16" s="185"/>
      <c r="FY16" s="173"/>
      <c r="FZ16" s="186">
        <f t="shared" si="58"/>
        <v>0</v>
      </c>
      <c r="GA16" s="185"/>
      <c r="GB16" s="173"/>
      <c r="GC16" s="186">
        <f t="shared" si="59"/>
        <v>0</v>
      </c>
      <c r="GD16" s="185"/>
      <c r="GE16" s="173"/>
      <c r="GF16" s="186">
        <f t="shared" si="60"/>
        <v>0</v>
      </c>
      <c r="GG16" s="185"/>
      <c r="GH16" s="173"/>
      <c r="GI16" s="186">
        <f t="shared" si="61"/>
        <v>0</v>
      </c>
      <c r="GJ16" s="185"/>
      <c r="GK16" s="173"/>
      <c r="GL16" s="186">
        <f t="shared" si="62"/>
        <v>0</v>
      </c>
      <c r="GM16" s="185"/>
      <c r="GN16" s="173"/>
      <c r="GO16" s="186">
        <f t="shared" si="63"/>
        <v>0</v>
      </c>
      <c r="GP16" s="185"/>
      <c r="GQ16" s="173"/>
      <c r="GR16" s="186">
        <f t="shared" si="64"/>
        <v>0</v>
      </c>
      <c r="GS16" s="185"/>
      <c r="GT16" s="173"/>
      <c r="GU16" s="186">
        <f t="shared" si="65"/>
        <v>0</v>
      </c>
      <c r="GV16" s="185"/>
      <c r="GW16" s="173"/>
      <c r="GX16" s="186">
        <f t="shared" si="66"/>
        <v>0</v>
      </c>
      <c r="GY16" s="185"/>
      <c r="GZ16" s="173"/>
      <c r="HA16" s="186">
        <f t="shared" si="67"/>
        <v>0</v>
      </c>
      <c r="HB16" s="185"/>
      <c r="HC16" s="173"/>
      <c r="HD16" s="186">
        <f t="shared" si="68"/>
        <v>0</v>
      </c>
      <c r="HE16" s="185"/>
      <c r="HF16" s="173"/>
      <c r="HG16" s="186">
        <f t="shared" si="69"/>
        <v>0</v>
      </c>
      <c r="HH16" s="185"/>
      <c r="HI16" s="173"/>
      <c r="HJ16" s="186">
        <f t="shared" si="70"/>
        <v>0</v>
      </c>
      <c r="HK16" s="185"/>
      <c r="HL16" s="173"/>
      <c r="HM16" s="186">
        <f t="shared" si="71"/>
        <v>0</v>
      </c>
      <c r="HN16" s="185"/>
      <c r="HO16" s="173"/>
      <c r="HP16" s="186">
        <f t="shared" si="72"/>
        <v>0</v>
      </c>
      <c r="HQ16" s="185"/>
      <c r="HR16" s="173"/>
      <c r="HS16" s="186">
        <f t="shared" si="73"/>
        <v>0</v>
      </c>
      <c r="HT16" s="185"/>
      <c r="HU16" s="173"/>
      <c r="HV16" s="186">
        <f t="shared" si="74"/>
        <v>0</v>
      </c>
      <c r="HW16" s="185"/>
      <c r="HX16" s="173"/>
      <c r="HY16" s="186">
        <f t="shared" si="75"/>
        <v>0</v>
      </c>
      <c r="HZ16" s="185"/>
      <c r="IA16" s="173"/>
      <c r="IB16" s="186">
        <f t="shared" si="76"/>
        <v>0</v>
      </c>
      <c r="IC16" s="185"/>
      <c r="ID16" s="173"/>
      <c r="IE16" s="186">
        <f t="shared" si="77"/>
        <v>0</v>
      </c>
      <c r="IF16" s="185"/>
      <c r="IG16" s="173"/>
      <c r="IH16" s="186">
        <f t="shared" si="78"/>
        <v>0</v>
      </c>
      <c r="II16" s="185"/>
      <c r="IJ16" s="173"/>
      <c r="IK16" s="186">
        <f t="shared" si="79"/>
        <v>0</v>
      </c>
      <c r="IL16" s="185"/>
      <c r="IM16" s="173"/>
      <c r="IN16" s="186">
        <f t="shared" si="80"/>
        <v>0</v>
      </c>
      <c r="IO16" s="185"/>
      <c r="IP16" s="173"/>
      <c r="IQ16" s="186">
        <f t="shared" si="81"/>
        <v>0</v>
      </c>
      <c r="IR16" s="185"/>
      <c r="IS16" s="173"/>
      <c r="IT16" s="186">
        <f t="shared" si="82"/>
        <v>0</v>
      </c>
      <c r="IU16" s="185"/>
      <c r="IV16" s="173"/>
      <c r="IW16" s="186">
        <f t="shared" si="83"/>
        <v>0</v>
      </c>
      <c r="IX16" s="185"/>
      <c r="IY16" s="173"/>
      <c r="IZ16" s="186">
        <f t="shared" si="84"/>
        <v>0</v>
      </c>
      <c r="JA16" s="185"/>
      <c r="JB16" s="173"/>
      <c r="JC16" s="186">
        <f t="shared" si="85"/>
        <v>0</v>
      </c>
      <c r="JD16" s="185"/>
      <c r="JE16" s="173"/>
      <c r="JF16" s="186">
        <f t="shared" si="86"/>
        <v>0</v>
      </c>
      <c r="JG16" s="185"/>
      <c r="JH16" s="173"/>
      <c r="JI16" s="186">
        <f t="shared" si="87"/>
        <v>0</v>
      </c>
      <c r="JJ16" s="185"/>
      <c r="JK16" s="173"/>
      <c r="JL16" s="186">
        <f t="shared" si="88"/>
        <v>0</v>
      </c>
      <c r="JM16" s="185"/>
      <c r="JN16" s="173"/>
      <c r="JO16" s="186">
        <f t="shared" si="89"/>
        <v>0</v>
      </c>
      <c r="JP16" s="185"/>
      <c r="JQ16" s="173"/>
      <c r="JR16" s="186">
        <f t="shared" si="90"/>
        <v>0</v>
      </c>
      <c r="JS16" s="185"/>
      <c r="JT16" s="173"/>
      <c r="JU16" s="186" t="str" cm="1">
        <f t="array" aca="1" ref="JU16"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6" s="187"/>
      <c r="JW16" s="173"/>
      <c r="JX16" s="186" t="str" cm="1">
        <f t="array" aca="1" ref="JX16"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6" s="185"/>
      <c r="JZ16" s="184"/>
      <c r="KA16" s="186" t="str" cm="1">
        <f t="array" aca="1" ref="KA16"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6" s="185"/>
      <c r="KC16" s="184"/>
      <c r="KD16" s="186" t="str" cm="1">
        <f t="array" aca="1" ref="KD16"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6" s="185"/>
      <c r="KF16" s="184"/>
    </row>
    <row r="17" spans="1:292" x14ac:dyDescent="0.3">
      <c r="A17" s="191">
        <f>[1]Reg!A17</f>
        <v>14</v>
      </c>
      <c r="B17" s="190">
        <f t="shared" si="0"/>
        <v>0</v>
      </c>
      <c r="C17" s="188"/>
      <c r="D17" s="173"/>
      <c r="E17" s="190">
        <f t="shared" si="1"/>
        <v>0</v>
      </c>
      <c r="F17" s="185"/>
      <c r="G17" s="173"/>
      <c r="H17" s="190">
        <f t="shared" si="2"/>
        <v>0</v>
      </c>
      <c r="I17" s="188"/>
      <c r="J17" s="173"/>
      <c r="K17" s="190">
        <f t="shared" si="3"/>
        <v>-96952.5</v>
      </c>
      <c r="L17" s="188">
        <v>450</v>
      </c>
      <c r="M17" s="173">
        <v>-215.45</v>
      </c>
      <c r="N17" s="190">
        <f t="shared" si="4"/>
        <v>0</v>
      </c>
      <c r="O17" s="188"/>
      <c r="P17" s="173"/>
      <c r="Q17" s="190">
        <f t="shared" si="5"/>
        <v>-139100</v>
      </c>
      <c r="R17" s="188">
        <v>200</v>
      </c>
      <c r="S17" s="173">
        <v>-695.5</v>
      </c>
      <c r="T17" s="189"/>
      <c r="U17" s="189"/>
      <c r="V17" s="189"/>
      <c r="W17" s="186">
        <f t="shared" si="6"/>
        <v>0</v>
      </c>
      <c r="X17" s="188"/>
      <c r="Y17" s="173"/>
      <c r="Z17" s="186">
        <f t="shared" si="7"/>
        <v>0</v>
      </c>
      <c r="AA17" s="188"/>
      <c r="AB17" s="173"/>
      <c r="AC17" s="186">
        <f t="shared" si="8"/>
        <v>0</v>
      </c>
      <c r="AD17" s="185"/>
      <c r="AE17" s="173"/>
      <c r="AF17" s="186">
        <f t="shared" si="9"/>
        <v>0</v>
      </c>
      <c r="AG17" s="185"/>
      <c r="AH17" s="173"/>
      <c r="AI17" s="186">
        <f t="shared" si="10"/>
        <v>0</v>
      </c>
      <c r="AJ17" s="185"/>
      <c r="AK17" s="173"/>
      <c r="AL17" s="186">
        <f t="shared" si="11"/>
        <v>0</v>
      </c>
      <c r="AM17" s="185"/>
      <c r="AN17" s="173"/>
      <c r="AO17" s="186">
        <f t="shared" si="12"/>
        <v>0</v>
      </c>
      <c r="AP17" s="185"/>
      <c r="AQ17" s="173"/>
      <c r="AR17" s="186">
        <f t="shared" si="13"/>
        <v>0</v>
      </c>
      <c r="AS17" s="185"/>
      <c r="AT17" s="173"/>
      <c r="AU17" s="186">
        <f t="shared" si="14"/>
        <v>0</v>
      </c>
      <c r="AV17" s="185"/>
      <c r="AW17" s="173"/>
      <c r="AX17" s="186">
        <f t="shared" si="15"/>
        <v>0</v>
      </c>
      <c r="AY17" s="185"/>
      <c r="AZ17" s="173"/>
      <c r="BA17" s="186">
        <f t="shared" si="16"/>
        <v>0</v>
      </c>
      <c r="BB17" s="185"/>
      <c r="BC17" s="173"/>
      <c r="BD17" s="186">
        <f t="shared" si="17"/>
        <v>0</v>
      </c>
      <c r="BE17" s="185"/>
      <c r="BF17" s="173"/>
      <c r="BG17" s="186">
        <f t="shared" si="18"/>
        <v>0</v>
      </c>
      <c r="BH17" s="185"/>
      <c r="BI17" s="173"/>
      <c r="BJ17" s="186">
        <f t="shared" si="19"/>
        <v>0</v>
      </c>
      <c r="BK17" s="185"/>
      <c r="BL17" s="173"/>
      <c r="BM17" s="186">
        <f t="shared" si="20"/>
        <v>0</v>
      </c>
      <c r="BN17" s="185"/>
      <c r="BO17" s="173"/>
      <c r="BP17" s="186">
        <f t="shared" si="21"/>
        <v>0</v>
      </c>
      <c r="BQ17" s="185"/>
      <c r="BR17" s="173"/>
      <c r="BS17" s="186">
        <f t="shared" si="22"/>
        <v>0</v>
      </c>
      <c r="BT17" s="185"/>
      <c r="BU17" s="173"/>
      <c r="BV17" s="186">
        <f t="shared" si="23"/>
        <v>0</v>
      </c>
      <c r="BW17" s="185"/>
      <c r="BX17" s="173"/>
      <c r="BY17" s="186">
        <f t="shared" si="24"/>
        <v>0</v>
      </c>
      <c r="BZ17" s="185"/>
      <c r="CA17" s="173"/>
      <c r="CB17" s="186">
        <f t="shared" si="25"/>
        <v>0</v>
      </c>
      <c r="CC17" s="185"/>
      <c r="CD17" s="173"/>
      <c r="CE17" s="186">
        <f t="shared" si="91"/>
        <v>0</v>
      </c>
      <c r="CF17" s="185"/>
      <c r="CG17" s="173"/>
      <c r="CH17" s="186">
        <f t="shared" si="92"/>
        <v>0</v>
      </c>
      <c r="CI17" s="188"/>
      <c r="CJ17" s="173"/>
      <c r="CK17" s="186">
        <f t="shared" si="27"/>
        <v>0</v>
      </c>
      <c r="CL17" s="185"/>
      <c r="CM17" s="173"/>
      <c r="CN17" s="186">
        <f t="shared" si="28"/>
        <v>0</v>
      </c>
      <c r="CO17" s="185"/>
      <c r="CP17" s="173"/>
      <c r="CQ17" s="186">
        <f t="shared" si="29"/>
        <v>0</v>
      </c>
      <c r="CR17" s="185"/>
      <c r="CS17" s="173"/>
      <c r="CT17" s="186">
        <f t="shared" si="30"/>
        <v>0</v>
      </c>
      <c r="CU17" s="188"/>
      <c r="CV17" s="173"/>
      <c r="CW17" s="186">
        <f t="shared" si="31"/>
        <v>0</v>
      </c>
      <c r="CX17" s="185"/>
      <c r="CY17" s="173"/>
      <c r="CZ17" s="186">
        <f t="shared" si="32"/>
        <v>0</v>
      </c>
      <c r="DA17" s="185"/>
      <c r="DB17" s="173"/>
      <c r="DC17" s="186">
        <f t="shared" si="33"/>
        <v>0</v>
      </c>
      <c r="DD17" s="185"/>
      <c r="DE17" s="173"/>
      <c r="DF17" s="186">
        <f t="shared" si="34"/>
        <v>0</v>
      </c>
      <c r="DG17" s="185"/>
      <c r="DH17" s="173"/>
      <c r="DI17" s="186">
        <f t="shared" si="35"/>
        <v>0</v>
      </c>
      <c r="DJ17" s="185"/>
      <c r="DK17" s="173"/>
      <c r="DL17" s="186">
        <f t="shared" si="36"/>
        <v>0</v>
      </c>
      <c r="DM17" s="185"/>
      <c r="DN17" s="173"/>
      <c r="DO17" s="186">
        <f t="shared" si="37"/>
        <v>0</v>
      </c>
      <c r="DP17" s="185"/>
      <c r="DQ17" s="173"/>
      <c r="DR17" s="186">
        <f t="shared" si="38"/>
        <v>0</v>
      </c>
      <c r="DS17" s="185"/>
      <c r="DT17" s="173"/>
      <c r="DU17" s="186">
        <f t="shared" si="39"/>
        <v>0</v>
      </c>
      <c r="DV17" s="185"/>
      <c r="DW17" s="173"/>
      <c r="DX17" s="186">
        <f t="shared" si="40"/>
        <v>0</v>
      </c>
      <c r="DY17" s="185"/>
      <c r="DZ17" s="173"/>
      <c r="EA17" s="186">
        <f t="shared" si="41"/>
        <v>0</v>
      </c>
      <c r="EB17" s="185"/>
      <c r="EC17" s="173"/>
      <c r="ED17" s="186">
        <f t="shared" si="42"/>
        <v>0</v>
      </c>
      <c r="EE17" s="185"/>
      <c r="EF17" s="173"/>
      <c r="EG17" s="186">
        <f t="shared" si="43"/>
        <v>0</v>
      </c>
      <c r="EH17" s="185"/>
      <c r="EI17" s="173"/>
      <c r="EJ17" s="186">
        <f t="shared" si="44"/>
        <v>0</v>
      </c>
      <c r="EK17" s="185"/>
      <c r="EL17" s="173"/>
      <c r="EM17" s="186">
        <f t="shared" si="45"/>
        <v>0</v>
      </c>
      <c r="EN17" s="185"/>
      <c r="EO17" s="173"/>
      <c r="EP17" s="186">
        <f t="shared" si="46"/>
        <v>0</v>
      </c>
      <c r="EQ17" s="185"/>
      <c r="ER17" s="173"/>
      <c r="ES17" s="186">
        <f t="shared" si="47"/>
        <v>0</v>
      </c>
      <c r="ET17" s="185"/>
      <c r="EU17" s="173"/>
      <c r="EV17" s="186">
        <f t="shared" si="48"/>
        <v>0</v>
      </c>
      <c r="EW17" s="185"/>
      <c r="EX17" s="184"/>
      <c r="EY17" s="186">
        <f t="shared" si="49"/>
        <v>0</v>
      </c>
      <c r="EZ17" s="185"/>
      <c r="FA17" s="184"/>
      <c r="FB17" s="186">
        <f t="shared" si="50"/>
        <v>0</v>
      </c>
      <c r="FC17" s="185"/>
      <c r="FD17" s="184"/>
      <c r="FE17" s="186">
        <f t="shared" si="51"/>
        <v>0</v>
      </c>
      <c r="FF17" s="185"/>
      <c r="FG17" s="173"/>
      <c r="FH17" s="186">
        <f t="shared" si="52"/>
        <v>0</v>
      </c>
      <c r="FI17" s="185"/>
      <c r="FJ17" s="173"/>
      <c r="FK17" s="186">
        <f t="shared" si="53"/>
        <v>0</v>
      </c>
      <c r="FL17" s="185"/>
      <c r="FM17" s="173"/>
      <c r="FN17" s="186">
        <f t="shared" si="54"/>
        <v>0</v>
      </c>
      <c r="FO17" s="185"/>
      <c r="FP17" s="173"/>
      <c r="FQ17" s="186">
        <f t="shared" si="55"/>
        <v>0</v>
      </c>
      <c r="FR17" s="185"/>
      <c r="FS17" s="173"/>
      <c r="FT17" s="186">
        <f t="shared" si="56"/>
        <v>0</v>
      </c>
      <c r="FU17" s="185"/>
      <c r="FV17" s="173"/>
      <c r="FW17" s="186">
        <f t="shared" si="57"/>
        <v>0</v>
      </c>
      <c r="FX17" s="185"/>
      <c r="FY17" s="173"/>
      <c r="FZ17" s="186">
        <f t="shared" si="58"/>
        <v>0</v>
      </c>
      <c r="GA17" s="185"/>
      <c r="GB17" s="173"/>
      <c r="GC17" s="186">
        <f t="shared" si="59"/>
        <v>0</v>
      </c>
      <c r="GD17" s="185"/>
      <c r="GE17" s="173"/>
      <c r="GF17" s="186">
        <f t="shared" si="60"/>
        <v>0</v>
      </c>
      <c r="GG17" s="185"/>
      <c r="GH17" s="173"/>
      <c r="GI17" s="186">
        <f t="shared" si="61"/>
        <v>0</v>
      </c>
      <c r="GJ17" s="185"/>
      <c r="GK17" s="173"/>
      <c r="GL17" s="186">
        <f t="shared" si="62"/>
        <v>0</v>
      </c>
      <c r="GM17" s="185"/>
      <c r="GN17" s="173"/>
      <c r="GO17" s="186">
        <f t="shared" si="63"/>
        <v>0</v>
      </c>
      <c r="GP17" s="185"/>
      <c r="GQ17" s="173"/>
      <c r="GR17" s="186">
        <f t="shared" si="64"/>
        <v>0</v>
      </c>
      <c r="GS17" s="185"/>
      <c r="GT17" s="173"/>
      <c r="GU17" s="186">
        <f t="shared" si="65"/>
        <v>0</v>
      </c>
      <c r="GV17" s="185"/>
      <c r="GW17" s="173"/>
      <c r="GX17" s="186">
        <f t="shared" si="66"/>
        <v>0</v>
      </c>
      <c r="GY17" s="185"/>
      <c r="GZ17" s="173"/>
      <c r="HA17" s="186">
        <f t="shared" si="67"/>
        <v>0</v>
      </c>
      <c r="HB17" s="185"/>
      <c r="HC17" s="173"/>
      <c r="HD17" s="186">
        <f t="shared" si="68"/>
        <v>0</v>
      </c>
      <c r="HE17" s="185"/>
      <c r="HF17" s="173"/>
      <c r="HG17" s="186">
        <f t="shared" si="69"/>
        <v>0</v>
      </c>
      <c r="HH17" s="185"/>
      <c r="HI17" s="173"/>
      <c r="HJ17" s="186">
        <f t="shared" si="70"/>
        <v>0</v>
      </c>
      <c r="HK17" s="185"/>
      <c r="HL17" s="173"/>
      <c r="HM17" s="186">
        <f t="shared" si="71"/>
        <v>0</v>
      </c>
      <c r="HN17" s="185"/>
      <c r="HO17" s="173"/>
      <c r="HP17" s="186">
        <f t="shared" si="72"/>
        <v>0</v>
      </c>
      <c r="HQ17" s="185"/>
      <c r="HR17" s="173"/>
      <c r="HS17" s="186">
        <f t="shared" si="73"/>
        <v>0</v>
      </c>
      <c r="HT17" s="185"/>
      <c r="HU17" s="173"/>
      <c r="HV17" s="186">
        <f t="shared" si="74"/>
        <v>0</v>
      </c>
      <c r="HW17" s="185"/>
      <c r="HX17" s="173"/>
      <c r="HY17" s="186">
        <f t="shared" si="75"/>
        <v>0</v>
      </c>
      <c r="HZ17" s="185"/>
      <c r="IA17" s="173"/>
      <c r="IB17" s="186">
        <f t="shared" si="76"/>
        <v>0</v>
      </c>
      <c r="IC17" s="185"/>
      <c r="ID17" s="173"/>
      <c r="IE17" s="186">
        <f t="shared" si="77"/>
        <v>0</v>
      </c>
      <c r="IF17" s="185"/>
      <c r="IG17" s="173"/>
      <c r="IH17" s="186">
        <f t="shared" si="78"/>
        <v>0</v>
      </c>
      <c r="II17" s="185"/>
      <c r="IJ17" s="173"/>
      <c r="IK17" s="186">
        <f t="shared" si="79"/>
        <v>0</v>
      </c>
      <c r="IL17" s="185"/>
      <c r="IM17" s="173"/>
      <c r="IN17" s="186">
        <f t="shared" si="80"/>
        <v>0</v>
      </c>
      <c r="IO17" s="185"/>
      <c r="IP17" s="173"/>
      <c r="IQ17" s="186">
        <f t="shared" si="81"/>
        <v>0</v>
      </c>
      <c r="IR17" s="185"/>
      <c r="IS17" s="173"/>
      <c r="IT17" s="186">
        <f t="shared" si="82"/>
        <v>0</v>
      </c>
      <c r="IU17" s="185"/>
      <c r="IV17" s="173"/>
      <c r="IW17" s="186">
        <f t="shared" si="83"/>
        <v>0</v>
      </c>
      <c r="IX17" s="185"/>
      <c r="IY17" s="173"/>
      <c r="IZ17" s="186">
        <f t="shared" si="84"/>
        <v>0</v>
      </c>
      <c r="JA17" s="185"/>
      <c r="JB17" s="173"/>
      <c r="JC17" s="186">
        <f t="shared" si="85"/>
        <v>0</v>
      </c>
      <c r="JD17" s="185"/>
      <c r="JE17" s="173"/>
      <c r="JF17" s="186">
        <f t="shared" si="86"/>
        <v>0</v>
      </c>
      <c r="JG17" s="185"/>
      <c r="JH17" s="173"/>
      <c r="JI17" s="186">
        <f t="shared" si="87"/>
        <v>0</v>
      </c>
      <c r="JJ17" s="185"/>
      <c r="JK17" s="173"/>
      <c r="JL17" s="186">
        <f t="shared" si="88"/>
        <v>0</v>
      </c>
      <c r="JM17" s="185"/>
      <c r="JN17" s="173"/>
      <c r="JO17" s="186">
        <f t="shared" si="89"/>
        <v>0</v>
      </c>
      <c r="JP17" s="185"/>
      <c r="JQ17" s="173"/>
      <c r="JR17" s="186">
        <f t="shared" si="90"/>
        <v>0</v>
      </c>
      <c r="JS17" s="185"/>
      <c r="JT17" s="173"/>
      <c r="JU17" s="186" t="str" cm="1">
        <f t="array" aca="1" ref="JU17"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7" s="187"/>
      <c r="JW17" s="173"/>
      <c r="JX17" s="186" t="str" cm="1">
        <f t="array" aca="1" ref="JX17"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7" s="185"/>
      <c r="JZ17" s="184"/>
      <c r="KA17" s="186" t="str" cm="1">
        <f t="array" aca="1" ref="KA17"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7" s="185"/>
      <c r="KC17" s="184"/>
      <c r="KD17" s="186" t="str" cm="1">
        <f t="array" aca="1" ref="KD17"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7" s="185"/>
      <c r="KF17" s="184"/>
    </row>
    <row r="18" spans="1:292" x14ac:dyDescent="0.3">
      <c r="A18" s="192">
        <f>[1]Reg!A18</f>
        <v>15</v>
      </c>
      <c r="B18" s="190">
        <f t="shared" si="0"/>
        <v>0</v>
      </c>
      <c r="C18" s="188"/>
      <c r="D18" s="173"/>
      <c r="E18" s="190">
        <f t="shared" si="1"/>
        <v>0</v>
      </c>
      <c r="F18" s="185"/>
      <c r="G18" s="173"/>
      <c r="H18" s="190">
        <f t="shared" si="2"/>
        <v>0</v>
      </c>
      <c r="I18" s="188"/>
      <c r="J18" s="173"/>
      <c r="K18" s="190">
        <f t="shared" si="3"/>
        <v>-89820</v>
      </c>
      <c r="L18" s="188">
        <v>400</v>
      </c>
      <c r="M18" s="173">
        <v>-224.55</v>
      </c>
      <c r="N18" s="190">
        <f t="shared" si="4"/>
        <v>0</v>
      </c>
      <c r="O18" s="188"/>
      <c r="P18" s="173"/>
      <c r="Q18" s="190">
        <f t="shared" si="5"/>
        <v>-70105</v>
      </c>
      <c r="R18" s="188">
        <v>100</v>
      </c>
      <c r="S18" s="173">
        <v>-701.05</v>
      </c>
      <c r="T18" s="189"/>
      <c r="U18" s="189"/>
      <c r="V18" s="189"/>
      <c r="W18" s="186">
        <f t="shared" si="6"/>
        <v>0</v>
      </c>
      <c r="X18" s="188"/>
      <c r="Y18" s="173"/>
      <c r="Z18" s="186">
        <f t="shared" si="7"/>
        <v>0</v>
      </c>
      <c r="AA18" s="188"/>
      <c r="AB18" s="173"/>
      <c r="AC18" s="186">
        <f t="shared" si="8"/>
        <v>0</v>
      </c>
      <c r="AD18" s="185"/>
      <c r="AE18" s="173"/>
      <c r="AF18" s="186">
        <f t="shared" si="9"/>
        <v>0</v>
      </c>
      <c r="AG18" s="185"/>
      <c r="AH18" s="173"/>
      <c r="AI18" s="186">
        <f t="shared" si="10"/>
        <v>0</v>
      </c>
      <c r="AJ18" s="185"/>
      <c r="AK18" s="173"/>
      <c r="AL18" s="186">
        <f t="shared" si="11"/>
        <v>0</v>
      </c>
      <c r="AM18" s="185"/>
      <c r="AN18" s="173"/>
      <c r="AO18" s="186">
        <f t="shared" si="12"/>
        <v>0</v>
      </c>
      <c r="AP18" s="185"/>
      <c r="AQ18" s="173"/>
      <c r="AR18" s="186">
        <f t="shared" si="13"/>
        <v>0</v>
      </c>
      <c r="AS18" s="185"/>
      <c r="AT18" s="173"/>
      <c r="AU18" s="186">
        <f t="shared" si="14"/>
        <v>0</v>
      </c>
      <c r="AV18" s="185"/>
      <c r="AW18" s="173"/>
      <c r="AX18" s="186">
        <f t="shared" si="15"/>
        <v>0</v>
      </c>
      <c r="AY18" s="185"/>
      <c r="AZ18" s="173"/>
      <c r="BA18" s="186">
        <f t="shared" si="16"/>
        <v>0</v>
      </c>
      <c r="BB18" s="185"/>
      <c r="BC18" s="173"/>
      <c r="BD18" s="186">
        <f t="shared" si="17"/>
        <v>0</v>
      </c>
      <c r="BE18" s="185"/>
      <c r="BF18" s="173"/>
      <c r="BG18" s="186">
        <f t="shared" si="18"/>
        <v>0</v>
      </c>
      <c r="BH18" s="185"/>
      <c r="BI18" s="173"/>
      <c r="BJ18" s="186">
        <f t="shared" si="19"/>
        <v>0</v>
      </c>
      <c r="BK18" s="185"/>
      <c r="BL18" s="173"/>
      <c r="BM18" s="186">
        <f t="shared" si="20"/>
        <v>0</v>
      </c>
      <c r="BN18" s="185"/>
      <c r="BO18" s="173"/>
      <c r="BP18" s="186">
        <f t="shared" si="21"/>
        <v>0</v>
      </c>
      <c r="BQ18" s="185"/>
      <c r="BR18" s="173"/>
      <c r="BS18" s="186">
        <f t="shared" si="22"/>
        <v>0</v>
      </c>
      <c r="BT18" s="185"/>
      <c r="BU18" s="173"/>
      <c r="BV18" s="186">
        <f t="shared" si="23"/>
        <v>0</v>
      </c>
      <c r="BW18" s="185"/>
      <c r="BX18" s="173"/>
      <c r="BY18" s="186">
        <f t="shared" si="24"/>
        <v>0</v>
      </c>
      <c r="BZ18" s="185"/>
      <c r="CA18" s="173"/>
      <c r="CB18" s="186">
        <f t="shared" si="25"/>
        <v>0</v>
      </c>
      <c r="CC18" s="185"/>
      <c r="CD18" s="173"/>
      <c r="CE18" s="186">
        <f t="shared" si="91"/>
        <v>0</v>
      </c>
      <c r="CF18" s="185"/>
      <c r="CG18" s="173"/>
      <c r="CH18" s="186">
        <f t="shared" si="92"/>
        <v>0</v>
      </c>
      <c r="CI18" s="188"/>
      <c r="CJ18" s="173"/>
      <c r="CK18" s="186">
        <f t="shared" si="27"/>
        <v>0</v>
      </c>
      <c r="CL18" s="185"/>
      <c r="CM18" s="173"/>
      <c r="CN18" s="186">
        <f t="shared" si="28"/>
        <v>0</v>
      </c>
      <c r="CO18" s="185"/>
      <c r="CP18" s="173"/>
      <c r="CQ18" s="186">
        <f t="shared" si="29"/>
        <v>0</v>
      </c>
      <c r="CR18" s="185"/>
      <c r="CS18" s="173"/>
      <c r="CT18" s="186">
        <f t="shared" si="30"/>
        <v>0</v>
      </c>
      <c r="CU18" s="188"/>
      <c r="CV18" s="173"/>
      <c r="CW18" s="186">
        <f t="shared" si="31"/>
        <v>0</v>
      </c>
      <c r="CX18" s="185"/>
      <c r="CY18" s="173"/>
      <c r="CZ18" s="186">
        <f t="shared" si="32"/>
        <v>0</v>
      </c>
      <c r="DA18" s="185"/>
      <c r="DB18" s="173"/>
      <c r="DC18" s="186">
        <f t="shared" si="33"/>
        <v>0</v>
      </c>
      <c r="DD18" s="185"/>
      <c r="DE18" s="173"/>
      <c r="DF18" s="186">
        <f t="shared" si="34"/>
        <v>0</v>
      </c>
      <c r="DG18" s="185"/>
      <c r="DH18" s="173"/>
      <c r="DI18" s="186">
        <f t="shared" si="35"/>
        <v>0</v>
      </c>
      <c r="DJ18" s="185"/>
      <c r="DK18" s="173"/>
      <c r="DL18" s="186">
        <f t="shared" si="36"/>
        <v>0</v>
      </c>
      <c r="DM18" s="185"/>
      <c r="DN18" s="173"/>
      <c r="DO18" s="186">
        <f t="shared" si="37"/>
        <v>0</v>
      </c>
      <c r="DP18" s="185"/>
      <c r="DQ18" s="173"/>
      <c r="DR18" s="186">
        <f t="shared" si="38"/>
        <v>0</v>
      </c>
      <c r="DS18" s="185"/>
      <c r="DT18" s="173"/>
      <c r="DU18" s="186">
        <f t="shared" si="39"/>
        <v>0</v>
      </c>
      <c r="DV18" s="185"/>
      <c r="DW18" s="173"/>
      <c r="DX18" s="186">
        <f t="shared" si="40"/>
        <v>0</v>
      </c>
      <c r="DY18" s="185"/>
      <c r="DZ18" s="173"/>
      <c r="EA18" s="186">
        <f t="shared" si="41"/>
        <v>0</v>
      </c>
      <c r="EB18" s="185"/>
      <c r="EC18" s="173"/>
      <c r="ED18" s="186">
        <f t="shared" si="42"/>
        <v>0</v>
      </c>
      <c r="EE18" s="185"/>
      <c r="EF18" s="173"/>
      <c r="EG18" s="186">
        <f t="shared" si="43"/>
        <v>0</v>
      </c>
      <c r="EH18" s="185"/>
      <c r="EI18" s="173"/>
      <c r="EJ18" s="186">
        <f t="shared" si="44"/>
        <v>0</v>
      </c>
      <c r="EK18" s="185"/>
      <c r="EL18" s="173"/>
      <c r="EM18" s="186">
        <f t="shared" si="45"/>
        <v>0</v>
      </c>
      <c r="EN18" s="185"/>
      <c r="EO18" s="173"/>
      <c r="EP18" s="186">
        <f t="shared" si="46"/>
        <v>0</v>
      </c>
      <c r="EQ18" s="185"/>
      <c r="ER18" s="173"/>
      <c r="ES18" s="186">
        <f t="shared" si="47"/>
        <v>0</v>
      </c>
      <c r="ET18" s="185"/>
      <c r="EU18" s="173"/>
      <c r="EV18" s="186">
        <f t="shared" si="48"/>
        <v>0</v>
      </c>
      <c r="EW18" s="185"/>
      <c r="EX18" s="184"/>
      <c r="EY18" s="186">
        <f t="shared" si="49"/>
        <v>0</v>
      </c>
      <c r="EZ18" s="185"/>
      <c r="FA18" s="184"/>
      <c r="FB18" s="186">
        <f t="shared" si="50"/>
        <v>0</v>
      </c>
      <c r="FC18" s="185"/>
      <c r="FD18" s="184"/>
      <c r="FE18" s="186">
        <f t="shared" si="51"/>
        <v>0</v>
      </c>
      <c r="FF18" s="185"/>
      <c r="FG18" s="173"/>
      <c r="FH18" s="186">
        <f t="shared" si="52"/>
        <v>0</v>
      </c>
      <c r="FI18" s="185"/>
      <c r="FJ18" s="173"/>
      <c r="FK18" s="186">
        <f t="shared" si="53"/>
        <v>0</v>
      </c>
      <c r="FL18" s="185"/>
      <c r="FM18" s="173"/>
      <c r="FN18" s="186">
        <f t="shared" si="54"/>
        <v>0</v>
      </c>
      <c r="FO18" s="185"/>
      <c r="FP18" s="173"/>
      <c r="FQ18" s="186">
        <f t="shared" si="55"/>
        <v>0</v>
      </c>
      <c r="FR18" s="185"/>
      <c r="FS18" s="173"/>
      <c r="FT18" s="186">
        <f t="shared" si="56"/>
        <v>0</v>
      </c>
      <c r="FU18" s="185"/>
      <c r="FV18" s="173"/>
      <c r="FW18" s="186">
        <f t="shared" si="57"/>
        <v>0</v>
      </c>
      <c r="FX18" s="185"/>
      <c r="FY18" s="173"/>
      <c r="FZ18" s="186">
        <f t="shared" si="58"/>
        <v>0</v>
      </c>
      <c r="GA18" s="185"/>
      <c r="GB18" s="173"/>
      <c r="GC18" s="186">
        <f t="shared" si="59"/>
        <v>0</v>
      </c>
      <c r="GD18" s="185"/>
      <c r="GE18" s="173"/>
      <c r="GF18" s="186">
        <f t="shared" si="60"/>
        <v>0</v>
      </c>
      <c r="GG18" s="185"/>
      <c r="GH18" s="173"/>
      <c r="GI18" s="186">
        <f t="shared" si="61"/>
        <v>0</v>
      </c>
      <c r="GJ18" s="185"/>
      <c r="GK18" s="173"/>
      <c r="GL18" s="186">
        <f t="shared" si="62"/>
        <v>0</v>
      </c>
      <c r="GM18" s="185"/>
      <c r="GN18" s="173"/>
      <c r="GO18" s="186">
        <f t="shared" si="63"/>
        <v>0</v>
      </c>
      <c r="GP18" s="185"/>
      <c r="GQ18" s="173"/>
      <c r="GR18" s="186">
        <f t="shared" si="64"/>
        <v>0</v>
      </c>
      <c r="GS18" s="185"/>
      <c r="GT18" s="173"/>
      <c r="GU18" s="186">
        <f t="shared" si="65"/>
        <v>0</v>
      </c>
      <c r="GV18" s="185"/>
      <c r="GW18" s="173"/>
      <c r="GX18" s="186">
        <f t="shared" si="66"/>
        <v>0</v>
      </c>
      <c r="GY18" s="185"/>
      <c r="GZ18" s="173"/>
      <c r="HA18" s="186">
        <f t="shared" si="67"/>
        <v>0</v>
      </c>
      <c r="HB18" s="185"/>
      <c r="HC18" s="173"/>
      <c r="HD18" s="186">
        <f t="shared" si="68"/>
        <v>0</v>
      </c>
      <c r="HE18" s="185"/>
      <c r="HF18" s="173"/>
      <c r="HG18" s="186">
        <f t="shared" si="69"/>
        <v>0</v>
      </c>
      <c r="HH18" s="185"/>
      <c r="HI18" s="173"/>
      <c r="HJ18" s="186">
        <f t="shared" si="70"/>
        <v>0</v>
      </c>
      <c r="HK18" s="185"/>
      <c r="HL18" s="173"/>
      <c r="HM18" s="186">
        <f t="shared" si="71"/>
        <v>0</v>
      </c>
      <c r="HN18" s="185"/>
      <c r="HO18" s="173"/>
      <c r="HP18" s="186">
        <f t="shared" si="72"/>
        <v>0</v>
      </c>
      <c r="HQ18" s="185"/>
      <c r="HR18" s="173"/>
      <c r="HS18" s="186">
        <f t="shared" si="73"/>
        <v>0</v>
      </c>
      <c r="HT18" s="185"/>
      <c r="HU18" s="173"/>
      <c r="HV18" s="186">
        <f t="shared" si="74"/>
        <v>0</v>
      </c>
      <c r="HW18" s="185"/>
      <c r="HX18" s="173"/>
      <c r="HY18" s="186">
        <f t="shared" si="75"/>
        <v>0</v>
      </c>
      <c r="HZ18" s="185"/>
      <c r="IA18" s="173"/>
      <c r="IB18" s="186">
        <f t="shared" si="76"/>
        <v>0</v>
      </c>
      <c r="IC18" s="185"/>
      <c r="ID18" s="173"/>
      <c r="IE18" s="186">
        <f t="shared" si="77"/>
        <v>0</v>
      </c>
      <c r="IF18" s="185"/>
      <c r="IG18" s="173"/>
      <c r="IH18" s="186">
        <f t="shared" si="78"/>
        <v>0</v>
      </c>
      <c r="II18" s="185"/>
      <c r="IJ18" s="173"/>
      <c r="IK18" s="186">
        <f t="shared" si="79"/>
        <v>0</v>
      </c>
      <c r="IL18" s="185"/>
      <c r="IM18" s="173"/>
      <c r="IN18" s="186">
        <f t="shared" si="80"/>
        <v>0</v>
      </c>
      <c r="IO18" s="185"/>
      <c r="IP18" s="173"/>
      <c r="IQ18" s="186">
        <f t="shared" si="81"/>
        <v>0</v>
      </c>
      <c r="IR18" s="185"/>
      <c r="IS18" s="173"/>
      <c r="IT18" s="186">
        <f t="shared" si="82"/>
        <v>0</v>
      </c>
      <c r="IU18" s="185"/>
      <c r="IV18" s="173"/>
      <c r="IW18" s="186">
        <f t="shared" si="83"/>
        <v>0</v>
      </c>
      <c r="IX18" s="185"/>
      <c r="IY18" s="173"/>
      <c r="IZ18" s="186">
        <f t="shared" si="84"/>
        <v>0</v>
      </c>
      <c r="JA18" s="185"/>
      <c r="JB18" s="173"/>
      <c r="JC18" s="186">
        <f t="shared" si="85"/>
        <v>0</v>
      </c>
      <c r="JD18" s="185"/>
      <c r="JE18" s="173"/>
      <c r="JF18" s="186">
        <f t="shared" si="86"/>
        <v>0</v>
      </c>
      <c r="JG18" s="185"/>
      <c r="JH18" s="173"/>
      <c r="JI18" s="186">
        <f t="shared" si="87"/>
        <v>0</v>
      </c>
      <c r="JJ18" s="185"/>
      <c r="JK18" s="173"/>
      <c r="JL18" s="186">
        <f t="shared" si="88"/>
        <v>0</v>
      </c>
      <c r="JM18" s="185"/>
      <c r="JN18" s="173"/>
      <c r="JO18" s="186">
        <f t="shared" si="89"/>
        <v>0</v>
      </c>
      <c r="JP18" s="185"/>
      <c r="JQ18" s="173"/>
      <c r="JR18" s="186">
        <f t="shared" si="90"/>
        <v>0</v>
      </c>
      <c r="JS18" s="185"/>
      <c r="JT18" s="173"/>
      <c r="JU18" s="186" t="str" cm="1">
        <f t="array" aca="1" ref="JU18"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8" s="187"/>
      <c r="JW18" s="173"/>
      <c r="JX18" s="186" t="str" cm="1">
        <f t="array" aca="1" ref="JX18"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8" s="185"/>
      <c r="JZ18" s="184"/>
      <c r="KA18" s="186" t="str" cm="1">
        <f t="array" aca="1" ref="KA18"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8" s="185"/>
      <c r="KC18" s="184"/>
      <c r="KD18" s="186" t="str" cm="1">
        <f t="array" aca="1" ref="KD18"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8" s="185"/>
      <c r="KF18" s="184"/>
    </row>
    <row r="19" spans="1:292" x14ac:dyDescent="0.3">
      <c r="A19" s="191">
        <f>[1]Reg!A19</f>
        <v>16</v>
      </c>
      <c r="B19" s="190">
        <f t="shared" si="0"/>
        <v>0</v>
      </c>
      <c r="C19" s="188"/>
      <c r="D19" s="173"/>
      <c r="E19" s="190">
        <f t="shared" si="1"/>
        <v>0</v>
      </c>
      <c r="F19" s="185"/>
      <c r="G19" s="173"/>
      <c r="H19" s="190">
        <f t="shared" si="2"/>
        <v>0</v>
      </c>
      <c r="I19" s="188"/>
      <c r="J19" s="173"/>
      <c r="K19" s="190">
        <f t="shared" si="3"/>
        <v>-57135</v>
      </c>
      <c r="L19" s="188">
        <v>250</v>
      </c>
      <c r="M19" s="173">
        <v>-228.54</v>
      </c>
      <c r="N19" s="190">
        <f t="shared" si="4"/>
        <v>0</v>
      </c>
      <c r="O19" s="185"/>
      <c r="P19" s="173"/>
      <c r="Q19" s="190">
        <f t="shared" si="5"/>
        <v>-141240</v>
      </c>
      <c r="R19" s="188">
        <v>200</v>
      </c>
      <c r="S19" s="173">
        <v>-706.2</v>
      </c>
      <c r="T19" s="189"/>
      <c r="U19" s="189"/>
      <c r="V19" s="189"/>
      <c r="W19" s="186">
        <f t="shared" si="6"/>
        <v>0</v>
      </c>
      <c r="X19" s="188"/>
      <c r="Y19" s="173"/>
      <c r="Z19" s="186">
        <f t="shared" si="7"/>
        <v>0</v>
      </c>
      <c r="AA19" s="188"/>
      <c r="AB19" s="173"/>
      <c r="AC19" s="186">
        <f t="shared" si="8"/>
        <v>0</v>
      </c>
      <c r="AD19" s="185"/>
      <c r="AE19" s="173"/>
      <c r="AF19" s="186">
        <f t="shared" si="9"/>
        <v>0</v>
      </c>
      <c r="AG19" s="185"/>
      <c r="AH19" s="173"/>
      <c r="AI19" s="186">
        <f t="shared" si="10"/>
        <v>0</v>
      </c>
      <c r="AJ19" s="185"/>
      <c r="AK19" s="173"/>
      <c r="AL19" s="186">
        <f t="shared" si="11"/>
        <v>0</v>
      </c>
      <c r="AM19" s="185"/>
      <c r="AN19" s="173"/>
      <c r="AO19" s="186">
        <f t="shared" si="12"/>
        <v>0</v>
      </c>
      <c r="AP19" s="185"/>
      <c r="AQ19" s="173"/>
      <c r="AR19" s="186">
        <f t="shared" si="13"/>
        <v>0</v>
      </c>
      <c r="AS19" s="185"/>
      <c r="AT19" s="173"/>
      <c r="AU19" s="186">
        <f t="shared" si="14"/>
        <v>0</v>
      </c>
      <c r="AV19" s="185"/>
      <c r="AW19" s="173"/>
      <c r="AX19" s="186">
        <f t="shared" si="15"/>
        <v>0</v>
      </c>
      <c r="AY19" s="185"/>
      <c r="AZ19" s="173"/>
      <c r="BA19" s="186">
        <f t="shared" si="16"/>
        <v>0</v>
      </c>
      <c r="BB19" s="185"/>
      <c r="BC19" s="173"/>
      <c r="BD19" s="186">
        <f t="shared" si="17"/>
        <v>0</v>
      </c>
      <c r="BE19" s="185"/>
      <c r="BF19" s="173"/>
      <c r="BG19" s="186">
        <f t="shared" si="18"/>
        <v>0</v>
      </c>
      <c r="BH19" s="185"/>
      <c r="BI19" s="173"/>
      <c r="BJ19" s="186">
        <f t="shared" si="19"/>
        <v>0</v>
      </c>
      <c r="BK19" s="185"/>
      <c r="BL19" s="173"/>
      <c r="BM19" s="186">
        <f t="shared" si="20"/>
        <v>0</v>
      </c>
      <c r="BN19" s="185"/>
      <c r="BO19" s="173"/>
      <c r="BP19" s="186">
        <f t="shared" si="21"/>
        <v>0</v>
      </c>
      <c r="BQ19" s="185"/>
      <c r="BR19" s="173"/>
      <c r="BS19" s="186">
        <f t="shared" si="22"/>
        <v>0</v>
      </c>
      <c r="BT19" s="185"/>
      <c r="BU19" s="173"/>
      <c r="BV19" s="186">
        <f t="shared" si="23"/>
        <v>0</v>
      </c>
      <c r="BW19" s="185"/>
      <c r="BX19" s="173"/>
      <c r="BY19" s="186">
        <f t="shared" si="24"/>
        <v>0</v>
      </c>
      <c r="BZ19" s="185"/>
      <c r="CA19" s="173"/>
      <c r="CB19" s="186">
        <f t="shared" si="25"/>
        <v>0</v>
      </c>
      <c r="CC19" s="185"/>
      <c r="CD19" s="173"/>
      <c r="CE19" s="186">
        <f t="shared" si="91"/>
        <v>0</v>
      </c>
      <c r="CF19" s="185"/>
      <c r="CG19" s="173"/>
      <c r="CH19" s="186">
        <f t="shared" si="92"/>
        <v>0</v>
      </c>
      <c r="CI19" s="185"/>
      <c r="CJ19" s="173"/>
      <c r="CK19" s="186">
        <f t="shared" si="27"/>
        <v>0</v>
      </c>
      <c r="CL19" s="185"/>
      <c r="CM19" s="173"/>
      <c r="CN19" s="186">
        <f t="shared" si="28"/>
        <v>0</v>
      </c>
      <c r="CO19" s="185"/>
      <c r="CP19" s="173"/>
      <c r="CQ19" s="186">
        <f t="shared" si="29"/>
        <v>0</v>
      </c>
      <c r="CR19" s="185"/>
      <c r="CS19" s="173"/>
      <c r="CT19" s="186">
        <f t="shared" si="30"/>
        <v>0</v>
      </c>
      <c r="CU19" s="185"/>
      <c r="CV19" s="173"/>
      <c r="CW19" s="186">
        <f t="shared" si="31"/>
        <v>0</v>
      </c>
      <c r="CX19" s="185"/>
      <c r="CY19" s="173"/>
      <c r="CZ19" s="186">
        <f t="shared" si="32"/>
        <v>0</v>
      </c>
      <c r="DA19" s="185"/>
      <c r="DB19" s="173"/>
      <c r="DC19" s="186">
        <f t="shared" si="33"/>
        <v>0</v>
      </c>
      <c r="DD19" s="185"/>
      <c r="DE19" s="173"/>
      <c r="DF19" s="186">
        <f t="shared" si="34"/>
        <v>0</v>
      </c>
      <c r="DG19" s="185"/>
      <c r="DH19" s="173"/>
      <c r="DI19" s="186">
        <f t="shared" si="35"/>
        <v>0</v>
      </c>
      <c r="DJ19" s="185"/>
      <c r="DK19" s="173"/>
      <c r="DL19" s="186">
        <f t="shared" si="36"/>
        <v>0</v>
      </c>
      <c r="DM19" s="185"/>
      <c r="DN19" s="173"/>
      <c r="DO19" s="186">
        <f t="shared" si="37"/>
        <v>0</v>
      </c>
      <c r="DP19" s="185"/>
      <c r="DQ19" s="173"/>
      <c r="DR19" s="186">
        <f t="shared" si="38"/>
        <v>0</v>
      </c>
      <c r="DS19" s="185"/>
      <c r="DT19" s="173"/>
      <c r="DU19" s="186">
        <f t="shared" si="39"/>
        <v>0</v>
      </c>
      <c r="DV19" s="185"/>
      <c r="DW19" s="173"/>
      <c r="DX19" s="186">
        <f t="shared" si="40"/>
        <v>0</v>
      </c>
      <c r="DY19" s="185"/>
      <c r="DZ19" s="173"/>
      <c r="EA19" s="186">
        <f t="shared" si="41"/>
        <v>0</v>
      </c>
      <c r="EB19" s="185"/>
      <c r="EC19" s="173"/>
      <c r="ED19" s="186">
        <f t="shared" si="42"/>
        <v>0</v>
      </c>
      <c r="EE19" s="185"/>
      <c r="EF19" s="173"/>
      <c r="EG19" s="186">
        <f t="shared" si="43"/>
        <v>0</v>
      </c>
      <c r="EH19" s="185"/>
      <c r="EI19" s="173"/>
      <c r="EJ19" s="186">
        <f t="shared" si="44"/>
        <v>0</v>
      </c>
      <c r="EK19" s="185"/>
      <c r="EL19" s="173"/>
      <c r="EM19" s="186">
        <f t="shared" si="45"/>
        <v>0</v>
      </c>
      <c r="EN19" s="185"/>
      <c r="EO19" s="173"/>
      <c r="EP19" s="186">
        <f t="shared" si="46"/>
        <v>0</v>
      </c>
      <c r="EQ19" s="185"/>
      <c r="ER19" s="173"/>
      <c r="ES19" s="186">
        <f t="shared" si="47"/>
        <v>0</v>
      </c>
      <c r="ET19" s="185"/>
      <c r="EU19" s="173"/>
      <c r="EV19" s="186">
        <f t="shared" si="48"/>
        <v>0</v>
      </c>
      <c r="EW19" s="185"/>
      <c r="EX19" s="184"/>
      <c r="EY19" s="186">
        <f t="shared" si="49"/>
        <v>0</v>
      </c>
      <c r="EZ19" s="185"/>
      <c r="FA19" s="184"/>
      <c r="FB19" s="186">
        <f t="shared" si="50"/>
        <v>0</v>
      </c>
      <c r="FC19" s="185"/>
      <c r="FD19" s="184"/>
      <c r="FE19" s="186">
        <f t="shared" si="51"/>
        <v>0</v>
      </c>
      <c r="FF19" s="185"/>
      <c r="FG19" s="173"/>
      <c r="FH19" s="186">
        <f t="shared" si="52"/>
        <v>0</v>
      </c>
      <c r="FI19" s="185"/>
      <c r="FJ19" s="173"/>
      <c r="FK19" s="186">
        <f t="shared" si="53"/>
        <v>0</v>
      </c>
      <c r="FL19" s="185"/>
      <c r="FM19" s="173"/>
      <c r="FN19" s="186">
        <f t="shared" si="54"/>
        <v>0</v>
      </c>
      <c r="FO19" s="185"/>
      <c r="FP19" s="173"/>
      <c r="FQ19" s="186">
        <f t="shared" si="55"/>
        <v>0</v>
      </c>
      <c r="FR19" s="185"/>
      <c r="FS19" s="173"/>
      <c r="FT19" s="186">
        <f t="shared" si="56"/>
        <v>0</v>
      </c>
      <c r="FU19" s="185"/>
      <c r="FV19" s="173"/>
      <c r="FW19" s="186">
        <f t="shared" si="57"/>
        <v>0</v>
      </c>
      <c r="FX19" s="185"/>
      <c r="FY19" s="173"/>
      <c r="FZ19" s="186">
        <f t="shared" si="58"/>
        <v>0</v>
      </c>
      <c r="GA19" s="185"/>
      <c r="GB19" s="173"/>
      <c r="GC19" s="186">
        <f t="shared" si="59"/>
        <v>0</v>
      </c>
      <c r="GD19" s="185"/>
      <c r="GE19" s="173"/>
      <c r="GF19" s="186">
        <f t="shared" si="60"/>
        <v>0</v>
      </c>
      <c r="GG19" s="185"/>
      <c r="GH19" s="173"/>
      <c r="GI19" s="186">
        <f t="shared" si="61"/>
        <v>0</v>
      </c>
      <c r="GJ19" s="185"/>
      <c r="GK19" s="173"/>
      <c r="GL19" s="186">
        <f t="shared" si="62"/>
        <v>0</v>
      </c>
      <c r="GM19" s="185"/>
      <c r="GN19" s="173"/>
      <c r="GO19" s="186">
        <f t="shared" si="63"/>
        <v>0</v>
      </c>
      <c r="GP19" s="185"/>
      <c r="GQ19" s="173"/>
      <c r="GR19" s="186">
        <f t="shared" si="64"/>
        <v>0</v>
      </c>
      <c r="GS19" s="185"/>
      <c r="GT19" s="173"/>
      <c r="GU19" s="186">
        <f t="shared" si="65"/>
        <v>0</v>
      </c>
      <c r="GV19" s="185"/>
      <c r="GW19" s="173"/>
      <c r="GX19" s="186">
        <f t="shared" si="66"/>
        <v>0</v>
      </c>
      <c r="GY19" s="185"/>
      <c r="GZ19" s="173"/>
      <c r="HA19" s="186">
        <f t="shared" si="67"/>
        <v>0</v>
      </c>
      <c r="HB19" s="185"/>
      <c r="HC19" s="173"/>
      <c r="HD19" s="186">
        <f t="shared" si="68"/>
        <v>0</v>
      </c>
      <c r="HE19" s="185"/>
      <c r="HF19" s="173"/>
      <c r="HG19" s="186">
        <f t="shared" si="69"/>
        <v>0</v>
      </c>
      <c r="HH19" s="185"/>
      <c r="HI19" s="173"/>
      <c r="HJ19" s="186">
        <f t="shared" si="70"/>
        <v>0</v>
      </c>
      <c r="HK19" s="185"/>
      <c r="HL19" s="173"/>
      <c r="HM19" s="186">
        <f t="shared" si="71"/>
        <v>0</v>
      </c>
      <c r="HN19" s="185"/>
      <c r="HO19" s="173"/>
      <c r="HP19" s="186">
        <f t="shared" si="72"/>
        <v>0</v>
      </c>
      <c r="HQ19" s="185"/>
      <c r="HR19" s="173"/>
      <c r="HS19" s="186">
        <f t="shared" si="73"/>
        <v>0</v>
      </c>
      <c r="HT19" s="185"/>
      <c r="HU19" s="173"/>
      <c r="HV19" s="186">
        <f t="shared" si="74"/>
        <v>0</v>
      </c>
      <c r="HW19" s="185"/>
      <c r="HX19" s="173"/>
      <c r="HY19" s="186">
        <f t="shared" si="75"/>
        <v>0</v>
      </c>
      <c r="HZ19" s="185"/>
      <c r="IA19" s="173"/>
      <c r="IB19" s="186">
        <f t="shared" si="76"/>
        <v>0</v>
      </c>
      <c r="IC19" s="185"/>
      <c r="ID19" s="173"/>
      <c r="IE19" s="186">
        <f t="shared" si="77"/>
        <v>0</v>
      </c>
      <c r="IF19" s="185"/>
      <c r="IG19" s="173"/>
      <c r="IH19" s="186">
        <f t="shared" si="78"/>
        <v>0</v>
      </c>
      <c r="II19" s="185"/>
      <c r="IJ19" s="173"/>
      <c r="IK19" s="186">
        <f t="shared" si="79"/>
        <v>0</v>
      </c>
      <c r="IL19" s="185"/>
      <c r="IM19" s="173"/>
      <c r="IN19" s="186">
        <f t="shared" si="80"/>
        <v>0</v>
      </c>
      <c r="IO19" s="185"/>
      <c r="IP19" s="173"/>
      <c r="IQ19" s="186">
        <f t="shared" si="81"/>
        <v>0</v>
      </c>
      <c r="IR19" s="185"/>
      <c r="IS19" s="173"/>
      <c r="IT19" s="186">
        <f t="shared" si="82"/>
        <v>0</v>
      </c>
      <c r="IU19" s="185"/>
      <c r="IV19" s="173"/>
      <c r="IW19" s="186">
        <f t="shared" si="83"/>
        <v>0</v>
      </c>
      <c r="IX19" s="185"/>
      <c r="IY19" s="173"/>
      <c r="IZ19" s="186">
        <f t="shared" si="84"/>
        <v>0</v>
      </c>
      <c r="JA19" s="185"/>
      <c r="JB19" s="173"/>
      <c r="JC19" s="186">
        <f t="shared" si="85"/>
        <v>0</v>
      </c>
      <c r="JD19" s="185"/>
      <c r="JE19" s="173"/>
      <c r="JF19" s="186">
        <f t="shared" si="86"/>
        <v>0</v>
      </c>
      <c r="JG19" s="185"/>
      <c r="JH19" s="173"/>
      <c r="JI19" s="186"/>
      <c r="JJ19" s="185"/>
      <c r="JK19" s="173"/>
      <c r="JL19" s="186">
        <f t="shared" si="88"/>
        <v>0</v>
      </c>
      <c r="JM19" s="185"/>
      <c r="JN19" s="173"/>
      <c r="JO19" s="186">
        <f t="shared" si="89"/>
        <v>0</v>
      </c>
      <c r="JP19" s="185"/>
      <c r="JQ19" s="173"/>
      <c r="JR19" s="186">
        <f t="shared" si="90"/>
        <v>0</v>
      </c>
      <c r="JS19" s="185"/>
      <c r="JT19" s="173"/>
      <c r="JU19" s="186" t="str" cm="1">
        <f t="array" aca="1" ref="JU19"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9" s="187"/>
      <c r="JW19" s="173"/>
      <c r="JX19" s="186" t="str" cm="1">
        <f t="array" aca="1" ref="JX19"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9" s="185"/>
      <c r="JZ19" s="184"/>
      <c r="KA19" s="186" t="str" cm="1">
        <f t="array" aca="1" ref="KA19"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9" s="185"/>
      <c r="KC19" s="184"/>
      <c r="KD19" s="186" t="str" cm="1">
        <f t="array" aca="1" ref="KD19"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9" s="185"/>
      <c r="KF19" s="184"/>
    </row>
    <row r="20" spans="1:292" x14ac:dyDescent="0.3">
      <c r="A20" s="192">
        <f>[1]Reg!A20</f>
        <v>17</v>
      </c>
      <c r="B20" s="190">
        <f t="shared" si="0"/>
        <v>0</v>
      </c>
      <c r="C20" s="188"/>
      <c r="D20" s="173"/>
      <c r="E20" s="190">
        <f t="shared" si="1"/>
        <v>0</v>
      </c>
      <c r="F20" s="185"/>
      <c r="G20" s="173"/>
      <c r="H20" s="190">
        <f t="shared" si="2"/>
        <v>0</v>
      </c>
      <c r="I20" s="188"/>
      <c r="J20" s="173"/>
      <c r="K20" s="190">
        <f t="shared" si="3"/>
        <v>-91580</v>
      </c>
      <c r="L20" s="188">
        <v>400</v>
      </c>
      <c r="M20" s="173">
        <v>-228.95</v>
      </c>
      <c r="N20" s="190">
        <f t="shared" si="4"/>
        <v>0</v>
      </c>
      <c r="O20" s="185"/>
      <c r="P20" s="173"/>
      <c r="Q20" s="190">
        <f t="shared" si="5"/>
        <v>-70660</v>
      </c>
      <c r="R20" s="188">
        <v>100</v>
      </c>
      <c r="S20" s="173">
        <v>-706.6</v>
      </c>
      <c r="T20" s="189"/>
      <c r="U20" s="189"/>
      <c r="V20" s="189"/>
      <c r="W20" s="186">
        <f t="shared" si="6"/>
        <v>0</v>
      </c>
      <c r="X20" s="188"/>
      <c r="Y20" s="173"/>
      <c r="Z20" s="186">
        <f t="shared" si="7"/>
        <v>0</v>
      </c>
      <c r="AA20" s="188"/>
      <c r="AB20" s="173"/>
      <c r="AC20" s="186">
        <f t="shared" si="8"/>
        <v>0</v>
      </c>
      <c r="AD20" s="185"/>
      <c r="AE20" s="173"/>
      <c r="AF20" s="186">
        <f t="shared" si="9"/>
        <v>0</v>
      </c>
      <c r="AG20" s="185"/>
      <c r="AH20" s="173"/>
      <c r="AI20" s="186">
        <f t="shared" si="10"/>
        <v>0</v>
      </c>
      <c r="AJ20" s="185"/>
      <c r="AK20" s="173"/>
      <c r="AL20" s="186">
        <f t="shared" si="11"/>
        <v>0</v>
      </c>
      <c r="AM20" s="185"/>
      <c r="AN20" s="173"/>
      <c r="AO20" s="186">
        <f t="shared" si="12"/>
        <v>0</v>
      </c>
      <c r="AP20" s="185"/>
      <c r="AQ20" s="173"/>
      <c r="AR20" s="186">
        <f t="shared" si="13"/>
        <v>0</v>
      </c>
      <c r="AS20" s="185"/>
      <c r="AT20" s="173"/>
      <c r="AU20" s="186">
        <f t="shared" si="14"/>
        <v>0</v>
      </c>
      <c r="AV20" s="185"/>
      <c r="AW20" s="173"/>
      <c r="AX20" s="186">
        <f t="shared" si="15"/>
        <v>0</v>
      </c>
      <c r="AY20" s="185"/>
      <c r="AZ20" s="173"/>
      <c r="BA20" s="186">
        <f t="shared" si="16"/>
        <v>0</v>
      </c>
      <c r="BB20" s="185"/>
      <c r="BC20" s="173"/>
      <c r="BD20" s="186">
        <f t="shared" si="17"/>
        <v>0</v>
      </c>
      <c r="BE20" s="185"/>
      <c r="BF20" s="173"/>
      <c r="BG20" s="186">
        <f t="shared" si="18"/>
        <v>0</v>
      </c>
      <c r="BH20" s="185"/>
      <c r="BI20" s="173"/>
      <c r="BJ20" s="186">
        <f t="shared" si="19"/>
        <v>0</v>
      </c>
      <c r="BK20" s="185"/>
      <c r="BL20" s="173"/>
      <c r="BM20" s="186">
        <f t="shared" si="20"/>
        <v>0</v>
      </c>
      <c r="BN20" s="185"/>
      <c r="BO20" s="173"/>
      <c r="BP20" s="186">
        <f t="shared" si="21"/>
        <v>0</v>
      </c>
      <c r="BQ20" s="185"/>
      <c r="BR20" s="173"/>
      <c r="BS20" s="186">
        <f t="shared" si="22"/>
        <v>0</v>
      </c>
      <c r="BT20" s="185"/>
      <c r="BU20" s="173"/>
      <c r="BV20" s="186">
        <f t="shared" si="23"/>
        <v>0</v>
      </c>
      <c r="BW20" s="185"/>
      <c r="BX20" s="173"/>
      <c r="BY20" s="186">
        <f t="shared" si="24"/>
        <v>0</v>
      </c>
      <c r="BZ20" s="185"/>
      <c r="CA20" s="173"/>
      <c r="CB20" s="186">
        <f t="shared" si="25"/>
        <v>0</v>
      </c>
      <c r="CC20" s="185"/>
      <c r="CD20" s="173"/>
      <c r="CE20" s="186">
        <f t="shared" si="91"/>
        <v>0</v>
      </c>
      <c r="CF20" s="185"/>
      <c r="CG20" s="173"/>
      <c r="CH20" s="186">
        <f t="shared" si="92"/>
        <v>0</v>
      </c>
      <c r="CI20" s="185"/>
      <c r="CJ20" s="173"/>
      <c r="CK20" s="186">
        <f t="shared" si="27"/>
        <v>0</v>
      </c>
      <c r="CL20" s="185"/>
      <c r="CM20" s="173"/>
      <c r="CN20" s="186">
        <f t="shared" si="28"/>
        <v>0</v>
      </c>
      <c r="CO20" s="185"/>
      <c r="CP20" s="173"/>
      <c r="CQ20" s="186">
        <f t="shared" si="29"/>
        <v>0</v>
      </c>
      <c r="CR20" s="185"/>
      <c r="CS20" s="173"/>
      <c r="CT20" s="186">
        <f t="shared" si="30"/>
        <v>0</v>
      </c>
      <c r="CU20" s="185"/>
      <c r="CV20" s="173"/>
      <c r="CW20" s="186">
        <f t="shared" si="31"/>
        <v>0</v>
      </c>
      <c r="CX20" s="185"/>
      <c r="CY20" s="173"/>
      <c r="CZ20" s="186">
        <f t="shared" si="32"/>
        <v>0</v>
      </c>
      <c r="DA20" s="185"/>
      <c r="DB20" s="173"/>
      <c r="DC20" s="186">
        <f t="shared" si="33"/>
        <v>0</v>
      </c>
      <c r="DD20" s="185"/>
      <c r="DE20" s="173"/>
      <c r="DF20" s="186">
        <f t="shared" si="34"/>
        <v>0</v>
      </c>
      <c r="DG20" s="185"/>
      <c r="DH20" s="173"/>
      <c r="DI20" s="186">
        <f t="shared" si="35"/>
        <v>0</v>
      </c>
      <c r="DJ20" s="185"/>
      <c r="DK20" s="173"/>
      <c r="DL20" s="186">
        <f t="shared" si="36"/>
        <v>0</v>
      </c>
      <c r="DM20" s="185"/>
      <c r="DN20" s="173"/>
      <c r="DO20" s="186">
        <f t="shared" si="37"/>
        <v>0</v>
      </c>
      <c r="DP20" s="185"/>
      <c r="DQ20" s="173"/>
      <c r="DR20" s="186">
        <f t="shared" si="38"/>
        <v>0</v>
      </c>
      <c r="DS20" s="185"/>
      <c r="DT20" s="173"/>
      <c r="DU20" s="186">
        <f t="shared" si="39"/>
        <v>0</v>
      </c>
      <c r="DV20" s="185"/>
      <c r="DW20" s="173"/>
      <c r="DX20" s="186">
        <f t="shared" si="40"/>
        <v>0</v>
      </c>
      <c r="DY20" s="185"/>
      <c r="DZ20" s="173"/>
      <c r="EA20" s="186">
        <f t="shared" si="41"/>
        <v>0</v>
      </c>
      <c r="EB20" s="185"/>
      <c r="EC20" s="173"/>
      <c r="ED20" s="186">
        <f t="shared" si="42"/>
        <v>0</v>
      </c>
      <c r="EE20" s="185"/>
      <c r="EF20" s="173"/>
      <c r="EG20" s="186">
        <f t="shared" si="43"/>
        <v>0</v>
      </c>
      <c r="EH20" s="185"/>
      <c r="EI20" s="173"/>
      <c r="EJ20" s="186">
        <f t="shared" si="44"/>
        <v>0</v>
      </c>
      <c r="EK20" s="185"/>
      <c r="EL20" s="173"/>
      <c r="EM20" s="186">
        <f t="shared" si="45"/>
        <v>0</v>
      </c>
      <c r="EN20" s="185"/>
      <c r="EO20" s="173"/>
      <c r="EP20" s="186">
        <f t="shared" si="46"/>
        <v>0</v>
      </c>
      <c r="EQ20" s="185"/>
      <c r="ER20" s="173"/>
      <c r="ES20" s="186">
        <f t="shared" si="47"/>
        <v>0</v>
      </c>
      <c r="ET20" s="185"/>
      <c r="EU20" s="173"/>
      <c r="EV20" s="186">
        <f t="shared" si="48"/>
        <v>0</v>
      </c>
      <c r="EW20" s="185"/>
      <c r="EX20" s="184"/>
      <c r="EY20" s="186">
        <f t="shared" si="49"/>
        <v>0</v>
      </c>
      <c r="EZ20" s="185"/>
      <c r="FA20" s="184"/>
      <c r="FB20" s="186">
        <f t="shared" si="50"/>
        <v>0</v>
      </c>
      <c r="FC20" s="185"/>
      <c r="FD20" s="184"/>
      <c r="FE20" s="186">
        <f t="shared" si="51"/>
        <v>0</v>
      </c>
      <c r="FF20" s="185"/>
      <c r="FG20" s="173"/>
      <c r="FH20" s="186">
        <f t="shared" si="52"/>
        <v>0</v>
      </c>
      <c r="FI20" s="185"/>
      <c r="FJ20" s="173"/>
      <c r="FK20" s="186">
        <f t="shared" si="53"/>
        <v>0</v>
      </c>
      <c r="FL20" s="185"/>
      <c r="FM20" s="173"/>
      <c r="FN20" s="186">
        <f t="shared" si="54"/>
        <v>0</v>
      </c>
      <c r="FO20" s="185"/>
      <c r="FP20" s="173"/>
      <c r="FQ20" s="186">
        <f t="shared" si="55"/>
        <v>0</v>
      </c>
      <c r="FR20" s="185"/>
      <c r="FS20" s="173"/>
      <c r="FT20" s="186">
        <f t="shared" si="56"/>
        <v>0</v>
      </c>
      <c r="FU20" s="185"/>
      <c r="FV20" s="173"/>
      <c r="FW20" s="186">
        <f t="shared" si="57"/>
        <v>0</v>
      </c>
      <c r="FX20" s="185"/>
      <c r="FY20" s="173"/>
      <c r="FZ20" s="186">
        <f t="shared" si="58"/>
        <v>0</v>
      </c>
      <c r="GA20" s="185"/>
      <c r="GB20" s="173"/>
      <c r="GC20" s="186">
        <f t="shared" si="59"/>
        <v>0</v>
      </c>
      <c r="GD20" s="185"/>
      <c r="GE20" s="173"/>
      <c r="GF20" s="186">
        <f t="shared" si="60"/>
        <v>0</v>
      </c>
      <c r="GG20" s="185"/>
      <c r="GH20" s="173"/>
      <c r="GI20" s="186">
        <f t="shared" si="61"/>
        <v>0</v>
      </c>
      <c r="GJ20" s="185"/>
      <c r="GK20" s="173"/>
      <c r="GL20" s="186">
        <f t="shared" si="62"/>
        <v>0</v>
      </c>
      <c r="GM20" s="185"/>
      <c r="GN20" s="173"/>
      <c r="GO20" s="186">
        <f t="shared" si="63"/>
        <v>0</v>
      </c>
      <c r="GP20" s="185"/>
      <c r="GQ20" s="173"/>
      <c r="GR20" s="186">
        <f t="shared" si="64"/>
        <v>0</v>
      </c>
      <c r="GS20" s="185"/>
      <c r="GT20" s="173"/>
      <c r="GU20" s="186">
        <f t="shared" si="65"/>
        <v>0</v>
      </c>
      <c r="GV20" s="185"/>
      <c r="GW20" s="173"/>
      <c r="GX20" s="186">
        <f t="shared" si="66"/>
        <v>0</v>
      </c>
      <c r="GY20" s="185"/>
      <c r="GZ20" s="173"/>
      <c r="HA20" s="186">
        <f t="shared" si="67"/>
        <v>0</v>
      </c>
      <c r="HB20" s="185"/>
      <c r="HC20" s="173"/>
      <c r="HD20" s="186">
        <f t="shared" si="68"/>
        <v>0</v>
      </c>
      <c r="HE20" s="185"/>
      <c r="HF20" s="173"/>
      <c r="HG20" s="186">
        <f t="shared" si="69"/>
        <v>0</v>
      </c>
      <c r="HH20" s="185"/>
      <c r="HI20" s="173"/>
      <c r="HJ20" s="186">
        <f t="shared" si="70"/>
        <v>0</v>
      </c>
      <c r="HK20" s="185"/>
      <c r="HL20" s="173"/>
      <c r="HM20" s="186">
        <f t="shared" si="71"/>
        <v>0</v>
      </c>
      <c r="HN20" s="185"/>
      <c r="HO20" s="173"/>
      <c r="HP20" s="186">
        <f t="shared" si="72"/>
        <v>0</v>
      </c>
      <c r="HQ20" s="185"/>
      <c r="HR20" s="173"/>
      <c r="HS20" s="186">
        <f t="shared" si="73"/>
        <v>0</v>
      </c>
      <c r="HT20" s="185"/>
      <c r="HU20" s="173"/>
      <c r="HV20" s="186">
        <f t="shared" si="74"/>
        <v>0</v>
      </c>
      <c r="HW20" s="185"/>
      <c r="HX20" s="173"/>
      <c r="HY20" s="186">
        <f t="shared" si="75"/>
        <v>0</v>
      </c>
      <c r="HZ20" s="185"/>
      <c r="IA20" s="173"/>
      <c r="IB20" s="186">
        <f t="shared" si="76"/>
        <v>0</v>
      </c>
      <c r="IC20" s="185"/>
      <c r="ID20" s="173"/>
      <c r="IE20" s="186">
        <f t="shared" si="77"/>
        <v>0</v>
      </c>
      <c r="IF20" s="185"/>
      <c r="IG20" s="173"/>
      <c r="IH20" s="186">
        <f t="shared" si="78"/>
        <v>0</v>
      </c>
      <c r="II20" s="185"/>
      <c r="IJ20" s="173"/>
      <c r="IK20" s="186">
        <f t="shared" si="79"/>
        <v>0</v>
      </c>
      <c r="IL20" s="185"/>
      <c r="IM20" s="173"/>
      <c r="IN20" s="186">
        <f t="shared" si="80"/>
        <v>0</v>
      </c>
      <c r="IO20" s="185"/>
      <c r="IP20" s="173"/>
      <c r="IQ20" s="186">
        <f t="shared" si="81"/>
        <v>0</v>
      </c>
      <c r="IR20" s="185"/>
      <c r="IS20" s="173"/>
      <c r="IT20" s="186">
        <f t="shared" si="82"/>
        <v>0</v>
      </c>
      <c r="IU20" s="185"/>
      <c r="IV20" s="173"/>
      <c r="IW20" s="186">
        <f t="shared" si="83"/>
        <v>0</v>
      </c>
      <c r="IX20" s="185"/>
      <c r="IY20" s="173"/>
      <c r="IZ20" s="186">
        <f t="shared" si="84"/>
        <v>0</v>
      </c>
      <c r="JA20" s="185"/>
      <c r="JB20" s="173"/>
      <c r="JC20" s="186">
        <f t="shared" si="85"/>
        <v>0</v>
      </c>
      <c r="JD20" s="185"/>
      <c r="JE20" s="173"/>
      <c r="JF20" s="186">
        <f t="shared" si="86"/>
        <v>0</v>
      </c>
      <c r="JG20" s="185"/>
      <c r="JH20" s="173"/>
      <c r="JI20" s="186"/>
      <c r="JJ20" s="185"/>
      <c r="JK20" s="173"/>
      <c r="JL20" s="186">
        <f t="shared" si="88"/>
        <v>0</v>
      </c>
      <c r="JM20" s="185"/>
      <c r="JN20" s="173"/>
      <c r="JO20" s="186">
        <f t="shared" si="89"/>
        <v>0</v>
      </c>
      <c r="JP20" s="185"/>
      <c r="JQ20" s="173"/>
      <c r="JR20" s="186">
        <f t="shared" si="90"/>
        <v>0</v>
      </c>
      <c r="JS20" s="185"/>
      <c r="JT20" s="173"/>
      <c r="JU20" s="186" t="str" cm="1">
        <f t="array" aca="1" ref="JU20"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0" s="187"/>
      <c r="JW20" s="173"/>
      <c r="JX20" s="186" t="str" cm="1">
        <f t="array" aca="1" ref="JX20"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0" s="185"/>
      <c r="JZ20" s="184"/>
      <c r="KA20" s="186" t="str" cm="1">
        <f t="array" aca="1" ref="KA20"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0" s="185"/>
      <c r="KC20" s="184"/>
      <c r="KD20" s="186" t="str" cm="1">
        <f t="array" aca="1" ref="KD20"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0" s="185"/>
      <c r="KF20" s="184"/>
    </row>
    <row r="21" spans="1:292" x14ac:dyDescent="0.3">
      <c r="A21" s="191">
        <f>[1]Reg!A21</f>
        <v>18</v>
      </c>
      <c r="B21" s="190">
        <f t="shared" si="0"/>
        <v>0</v>
      </c>
      <c r="C21" s="188"/>
      <c r="D21" s="173"/>
      <c r="E21" s="190">
        <f t="shared" si="1"/>
        <v>0</v>
      </c>
      <c r="F21" s="185"/>
      <c r="G21" s="173"/>
      <c r="H21" s="190">
        <f t="shared" si="2"/>
        <v>0</v>
      </c>
      <c r="I21" s="188"/>
      <c r="J21" s="173"/>
      <c r="K21" s="190">
        <f t="shared" si="3"/>
        <v>0</v>
      </c>
      <c r="L21" s="188"/>
      <c r="M21" s="173"/>
      <c r="N21" s="190">
        <f t="shared" si="4"/>
        <v>0</v>
      </c>
      <c r="O21" s="185"/>
      <c r="P21" s="173"/>
      <c r="Q21" s="190">
        <f t="shared" si="5"/>
        <v>-71555</v>
      </c>
      <c r="R21" s="188">
        <v>100</v>
      </c>
      <c r="S21" s="173">
        <v>-715.55</v>
      </c>
      <c r="T21" s="189"/>
      <c r="U21" s="189"/>
      <c r="V21" s="189"/>
      <c r="W21" s="186">
        <f t="shared" si="6"/>
        <v>0</v>
      </c>
      <c r="X21" s="188"/>
      <c r="Y21" s="173"/>
      <c r="Z21" s="186">
        <f t="shared" si="7"/>
        <v>0</v>
      </c>
      <c r="AA21" s="188"/>
      <c r="AB21" s="173"/>
      <c r="AC21" s="186">
        <f t="shared" si="8"/>
        <v>0</v>
      </c>
      <c r="AD21" s="185"/>
      <c r="AE21" s="173"/>
      <c r="AF21" s="186">
        <f t="shared" si="9"/>
        <v>0</v>
      </c>
      <c r="AG21" s="185"/>
      <c r="AH21" s="173"/>
      <c r="AI21" s="186">
        <f t="shared" si="10"/>
        <v>0</v>
      </c>
      <c r="AJ21" s="185"/>
      <c r="AK21" s="173"/>
      <c r="AL21" s="186">
        <f t="shared" si="11"/>
        <v>0</v>
      </c>
      <c r="AM21" s="185"/>
      <c r="AN21" s="173"/>
      <c r="AO21" s="186">
        <f t="shared" si="12"/>
        <v>0</v>
      </c>
      <c r="AP21" s="185"/>
      <c r="AQ21" s="173"/>
      <c r="AR21" s="186">
        <f t="shared" si="13"/>
        <v>0</v>
      </c>
      <c r="AS21" s="185"/>
      <c r="AT21" s="173"/>
      <c r="AU21" s="186">
        <f t="shared" si="14"/>
        <v>0</v>
      </c>
      <c r="AV21" s="185"/>
      <c r="AW21" s="173"/>
      <c r="AX21" s="186">
        <f t="shared" si="15"/>
        <v>0</v>
      </c>
      <c r="AY21" s="185"/>
      <c r="AZ21" s="173"/>
      <c r="BA21" s="186">
        <f t="shared" si="16"/>
        <v>0</v>
      </c>
      <c r="BB21" s="185"/>
      <c r="BC21" s="173"/>
      <c r="BD21" s="186">
        <f t="shared" si="17"/>
        <v>0</v>
      </c>
      <c r="BE21" s="185"/>
      <c r="BF21" s="173"/>
      <c r="BG21" s="186">
        <f t="shared" si="18"/>
        <v>0</v>
      </c>
      <c r="BH21" s="185"/>
      <c r="BI21" s="173"/>
      <c r="BJ21" s="186">
        <f t="shared" si="19"/>
        <v>0</v>
      </c>
      <c r="BK21" s="185"/>
      <c r="BL21" s="173"/>
      <c r="BM21" s="186">
        <f t="shared" si="20"/>
        <v>0</v>
      </c>
      <c r="BN21" s="185"/>
      <c r="BO21" s="173"/>
      <c r="BP21" s="186">
        <f t="shared" si="21"/>
        <v>0</v>
      </c>
      <c r="BQ21" s="185"/>
      <c r="BR21" s="173"/>
      <c r="BS21" s="186">
        <f t="shared" si="22"/>
        <v>0</v>
      </c>
      <c r="BT21" s="185"/>
      <c r="BU21" s="173"/>
      <c r="BV21" s="186">
        <f t="shared" si="23"/>
        <v>0</v>
      </c>
      <c r="BW21" s="185"/>
      <c r="BX21" s="173"/>
      <c r="BY21" s="186">
        <f t="shared" si="24"/>
        <v>0</v>
      </c>
      <c r="BZ21" s="185"/>
      <c r="CA21" s="173"/>
      <c r="CB21" s="186">
        <f t="shared" si="25"/>
        <v>0</v>
      </c>
      <c r="CC21" s="185"/>
      <c r="CD21" s="173"/>
      <c r="CE21" s="186">
        <f t="shared" si="91"/>
        <v>0</v>
      </c>
      <c r="CF21" s="185"/>
      <c r="CG21" s="173"/>
      <c r="CH21" s="186">
        <f t="shared" si="92"/>
        <v>0</v>
      </c>
      <c r="CI21" s="185"/>
      <c r="CJ21" s="173"/>
      <c r="CK21" s="186">
        <f t="shared" si="27"/>
        <v>0</v>
      </c>
      <c r="CL21" s="185"/>
      <c r="CM21" s="173"/>
      <c r="CN21" s="186">
        <f t="shared" si="28"/>
        <v>0</v>
      </c>
      <c r="CO21" s="185"/>
      <c r="CP21" s="173"/>
      <c r="CQ21" s="186">
        <f t="shared" si="29"/>
        <v>0</v>
      </c>
      <c r="CR21" s="185"/>
      <c r="CS21" s="173"/>
      <c r="CT21" s="186">
        <f t="shared" si="30"/>
        <v>0</v>
      </c>
      <c r="CU21" s="185"/>
      <c r="CV21" s="173"/>
      <c r="CW21" s="186">
        <f t="shared" si="31"/>
        <v>0</v>
      </c>
      <c r="CX21" s="185"/>
      <c r="CY21" s="173"/>
      <c r="CZ21" s="186">
        <f t="shared" si="32"/>
        <v>0</v>
      </c>
      <c r="DA21" s="185"/>
      <c r="DB21" s="173"/>
      <c r="DC21" s="186">
        <f t="shared" si="33"/>
        <v>0</v>
      </c>
      <c r="DD21" s="185"/>
      <c r="DE21" s="173"/>
      <c r="DF21" s="186">
        <f t="shared" si="34"/>
        <v>0</v>
      </c>
      <c r="DG21" s="185"/>
      <c r="DH21" s="173"/>
      <c r="DI21" s="186">
        <f t="shared" si="35"/>
        <v>0</v>
      </c>
      <c r="DJ21" s="185"/>
      <c r="DK21" s="173"/>
      <c r="DL21" s="186">
        <f t="shared" si="36"/>
        <v>0</v>
      </c>
      <c r="DM21" s="185"/>
      <c r="DN21" s="173"/>
      <c r="DO21" s="186">
        <f t="shared" si="37"/>
        <v>0</v>
      </c>
      <c r="DP21" s="185"/>
      <c r="DQ21" s="173"/>
      <c r="DR21" s="186">
        <f t="shared" si="38"/>
        <v>0</v>
      </c>
      <c r="DS21" s="185"/>
      <c r="DT21" s="173"/>
      <c r="DU21" s="186">
        <f t="shared" si="39"/>
        <v>0</v>
      </c>
      <c r="DV21" s="185"/>
      <c r="DW21" s="173"/>
      <c r="DX21" s="186">
        <f t="shared" si="40"/>
        <v>0</v>
      </c>
      <c r="DY21" s="185"/>
      <c r="DZ21" s="173"/>
      <c r="EA21" s="186">
        <f t="shared" si="41"/>
        <v>0</v>
      </c>
      <c r="EB21" s="185"/>
      <c r="EC21" s="173"/>
      <c r="ED21" s="186">
        <f t="shared" si="42"/>
        <v>0</v>
      </c>
      <c r="EE21" s="185"/>
      <c r="EF21" s="173"/>
      <c r="EG21" s="186">
        <f t="shared" si="43"/>
        <v>0</v>
      </c>
      <c r="EH21" s="185"/>
      <c r="EI21" s="173"/>
      <c r="EJ21" s="186">
        <f t="shared" si="44"/>
        <v>0</v>
      </c>
      <c r="EK21" s="185"/>
      <c r="EL21" s="173"/>
      <c r="EM21" s="186">
        <f t="shared" si="45"/>
        <v>0</v>
      </c>
      <c r="EN21" s="185"/>
      <c r="EO21" s="173"/>
      <c r="EP21" s="186">
        <f t="shared" si="46"/>
        <v>0</v>
      </c>
      <c r="EQ21" s="185"/>
      <c r="ER21" s="173"/>
      <c r="ES21" s="186">
        <f t="shared" si="47"/>
        <v>0</v>
      </c>
      <c r="ET21" s="185"/>
      <c r="EU21" s="173"/>
      <c r="EV21" s="186">
        <f t="shared" si="48"/>
        <v>0</v>
      </c>
      <c r="EW21" s="185"/>
      <c r="EX21" s="184"/>
      <c r="EY21" s="186">
        <f t="shared" si="49"/>
        <v>0</v>
      </c>
      <c r="EZ21" s="185"/>
      <c r="FA21" s="184"/>
      <c r="FB21" s="186">
        <f t="shared" si="50"/>
        <v>0</v>
      </c>
      <c r="FC21" s="185"/>
      <c r="FD21" s="184"/>
      <c r="FE21" s="186">
        <f t="shared" si="51"/>
        <v>0</v>
      </c>
      <c r="FF21" s="185"/>
      <c r="FG21" s="173"/>
      <c r="FH21" s="186">
        <f t="shared" si="52"/>
        <v>0</v>
      </c>
      <c r="FI21" s="185"/>
      <c r="FJ21" s="173"/>
      <c r="FK21" s="186">
        <f t="shared" si="53"/>
        <v>0</v>
      </c>
      <c r="FL21" s="185"/>
      <c r="FM21" s="173"/>
      <c r="FN21" s="186">
        <f t="shared" si="54"/>
        <v>0</v>
      </c>
      <c r="FO21" s="185"/>
      <c r="FP21" s="173"/>
      <c r="FQ21" s="186">
        <f t="shared" si="55"/>
        <v>0</v>
      </c>
      <c r="FR21" s="185"/>
      <c r="FS21" s="173"/>
      <c r="FT21" s="186">
        <f t="shared" si="56"/>
        <v>0</v>
      </c>
      <c r="FU21" s="185"/>
      <c r="FV21" s="173"/>
      <c r="FW21" s="186">
        <f t="shared" si="57"/>
        <v>0</v>
      </c>
      <c r="FX21" s="185"/>
      <c r="FY21" s="173"/>
      <c r="FZ21" s="186">
        <f t="shared" si="58"/>
        <v>0</v>
      </c>
      <c r="GA21" s="185"/>
      <c r="GB21" s="173"/>
      <c r="GC21" s="186">
        <f t="shared" si="59"/>
        <v>0</v>
      </c>
      <c r="GD21" s="185"/>
      <c r="GE21" s="173"/>
      <c r="GF21" s="186">
        <f t="shared" si="60"/>
        <v>0</v>
      </c>
      <c r="GG21" s="185"/>
      <c r="GH21" s="173"/>
      <c r="GI21" s="186">
        <f t="shared" si="61"/>
        <v>0</v>
      </c>
      <c r="GJ21" s="185"/>
      <c r="GK21" s="173"/>
      <c r="GL21" s="186">
        <f t="shared" si="62"/>
        <v>0</v>
      </c>
      <c r="GM21" s="185"/>
      <c r="GN21" s="173"/>
      <c r="GO21" s="186">
        <f t="shared" si="63"/>
        <v>0</v>
      </c>
      <c r="GP21" s="185"/>
      <c r="GQ21" s="173"/>
      <c r="GR21" s="186">
        <f t="shared" si="64"/>
        <v>0</v>
      </c>
      <c r="GS21" s="185"/>
      <c r="GT21" s="173"/>
      <c r="GU21" s="186">
        <f t="shared" si="65"/>
        <v>0</v>
      </c>
      <c r="GV21" s="185"/>
      <c r="GW21" s="173"/>
      <c r="GX21" s="186">
        <f t="shared" si="66"/>
        <v>0</v>
      </c>
      <c r="GY21" s="185"/>
      <c r="GZ21" s="173"/>
      <c r="HA21" s="186">
        <f t="shared" si="67"/>
        <v>0</v>
      </c>
      <c r="HB21" s="185"/>
      <c r="HC21" s="173"/>
      <c r="HD21" s="186">
        <f t="shared" si="68"/>
        <v>0</v>
      </c>
      <c r="HE21" s="185"/>
      <c r="HF21" s="173"/>
      <c r="HG21" s="186">
        <f t="shared" si="69"/>
        <v>0</v>
      </c>
      <c r="HH21" s="185"/>
      <c r="HI21" s="173"/>
      <c r="HJ21" s="186">
        <f t="shared" si="70"/>
        <v>0</v>
      </c>
      <c r="HK21" s="185"/>
      <c r="HL21" s="173"/>
      <c r="HM21" s="186">
        <f t="shared" si="71"/>
        <v>0</v>
      </c>
      <c r="HN21" s="185"/>
      <c r="HO21" s="173"/>
      <c r="HP21" s="186">
        <f t="shared" si="72"/>
        <v>0</v>
      </c>
      <c r="HQ21" s="185"/>
      <c r="HR21" s="173"/>
      <c r="HS21" s="186">
        <f t="shared" si="73"/>
        <v>0</v>
      </c>
      <c r="HT21" s="185"/>
      <c r="HU21" s="173"/>
      <c r="HV21" s="186">
        <f t="shared" si="74"/>
        <v>0</v>
      </c>
      <c r="HW21" s="185"/>
      <c r="HX21" s="173"/>
      <c r="HY21" s="186">
        <f t="shared" si="75"/>
        <v>0</v>
      </c>
      <c r="HZ21" s="185"/>
      <c r="IA21" s="173"/>
      <c r="IB21" s="186">
        <f t="shared" si="76"/>
        <v>0</v>
      </c>
      <c r="IC21" s="185"/>
      <c r="ID21" s="173"/>
      <c r="IE21" s="186">
        <f t="shared" si="77"/>
        <v>0</v>
      </c>
      <c r="IF21" s="185"/>
      <c r="IG21" s="173"/>
      <c r="IH21" s="186">
        <f t="shared" si="78"/>
        <v>0</v>
      </c>
      <c r="II21" s="185"/>
      <c r="IJ21" s="173"/>
      <c r="IK21" s="186">
        <f t="shared" si="79"/>
        <v>0</v>
      </c>
      <c r="IL21" s="185"/>
      <c r="IM21" s="173"/>
      <c r="IN21" s="186">
        <f t="shared" si="80"/>
        <v>0</v>
      </c>
      <c r="IO21" s="185"/>
      <c r="IP21" s="173"/>
      <c r="IQ21" s="186">
        <f t="shared" si="81"/>
        <v>0</v>
      </c>
      <c r="IR21" s="185"/>
      <c r="IS21" s="173"/>
      <c r="IT21" s="186">
        <f t="shared" si="82"/>
        <v>0</v>
      </c>
      <c r="IU21" s="185"/>
      <c r="IV21" s="173"/>
      <c r="IW21" s="186">
        <f t="shared" si="83"/>
        <v>0</v>
      </c>
      <c r="IX21" s="185"/>
      <c r="IY21" s="173"/>
      <c r="IZ21" s="186">
        <f t="shared" si="84"/>
        <v>0</v>
      </c>
      <c r="JA21" s="185"/>
      <c r="JB21" s="173"/>
      <c r="JC21" s="186">
        <f t="shared" si="85"/>
        <v>0</v>
      </c>
      <c r="JD21" s="185"/>
      <c r="JE21" s="173"/>
      <c r="JF21" s="186">
        <f t="shared" si="86"/>
        <v>0</v>
      </c>
      <c r="JG21" s="185"/>
      <c r="JH21" s="173"/>
      <c r="JI21" s="186"/>
      <c r="JJ21" s="185"/>
      <c r="JK21" s="173"/>
      <c r="JL21" s="186">
        <f t="shared" si="88"/>
        <v>0</v>
      </c>
      <c r="JM21" s="185"/>
      <c r="JN21" s="173"/>
      <c r="JO21" s="186">
        <f t="shared" si="89"/>
        <v>0</v>
      </c>
      <c r="JP21" s="185"/>
      <c r="JQ21" s="173"/>
      <c r="JR21" s="186">
        <f t="shared" si="90"/>
        <v>0</v>
      </c>
      <c r="JS21" s="185"/>
      <c r="JT21" s="173"/>
      <c r="JU21" s="186" t="str" cm="1">
        <f t="array" aca="1" ref="JU21"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1" s="187"/>
      <c r="JW21" s="173"/>
      <c r="JX21" s="186" t="str" cm="1">
        <f t="array" aca="1" ref="JX21"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1" s="185"/>
      <c r="JZ21" s="184"/>
      <c r="KA21" s="186" t="str" cm="1">
        <f t="array" aca="1" ref="KA21"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1" s="185"/>
      <c r="KC21" s="184"/>
      <c r="KD21" s="186" t="str" cm="1">
        <f t="array" aca="1" ref="KD21"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1" s="185"/>
      <c r="KF21" s="184"/>
    </row>
    <row r="22" spans="1:292" x14ac:dyDescent="0.3">
      <c r="A22" s="192">
        <f>[1]Reg!A22</f>
        <v>19</v>
      </c>
      <c r="B22" s="190">
        <f t="shared" si="0"/>
        <v>0</v>
      </c>
      <c r="C22" s="188"/>
      <c r="D22" s="173"/>
      <c r="E22" s="190">
        <f t="shared" si="1"/>
        <v>0</v>
      </c>
      <c r="F22" s="185"/>
      <c r="G22" s="173"/>
      <c r="H22" s="190">
        <f t="shared" si="2"/>
        <v>0</v>
      </c>
      <c r="I22" s="188"/>
      <c r="J22" s="173"/>
      <c r="K22" s="190">
        <f t="shared" si="3"/>
        <v>0</v>
      </c>
      <c r="L22" s="188"/>
      <c r="M22" s="173"/>
      <c r="N22" s="190">
        <f t="shared" si="4"/>
        <v>0</v>
      </c>
      <c r="O22" s="185"/>
      <c r="P22" s="173"/>
      <c r="Q22" s="190">
        <f t="shared" si="5"/>
        <v>0</v>
      </c>
      <c r="R22" s="188"/>
      <c r="S22" s="173"/>
      <c r="T22" s="189"/>
      <c r="U22" s="189"/>
      <c r="V22" s="189"/>
      <c r="W22" s="186">
        <f t="shared" si="6"/>
        <v>0</v>
      </c>
      <c r="X22" s="188"/>
      <c r="Y22" s="173"/>
      <c r="Z22" s="186">
        <f t="shared" si="7"/>
        <v>0</v>
      </c>
      <c r="AA22" s="188"/>
      <c r="AB22" s="173"/>
      <c r="AC22" s="186">
        <f t="shared" si="8"/>
        <v>0</v>
      </c>
      <c r="AD22" s="185"/>
      <c r="AE22" s="173"/>
      <c r="AF22" s="186">
        <f t="shared" si="9"/>
        <v>0</v>
      </c>
      <c r="AG22" s="185"/>
      <c r="AH22" s="173"/>
      <c r="AI22" s="186">
        <f t="shared" si="10"/>
        <v>0</v>
      </c>
      <c r="AJ22" s="185"/>
      <c r="AK22" s="173"/>
      <c r="AL22" s="186">
        <f t="shared" si="11"/>
        <v>0</v>
      </c>
      <c r="AM22" s="185"/>
      <c r="AN22" s="173"/>
      <c r="AO22" s="186">
        <f t="shared" si="12"/>
        <v>0</v>
      </c>
      <c r="AP22" s="185"/>
      <c r="AQ22" s="173"/>
      <c r="AR22" s="186">
        <f t="shared" si="13"/>
        <v>0</v>
      </c>
      <c r="AS22" s="185"/>
      <c r="AT22" s="173"/>
      <c r="AU22" s="186">
        <f t="shared" si="14"/>
        <v>0</v>
      </c>
      <c r="AV22" s="185"/>
      <c r="AW22" s="173"/>
      <c r="AX22" s="186">
        <f t="shared" si="15"/>
        <v>0</v>
      </c>
      <c r="AY22" s="185"/>
      <c r="AZ22" s="173"/>
      <c r="BA22" s="186">
        <f t="shared" si="16"/>
        <v>0</v>
      </c>
      <c r="BB22" s="185"/>
      <c r="BC22" s="173"/>
      <c r="BD22" s="186">
        <f t="shared" si="17"/>
        <v>0</v>
      </c>
      <c r="BE22" s="185"/>
      <c r="BF22" s="173"/>
      <c r="BG22" s="186">
        <f t="shared" si="18"/>
        <v>0</v>
      </c>
      <c r="BH22" s="185"/>
      <c r="BI22" s="173"/>
      <c r="BJ22" s="186">
        <f t="shared" si="19"/>
        <v>0</v>
      </c>
      <c r="BK22" s="185"/>
      <c r="BL22" s="173"/>
      <c r="BM22" s="186">
        <f t="shared" si="20"/>
        <v>0</v>
      </c>
      <c r="BN22" s="185"/>
      <c r="BO22" s="173"/>
      <c r="BP22" s="186">
        <f t="shared" si="21"/>
        <v>0</v>
      </c>
      <c r="BQ22" s="185"/>
      <c r="BR22" s="173"/>
      <c r="BS22" s="186">
        <f t="shared" si="22"/>
        <v>0</v>
      </c>
      <c r="BT22" s="185"/>
      <c r="BU22" s="173"/>
      <c r="BV22" s="186">
        <f t="shared" si="23"/>
        <v>0</v>
      </c>
      <c r="BW22" s="185"/>
      <c r="BX22" s="173"/>
      <c r="BY22" s="186">
        <f t="shared" si="24"/>
        <v>0</v>
      </c>
      <c r="BZ22" s="185"/>
      <c r="CA22" s="173"/>
      <c r="CB22" s="186">
        <f t="shared" si="25"/>
        <v>0</v>
      </c>
      <c r="CC22" s="185"/>
      <c r="CD22" s="173"/>
      <c r="CE22" s="186">
        <f t="shared" si="91"/>
        <v>0</v>
      </c>
      <c r="CF22" s="185"/>
      <c r="CG22" s="173"/>
      <c r="CH22" s="186">
        <f t="shared" si="92"/>
        <v>0</v>
      </c>
      <c r="CI22" s="185"/>
      <c r="CJ22" s="173"/>
      <c r="CK22" s="186">
        <f t="shared" si="27"/>
        <v>0</v>
      </c>
      <c r="CL22" s="185"/>
      <c r="CM22" s="173"/>
      <c r="CN22" s="186">
        <f t="shared" si="28"/>
        <v>0</v>
      </c>
      <c r="CO22" s="185"/>
      <c r="CP22" s="173"/>
      <c r="CQ22" s="186">
        <f t="shared" si="29"/>
        <v>0</v>
      </c>
      <c r="CR22" s="185"/>
      <c r="CS22" s="173"/>
      <c r="CT22" s="186">
        <f t="shared" si="30"/>
        <v>0</v>
      </c>
      <c r="CU22" s="185"/>
      <c r="CV22" s="173"/>
      <c r="CW22" s="186">
        <f t="shared" si="31"/>
        <v>0</v>
      </c>
      <c r="CX22" s="185"/>
      <c r="CY22" s="173"/>
      <c r="CZ22" s="186">
        <f t="shared" si="32"/>
        <v>0</v>
      </c>
      <c r="DA22" s="185"/>
      <c r="DB22" s="173"/>
      <c r="DC22" s="186">
        <f t="shared" si="33"/>
        <v>0</v>
      </c>
      <c r="DD22" s="185"/>
      <c r="DE22" s="173"/>
      <c r="DF22" s="186">
        <f t="shared" si="34"/>
        <v>0</v>
      </c>
      <c r="DG22" s="185"/>
      <c r="DH22" s="173"/>
      <c r="DI22" s="186">
        <f t="shared" si="35"/>
        <v>0</v>
      </c>
      <c r="DJ22" s="185"/>
      <c r="DK22" s="173"/>
      <c r="DL22" s="186">
        <f t="shared" si="36"/>
        <v>0</v>
      </c>
      <c r="DM22" s="185"/>
      <c r="DN22" s="173"/>
      <c r="DO22" s="186">
        <f t="shared" si="37"/>
        <v>0</v>
      </c>
      <c r="DP22" s="185"/>
      <c r="DQ22" s="173"/>
      <c r="DR22" s="186">
        <f t="shared" si="38"/>
        <v>0</v>
      </c>
      <c r="DS22" s="185"/>
      <c r="DT22" s="173"/>
      <c r="DU22" s="186">
        <f t="shared" si="39"/>
        <v>0</v>
      </c>
      <c r="DV22" s="185"/>
      <c r="DW22" s="173"/>
      <c r="DX22" s="186">
        <f t="shared" si="40"/>
        <v>0</v>
      </c>
      <c r="DY22" s="185"/>
      <c r="DZ22" s="173"/>
      <c r="EA22" s="186">
        <f t="shared" si="41"/>
        <v>0</v>
      </c>
      <c r="EB22" s="185"/>
      <c r="EC22" s="173"/>
      <c r="ED22" s="186">
        <f t="shared" si="42"/>
        <v>0</v>
      </c>
      <c r="EE22" s="185"/>
      <c r="EF22" s="173"/>
      <c r="EG22" s="186">
        <f t="shared" si="43"/>
        <v>0</v>
      </c>
      <c r="EH22" s="185"/>
      <c r="EI22" s="173"/>
      <c r="EJ22" s="186">
        <f t="shared" si="44"/>
        <v>0</v>
      </c>
      <c r="EK22" s="185"/>
      <c r="EL22" s="173"/>
      <c r="EM22" s="186">
        <f t="shared" si="45"/>
        <v>0</v>
      </c>
      <c r="EN22" s="185"/>
      <c r="EO22" s="173"/>
      <c r="EP22" s="186">
        <f t="shared" si="46"/>
        <v>0</v>
      </c>
      <c r="EQ22" s="185"/>
      <c r="ER22" s="173"/>
      <c r="ES22" s="186">
        <f t="shared" si="47"/>
        <v>0</v>
      </c>
      <c r="ET22" s="185"/>
      <c r="EU22" s="173"/>
      <c r="EV22" s="186">
        <f t="shared" si="48"/>
        <v>0</v>
      </c>
      <c r="EW22" s="185"/>
      <c r="EX22" s="184"/>
      <c r="EY22" s="186">
        <f t="shared" si="49"/>
        <v>0</v>
      </c>
      <c r="EZ22" s="185"/>
      <c r="FA22" s="184"/>
      <c r="FB22" s="186">
        <f t="shared" si="50"/>
        <v>0</v>
      </c>
      <c r="FC22" s="185"/>
      <c r="FD22" s="184"/>
      <c r="FE22" s="186">
        <f t="shared" si="51"/>
        <v>0</v>
      </c>
      <c r="FF22" s="185"/>
      <c r="FG22" s="173"/>
      <c r="FH22" s="186">
        <f t="shared" si="52"/>
        <v>0</v>
      </c>
      <c r="FI22" s="185"/>
      <c r="FJ22" s="173"/>
      <c r="FK22" s="186">
        <f t="shared" si="53"/>
        <v>0</v>
      </c>
      <c r="FL22" s="185"/>
      <c r="FM22" s="173"/>
      <c r="FN22" s="186">
        <f t="shared" si="54"/>
        <v>0</v>
      </c>
      <c r="FO22" s="185"/>
      <c r="FP22" s="173"/>
      <c r="FQ22" s="186">
        <f t="shared" si="55"/>
        <v>0</v>
      </c>
      <c r="FR22" s="185"/>
      <c r="FS22" s="173"/>
      <c r="FT22" s="186">
        <f t="shared" si="56"/>
        <v>0</v>
      </c>
      <c r="FU22" s="185"/>
      <c r="FV22" s="173"/>
      <c r="FW22" s="186">
        <f t="shared" si="57"/>
        <v>0</v>
      </c>
      <c r="FX22" s="185"/>
      <c r="FY22" s="173"/>
      <c r="FZ22" s="186">
        <f t="shared" si="58"/>
        <v>0</v>
      </c>
      <c r="GA22" s="185"/>
      <c r="GB22" s="173"/>
      <c r="GC22" s="186">
        <f t="shared" si="59"/>
        <v>0</v>
      </c>
      <c r="GD22" s="185"/>
      <c r="GE22" s="173"/>
      <c r="GF22" s="186">
        <f t="shared" si="60"/>
        <v>0</v>
      </c>
      <c r="GG22" s="185"/>
      <c r="GH22" s="173"/>
      <c r="GI22" s="186">
        <f t="shared" si="61"/>
        <v>0</v>
      </c>
      <c r="GJ22" s="185"/>
      <c r="GK22" s="173"/>
      <c r="GL22" s="186">
        <f t="shared" si="62"/>
        <v>0</v>
      </c>
      <c r="GM22" s="185"/>
      <c r="GN22" s="173"/>
      <c r="GO22" s="186">
        <f t="shared" si="63"/>
        <v>0</v>
      </c>
      <c r="GP22" s="185"/>
      <c r="GQ22" s="173"/>
      <c r="GR22" s="186">
        <f t="shared" si="64"/>
        <v>0</v>
      </c>
      <c r="GS22" s="185"/>
      <c r="GT22" s="173"/>
      <c r="GU22" s="186">
        <f t="shared" si="65"/>
        <v>0</v>
      </c>
      <c r="GV22" s="185"/>
      <c r="GW22" s="173"/>
      <c r="GX22" s="186">
        <f t="shared" si="66"/>
        <v>0</v>
      </c>
      <c r="GY22" s="185"/>
      <c r="GZ22" s="173"/>
      <c r="HA22" s="186">
        <f t="shared" si="67"/>
        <v>0</v>
      </c>
      <c r="HB22" s="185"/>
      <c r="HC22" s="173"/>
      <c r="HD22" s="186">
        <f t="shared" si="68"/>
        <v>0</v>
      </c>
      <c r="HE22" s="185"/>
      <c r="HF22" s="173"/>
      <c r="HG22" s="186">
        <f t="shared" si="69"/>
        <v>0</v>
      </c>
      <c r="HH22" s="185"/>
      <c r="HI22" s="173"/>
      <c r="HJ22" s="186">
        <f t="shared" si="70"/>
        <v>0</v>
      </c>
      <c r="HK22" s="185"/>
      <c r="HL22" s="173"/>
      <c r="HM22" s="186">
        <f t="shared" si="71"/>
        <v>0</v>
      </c>
      <c r="HN22" s="185"/>
      <c r="HO22" s="173"/>
      <c r="HP22" s="186">
        <f t="shared" si="72"/>
        <v>0</v>
      </c>
      <c r="HQ22" s="185"/>
      <c r="HR22" s="173"/>
      <c r="HS22" s="186">
        <f t="shared" si="73"/>
        <v>0</v>
      </c>
      <c r="HT22" s="185"/>
      <c r="HU22" s="173"/>
      <c r="HV22" s="186">
        <f t="shared" si="74"/>
        <v>0</v>
      </c>
      <c r="HW22" s="185"/>
      <c r="HX22" s="173"/>
      <c r="HY22" s="186">
        <f t="shared" si="75"/>
        <v>0</v>
      </c>
      <c r="HZ22" s="185"/>
      <c r="IA22" s="173"/>
      <c r="IB22" s="186">
        <f t="shared" si="76"/>
        <v>0</v>
      </c>
      <c r="IC22" s="185"/>
      <c r="ID22" s="173"/>
      <c r="IE22" s="186">
        <f t="shared" si="77"/>
        <v>0</v>
      </c>
      <c r="IF22" s="185"/>
      <c r="IG22" s="173"/>
      <c r="IH22" s="186">
        <f t="shared" si="78"/>
        <v>0</v>
      </c>
      <c r="II22" s="185"/>
      <c r="IJ22" s="173"/>
      <c r="IK22" s="186">
        <f t="shared" si="79"/>
        <v>0</v>
      </c>
      <c r="IL22" s="185"/>
      <c r="IM22" s="173"/>
      <c r="IN22" s="186">
        <f t="shared" si="80"/>
        <v>0</v>
      </c>
      <c r="IO22" s="185"/>
      <c r="IP22" s="173"/>
      <c r="IQ22" s="186">
        <f t="shared" si="81"/>
        <v>0</v>
      </c>
      <c r="IR22" s="185"/>
      <c r="IS22" s="173"/>
      <c r="IT22" s="186">
        <f t="shared" si="82"/>
        <v>0</v>
      </c>
      <c r="IU22" s="185"/>
      <c r="IV22" s="173"/>
      <c r="IW22" s="186">
        <f t="shared" si="83"/>
        <v>0</v>
      </c>
      <c r="IX22" s="185"/>
      <c r="IY22" s="173"/>
      <c r="IZ22" s="186">
        <f t="shared" si="84"/>
        <v>0</v>
      </c>
      <c r="JA22" s="185"/>
      <c r="JB22" s="173"/>
      <c r="JC22" s="186">
        <f t="shared" si="85"/>
        <v>0</v>
      </c>
      <c r="JD22" s="185"/>
      <c r="JE22" s="173"/>
      <c r="JF22" s="186">
        <f t="shared" si="86"/>
        <v>0</v>
      </c>
      <c r="JG22" s="185"/>
      <c r="JH22" s="173"/>
      <c r="JI22" s="186"/>
      <c r="JJ22" s="185"/>
      <c r="JK22" s="173"/>
      <c r="JL22" s="186">
        <f t="shared" si="88"/>
        <v>0</v>
      </c>
      <c r="JM22" s="185"/>
      <c r="JN22" s="173"/>
      <c r="JO22" s="186">
        <f t="shared" si="89"/>
        <v>0</v>
      </c>
      <c r="JP22" s="185"/>
      <c r="JQ22" s="173"/>
      <c r="JR22" s="186">
        <f t="shared" si="90"/>
        <v>0</v>
      </c>
      <c r="JS22" s="185"/>
      <c r="JT22" s="173"/>
      <c r="JU22" s="186" t="str" cm="1">
        <f t="array" aca="1" ref="JU22"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2" s="187"/>
      <c r="JW22" s="173"/>
      <c r="JX22" s="186" t="str" cm="1">
        <f t="array" aca="1" ref="JX22"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2" s="185"/>
      <c r="JZ22" s="184"/>
      <c r="KA22" s="186" t="str" cm="1">
        <f t="array" aca="1" ref="KA22"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2" s="185"/>
      <c r="KC22" s="184"/>
      <c r="KD22" s="186" t="str" cm="1">
        <f t="array" aca="1" ref="KD22"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2" s="185"/>
      <c r="KF22" s="184"/>
    </row>
    <row r="23" spans="1:292" x14ac:dyDescent="0.3">
      <c r="A23" s="191">
        <f>[1]Reg!A23</f>
        <v>20</v>
      </c>
      <c r="B23" s="190">
        <f t="shared" si="0"/>
        <v>0</v>
      </c>
      <c r="C23" s="188"/>
      <c r="D23" s="173"/>
      <c r="E23" s="190">
        <f t="shared" si="1"/>
        <v>0</v>
      </c>
      <c r="F23" s="185"/>
      <c r="G23" s="173"/>
      <c r="H23" s="190">
        <f t="shared" si="2"/>
        <v>0</v>
      </c>
      <c r="I23" s="188"/>
      <c r="J23" s="173"/>
      <c r="K23" s="190">
        <f t="shared" si="3"/>
        <v>0</v>
      </c>
      <c r="L23" s="188"/>
      <c r="M23" s="173"/>
      <c r="N23" s="190">
        <f t="shared" si="4"/>
        <v>0</v>
      </c>
      <c r="O23" s="185"/>
      <c r="P23" s="173"/>
      <c r="Q23" s="190">
        <f t="shared" si="5"/>
        <v>0</v>
      </c>
      <c r="R23" s="188"/>
      <c r="S23" s="173"/>
      <c r="T23" s="189"/>
      <c r="U23" s="189"/>
      <c r="V23" s="189"/>
      <c r="W23" s="186">
        <f t="shared" si="6"/>
        <v>0</v>
      </c>
      <c r="X23" s="188"/>
      <c r="Y23" s="173"/>
      <c r="Z23" s="186">
        <f t="shared" si="7"/>
        <v>0</v>
      </c>
      <c r="AA23" s="188"/>
      <c r="AB23" s="173"/>
      <c r="AC23" s="186">
        <f t="shared" si="8"/>
        <v>0</v>
      </c>
      <c r="AD23" s="185"/>
      <c r="AE23" s="173"/>
      <c r="AF23" s="186">
        <f t="shared" si="9"/>
        <v>0</v>
      </c>
      <c r="AG23" s="185"/>
      <c r="AH23" s="173"/>
      <c r="AI23" s="186">
        <f t="shared" si="10"/>
        <v>0</v>
      </c>
      <c r="AJ23" s="185"/>
      <c r="AK23" s="173"/>
      <c r="AL23" s="186">
        <f t="shared" si="11"/>
        <v>0</v>
      </c>
      <c r="AM23" s="185"/>
      <c r="AN23" s="173"/>
      <c r="AO23" s="186">
        <f t="shared" si="12"/>
        <v>0</v>
      </c>
      <c r="AP23" s="185"/>
      <c r="AQ23" s="173"/>
      <c r="AR23" s="186">
        <f t="shared" si="13"/>
        <v>0</v>
      </c>
      <c r="AS23" s="185"/>
      <c r="AT23" s="173"/>
      <c r="AU23" s="186">
        <f t="shared" si="14"/>
        <v>0</v>
      </c>
      <c r="AV23" s="185"/>
      <c r="AW23" s="173"/>
      <c r="AX23" s="186">
        <f t="shared" si="15"/>
        <v>0</v>
      </c>
      <c r="AY23" s="185"/>
      <c r="AZ23" s="173"/>
      <c r="BA23" s="186">
        <f t="shared" si="16"/>
        <v>0</v>
      </c>
      <c r="BB23" s="185"/>
      <c r="BC23" s="173"/>
      <c r="BD23" s="186">
        <f t="shared" si="17"/>
        <v>0</v>
      </c>
      <c r="BE23" s="185"/>
      <c r="BF23" s="173"/>
      <c r="BG23" s="186">
        <f t="shared" si="18"/>
        <v>0</v>
      </c>
      <c r="BH23" s="185"/>
      <c r="BI23" s="173"/>
      <c r="BJ23" s="186">
        <f t="shared" si="19"/>
        <v>0</v>
      </c>
      <c r="BK23" s="185"/>
      <c r="BL23" s="173"/>
      <c r="BM23" s="186">
        <f t="shared" si="20"/>
        <v>0</v>
      </c>
      <c r="BN23" s="185"/>
      <c r="BO23" s="173"/>
      <c r="BP23" s="186">
        <f t="shared" si="21"/>
        <v>0</v>
      </c>
      <c r="BQ23" s="185"/>
      <c r="BR23" s="173"/>
      <c r="BS23" s="186">
        <f t="shared" si="22"/>
        <v>0</v>
      </c>
      <c r="BT23" s="185"/>
      <c r="BU23" s="173"/>
      <c r="BV23" s="186">
        <f t="shared" si="23"/>
        <v>0</v>
      </c>
      <c r="BW23" s="185"/>
      <c r="BX23" s="173"/>
      <c r="BY23" s="186">
        <f t="shared" si="24"/>
        <v>0</v>
      </c>
      <c r="BZ23" s="185"/>
      <c r="CA23" s="173"/>
      <c r="CB23" s="186">
        <f t="shared" si="25"/>
        <v>0</v>
      </c>
      <c r="CC23" s="185"/>
      <c r="CD23" s="173"/>
      <c r="CE23" s="186">
        <f t="shared" si="91"/>
        <v>0</v>
      </c>
      <c r="CF23" s="185"/>
      <c r="CG23" s="173"/>
      <c r="CH23" s="186">
        <f t="shared" si="92"/>
        <v>0</v>
      </c>
      <c r="CI23" s="185"/>
      <c r="CJ23" s="173"/>
      <c r="CK23" s="186">
        <f t="shared" si="27"/>
        <v>0</v>
      </c>
      <c r="CL23" s="185"/>
      <c r="CM23" s="173"/>
      <c r="CN23" s="186">
        <f t="shared" si="28"/>
        <v>0</v>
      </c>
      <c r="CO23" s="185"/>
      <c r="CP23" s="173"/>
      <c r="CQ23" s="186">
        <f t="shared" si="29"/>
        <v>0</v>
      </c>
      <c r="CR23" s="185"/>
      <c r="CS23" s="173"/>
      <c r="CT23" s="186">
        <f t="shared" si="30"/>
        <v>0</v>
      </c>
      <c r="CU23" s="185"/>
      <c r="CV23" s="173"/>
      <c r="CW23" s="186">
        <f t="shared" si="31"/>
        <v>0</v>
      </c>
      <c r="CX23" s="185"/>
      <c r="CY23" s="173"/>
      <c r="CZ23" s="186">
        <f t="shared" si="32"/>
        <v>0</v>
      </c>
      <c r="DA23" s="185"/>
      <c r="DB23" s="173"/>
      <c r="DC23" s="186">
        <f t="shared" si="33"/>
        <v>0</v>
      </c>
      <c r="DD23" s="185"/>
      <c r="DE23" s="173"/>
      <c r="DF23" s="186">
        <f t="shared" si="34"/>
        <v>0</v>
      </c>
      <c r="DG23" s="185"/>
      <c r="DH23" s="173"/>
      <c r="DI23" s="186">
        <f t="shared" si="35"/>
        <v>0</v>
      </c>
      <c r="DJ23" s="185"/>
      <c r="DK23" s="173"/>
      <c r="DL23" s="186">
        <f t="shared" si="36"/>
        <v>0</v>
      </c>
      <c r="DM23" s="185"/>
      <c r="DN23" s="173"/>
      <c r="DO23" s="186">
        <f t="shared" si="37"/>
        <v>0</v>
      </c>
      <c r="DP23" s="185"/>
      <c r="DQ23" s="173"/>
      <c r="DR23" s="186">
        <f t="shared" si="38"/>
        <v>0</v>
      </c>
      <c r="DS23" s="185"/>
      <c r="DT23" s="173"/>
      <c r="DU23" s="186">
        <f t="shared" si="39"/>
        <v>0</v>
      </c>
      <c r="DV23" s="185"/>
      <c r="DW23" s="173"/>
      <c r="DX23" s="186">
        <f t="shared" si="40"/>
        <v>0</v>
      </c>
      <c r="DY23" s="185"/>
      <c r="DZ23" s="173"/>
      <c r="EA23" s="186">
        <f t="shared" si="41"/>
        <v>0</v>
      </c>
      <c r="EB23" s="185"/>
      <c r="EC23" s="173"/>
      <c r="ED23" s="186">
        <f t="shared" si="42"/>
        <v>0</v>
      </c>
      <c r="EE23" s="185"/>
      <c r="EF23" s="173"/>
      <c r="EG23" s="186">
        <f t="shared" si="43"/>
        <v>0</v>
      </c>
      <c r="EH23" s="185"/>
      <c r="EI23" s="173"/>
      <c r="EJ23" s="186">
        <f t="shared" si="44"/>
        <v>0</v>
      </c>
      <c r="EK23" s="185"/>
      <c r="EL23" s="173"/>
      <c r="EM23" s="186">
        <f t="shared" si="45"/>
        <v>0</v>
      </c>
      <c r="EN23" s="185"/>
      <c r="EO23" s="173"/>
      <c r="EP23" s="186">
        <f t="shared" si="46"/>
        <v>0</v>
      </c>
      <c r="EQ23" s="185"/>
      <c r="ER23" s="173"/>
      <c r="ES23" s="186">
        <f t="shared" si="47"/>
        <v>0</v>
      </c>
      <c r="ET23" s="185"/>
      <c r="EU23" s="173"/>
      <c r="EV23" s="186">
        <f t="shared" si="48"/>
        <v>0</v>
      </c>
      <c r="EW23" s="185"/>
      <c r="EX23" s="184"/>
      <c r="EY23" s="186">
        <f t="shared" si="49"/>
        <v>0</v>
      </c>
      <c r="EZ23" s="185"/>
      <c r="FA23" s="184"/>
      <c r="FB23" s="186">
        <f t="shared" si="50"/>
        <v>0</v>
      </c>
      <c r="FC23" s="185"/>
      <c r="FD23" s="184"/>
      <c r="FE23" s="186">
        <f t="shared" si="51"/>
        <v>0</v>
      </c>
      <c r="FF23" s="185"/>
      <c r="FG23" s="173"/>
      <c r="FH23" s="186">
        <f t="shared" si="52"/>
        <v>0</v>
      </c>
      <c r="FI23" s="185"/>
      <c r="FJ23" s="173"/>
      <c r="FK23" s="186">
        <f t="shared" si="53"/>
        <v>0</v>
      </c>
      <c r="FL23" s="185"/>
      <c r="FM23" s="173"/>
      <c r="FN23" s="186">
        <f t="shared" si="54"/>
        <v>0</v>
      </c>
      <c r="FO23" s="185"/>
      <c r="FP23" s="173"/>
      <c r="FQ23" s="186">
        <f t="shared" si="55"/>
        <v>0</v>
      </c>
      <c r="FR23" s="185"/>
      <c r="FS23" s="173"/>
      <c r="FT23" s="186">
        <f t="shared" si="56"/>
        <v>0</v>
      </c>
      <c r="FU23" s="185"/>
      <c r="FV23" s="173"/>
      <c r="FW23" s="186">
        <f t="shared" si="57"/>
        <v>0</v>
      </c>
      <c r="FX23" s="185"/>
      <c r="FY23" s="173"/>
      <c r="FZ23" s="186">
        <f t="shared" si="58"/>
        <v>0</v>
      </c>
      <c r="GA23" s="185"/>
      <c r="GB23" s="173"/>
      <c r="GC23" s="186">
        <f t="shared" si="59"/>
        <v>0</v>
      </c>
      <c r="GD23" s="185"/>
      <c r="GE23" s="173"/>
      <c r="GF23" s="186">
        <f t="shared" si="60"/>
        <v>0</v>
      </c>
      <c r="GG23" s="185"/>
      <c r="GH23" s="173"/>
      <c r="GI23" s="186">
        <f t="shared" si="61"/>
        <v>0</v>
      </c>
      <c r="GJ23" s="185"/>
      <c r="GK23" s="173"/>
      <c r="GL23" s="186">
        <f t="shared" si="62"/>
        <v>0</v>
      </c>
      <c r="GM23" s="185"/>
      <c r="GN23" s="173"/>
      <c r="GO23" s="186">
        <f t="shared" si="63"/>
        <v>0</v>
      </c>
      <c r="GP23" s="185"/>
      <c r="GQ23" s="173"/>
      <c r="GR23" s="186">
        <f t="shared" si="64"/>
        <v>0</v>
      </c>
      <c r="GS23" s="185"/>
      <c r="GT23" s="173"/>
      <c r="GU23" s="186">
        <f t="shared" si="65"/>
        <v>0</v>
      </c>
      <c r="GV23" s="185"/>
      <c r="GW23" s="173"/>
      <c r="GX23" s="186">
        <f t="shared" si="66"/>
        <v>0</v>
      </c>
      <c r="GY23" s="185"/>
      <c r="GZ23" s="173"/>
      <c r="HA23" s="186">
        <f t="shared" si="67"/>
        <v>0</v>
      </c>
      <c r="HB23" s="185"/>
      <c r="HC23" s="173"/>
      <c r="HD23" s="186">
        <f t="shared" si="68"/>
        <v>0</v>
      </c>
      <c r="HE23" s="185"/>
      <c r="HF23" s="173"/>
      <c r="HG23" s="186">
        <f t="shared" si="69"/>
        <v>0</v>
      </c>
      <c r="HH23" s="185"/>
      <c r="HI23" s="173"/>
      <c r="HJ23" s="186">
        <f t="shared" si="70"/>
        <v>0</v>
      </c>
      <c r="HK23" s="185"/>
      <c r="HL23" s="173"/>
      <c r="HM23" s="186">
        <f t="shared" si="71"/>
        <v>0</v>
      </c>
      <c r="HN23" s="185"/>
      <c r="HO23" s="173"/>
      <c r="HP23" s="186">
        <f t="shared" si="72"/>
        <v>0</v>
      </c>
      <c r="HQ23" s="185"/>
      <c r="HR23" s="173"/>
      <c r="HS23" s="186">
        <f t="shared" si="73"/>
        <v>0</v>
      </c>
      <c r="HT23" s="185"/>
      <c r="HU23" s="173"/>
      <c r="HV23" s="186">
        <f t="shared" si="74"/>
        <v>0</v>
      </c>
      <c r="HW23" s="185"/>
      <c r="HX23" s="173"/>
      <c r="HY23" s="186">
        <f t="shared" si="75"/>
        <v>0</v>
      </c>
      <c r="HZ23" s="185"/>
      <c r="IA23" s="173"/>
      <c r="IB23" s="186">
        <f t="shared" si="76"/>
        <v>0</v>
      </c>
      <c r="IC23" s="185"/>
      <c r="ID23" s="173"/>
      <c r="IE23" s="186">
        <f t="shared" si="77"/>
        <v>0</v>
      </c>
      <c r="IF23" s="185"/>
      <c r="IG23" s="173"/>
      <c r="IH23" s="186">
        <f t="shared" si="78"/>
        <v>0</v>
      </c>
      <c r="II23" s="185"/>
      <c r="IJ23" s="173"/>
      <c r="IK23" s="186">
        <f t="shared" si="79"/>
        <v>0</v>
      </c>
      <c r="IL23" s="185"/>
      <c r="IM23" s="173"/>
      <c r="IN23" s="186">
        <f t="shared" si="80"/>
        <v>0</v>
      </c>
      <c r="IO23" s="185"/>
      <c r="IP23" s="173"/>
      <c r="IQ23" s="186">
        <f t="shared" si="81"/>
        <v>0</v>
      </c>
      <c r="IR23" s="185"/>
      <c r="IS23" s="173"/>
      <c r="IT23" s="186">
        <f t="shared" si="82"/>
        <v>0</v>
      </c>
      <c r="IU23" s="185"/>
      <c r="IV23" s="173"/>
      <c r="IW23" s="186">
        <f t="shared" si="83"/>
        <v>0</v>
      </c>
      <c r="IX23" s="185"/>
      <c r="IY23" s="173"/>
      <c r="IZ23" s="186">
        <f t="shared" si="84"/>
        <v>0</v>
      </c>
      <c r="JA23" s="185"/>
      <c r="JB23" s="173"/>
      <c r="JC23" s="186">
        <f t="shared" si="85"/>
        <v>0</v>
      </c>
      <c r="JD23" s="185"/>
      <c r="JE23" s="173"/>
      <c r="JF23" s="186">
        <f t="shared" si="86"/>
        <v>0</v>
      </c>
      <c r="JG23" s="185"/>
      <c r="JH23" s="173"/>
      <c r="JI23" s="186"/>
      <c r="JJ23" s="185"/>
      <c r="JK23" s="173"/>
      <c r="JL23" s="186">
        <f t="shared" si="88"/>
        <v>0</v>
      </c>
      <c r="JM23" s="185"/>
      <c r="JN23" s="173"/>
      <c r="JO23" s="186">
        <f t="shared" si="89"/>
        <v>0</v>
      </c>
      <c r="JP23" s="185"/>
      <c r="JQ23" s="173"/>
      <c r="JR23" s="186">
        <f t="shared" si="90"/>
        <v>0</v>
      </c>
      <c r="JS23" s="185"/>
      <c r="JT23" s="173"/>
      <c r="JU23" s="186" t="str" cm="1">
        <f t="array" aca="1" ref="JU23"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3" s="187"/>
      <c r="JW23" s="173"/>
      <c r="JX23" s="186" t="str" cm="1">
        <f t="array" aca="1" ref="JX23"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3" s="185"/>
      <c r="JZ23" s="184"/>
      <c r="KA23" s="186" t="str" cm="1">
        <f t="array" aca="1" ref="KA23"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3" s="185"/>
      <c r="KC23" s="184"/>
      <c r="KD23" s="186" t="str" cm="1">
        <f t="array" aca="1" ref="KD23"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3" s="185"/>
      <c r="KF23" s="184"/>
    </row>
    <row r="24" spans="1:292" x14ac:dyDescent="0.3">
      <c r="A24" s="192">
        <f>[1]Reg!A24</f>
        <v>21</v>
      </c>
      <c r="B24" s="190">
        <f t="shared" si="0"/>
        <v>0</v>
      </c>
      <c r="C24" s="185"/>
      <c r="D24" s="173"/>
      <c r="E24" s="190">
        <f t="shared" si="1"/>
        <v>0</v>
      </c>
      <c r="F24" s="185"/>
      <c r="G24" s="173"/>
      <c r="H24" s="190">
        <f t="shared" si="2"/>
        <v>0</v>
      </c>
      <c r="I24" s="185"/>
      <c r="J24" s="173"/>
      <c r="K24" s="190">
        <f t="shared" si="3"/>
        <v>0</v>
      </c>
      <c r="L24" s="185"/>
      <c r="M24" s="173"/>
      <c r="N24" s="190">
        <f t="shared" si="4"/>
        <v>0</v>
      </c>
      <c r="O24" s="185"/>
      <c r="P24" s="173"/>
      <c r="Q24" s="190">
        <f t="shared" si="5"/>
        <v>0</v>
      </c>
      <c r="R24" s="188"/>
      <c r="S24" s="173"/>
      <c r="T24" s="189"/>
      <c r="U24" s="189"/>
      <c r="V24" s="189"/>
      <c r="W24" s="186">
        <f t="shared" si="6"/>
        <v>0</v>
      </c>
      <c r="X24" s="185"/>
      <c r="Y24" s="173"/>
      <c r="Z24" s="186">
        <f t="shared" si="7"/>
        <v>0</v>
      </c>
      <c r="AA24" s="188"/>
      <c r="AB24" s="173"/>
      <c r="AC24" s="186">
        <f t="shared" si="8"/>
        <v>0</v>
      </c>
      <c r="AD24" s="185"/>
      <c r="AE24" s="173"/>
      <c r="AF24" s="186">
        <f t="shared" si="9"/>
        <v>0</v>
      </c>
      <c r="AG24" s="185"/>
      <c r="AH24" s="173"/>
      <c r="AI24" s="186">
        <f t="shared" si="10"/>
        <v>0</v>
      </c>
      <c r="AJ24" s="185"/>
      <c r="AK24" s="173"/>
      <c r="AL24" s="186">
        <f t="shared" si="11"/>
        <v>0</v>
      </c>
      <c r="AM24" s="185"/>
      <c r="AN24" s="173"/>
      <c r="AO24" s="186">
        <f t="shared" si="12"/>
        <v>0</v>
      </c>
      <c r="AP24" s="185"/>
      <c r="AQ24" s="173"/>
      <c r="AR24" s="186">
        <f t="shared" si="13"/>
        <v>0</v>
      </c>
      <c r="AS24" s="185"/>
      <c r="AT24" s="173"/>
      <c r="AU24" s="186">
        <f t="shared" si="14"/>
        <v>0</v>
      </c>
      <c r="AV24" s="185"/>
      <c r="AW24" s="173"/>
      <c r="AX24" s="186">
        <f t="shared" si="15"/>
        <v>0</v>
      </c>
      <c r="AY24" s="185"/>
      <c r="AZ24" s="173"/>
      <c r="BA24" s="186">
        <f t="shared" si="16"/>
        <v>0</v>
      </c>
      <c r="BB24" s="185"/>
      <c r="BC24" s="173"/>
      <c r="BD24" s="186">
        <f t="shared" si="17"/>
        <v>0</v>
      </c>
      <c r="BE24" s="185"/>
      <c r="BF24" s="173"/>
      <c r="BG24" s="186">
        <f t="shared" si="18"/>
        <v>0</v>
      </c>
      <c r="BH24" s="185"/>
      <c r="BI24" s="173"/>
      <c r="BJ24" s="186">
        <f t="shared" si="19"/>
        <v>0</v>
      </c>
      <c r="BK24" s="185"/>
      <c r="BL24" s="173"/>
      <c r="BM24" s="186">
        <f t="shared" si="20"/>
        <v>0</v>
      </c>
      <c r="BN24" s="185"/>
      <c r="BO24" s="173"/>
      <c r="BP24" s="186">
        <f t="shared" si="21"/>
        <v>0</v>
      </c>
      <c r="BQ24" s="185"/>
      <c r="BR24" s="173"/>
      <c r="BS24" s="186">
        <f t="shared" si="22"/>
        <v>0</v>
      </c>
      <c r="BT24" s="185"/>
      <c r="BU24" s="173"/>
      <c r="BV24" s="186">
        <f t="shared" si="23"/>
        <v>0</v>
      </c>
      <c r="BW24" s="185"/>
      <c r="BX24" s="173"/>
      <c r="BY24" s="186">
        <f t="shared" si="24"/>
        <v>0</v>
      </c>
      <c r="BZ24" s="185"/>
      <c r="CA24" s="173"/>
      <c r="CB24" s="186">
        <f t="shared" si="25"/>
        <v>0</v>
      </c>
      <c r="CC24" s="185"/>
      <c r="CD24" s="173"/>
      <c r="CE24" s="186">
        <f t="shared" si="91"/>
        <v>0</v>
      </c>
      <c r="CF24" s="185"/>
      <c r="CG24" s="173"/>
      <c r="CH24" s="186">
        <f t="shared" si="92"/>
        <v>0</v>
      </c>
      <c r="CI24" s="185"/>
      <c r="CJ24" s="173"/>
      <c r="CK24" s="186">
        <f t="shared" si="27"/>
        <v>0</v>
      </c>
      <c r="CL24" s="185"/>
      <c r="CM24" s="173"/>
      <c r="CN24" s="186">
        <f t="shared" si="28"/>
        <v>0</v>
      </c>
      <c r="CO24" s="185"/>
      <c r="CP24" s="173"/>
      <c r="CQ24" s="186">
        <f t="shared" si="29"/>
        <v>0</v>
      </c>
      <c r="CR24" s="185"/>
      <c r="CS24" s="173"/>
      <c r="CT24" s="186">
        <f t="shared" si="30"/>
        <v>0</v>
      </c>
      <c r="CU24" s="185"/>
      <c r="CV24" s="173"/>
      <c r="CW24" s="186">
        <f t="shared" si="31"/>
        <v>0</v>
      </c>
      <c r="CX24" s="185"/>
      <c r="CY24" s="173"/>
      <c r="CZ24" s="186">
        <f t="shared" si="32"/>
        <v>0</v>
      </c>
      <c r="DA24" s="185"/>
      <c r="DB24" s="173"/>
      <c r="DC24" s="186">
        <f t="shared" si="33"/>
        <v>0</v>
      </c>
      <c r="DD24" s="185"/>
      <c r="DE24" s="173"/>
      <c r="DF24" s="186">
        <f t="shared" si="34"/>
        <v>0</v>
      </c>
      <c r="DG24" s="185"/>
      <c r="DH24" s="173"/>
      <c r="DI24" s="186">
        <f t="shared" si="35"/>
        <v>0</v>
      </c>
      <c r="DJ24" s="185"/>
      <c r="DK24" s="173"/>
      <c r="DL24" s="186">
        <f t="shared" si="36"/>
        <v>0</v>
      </c>
      <c r="DM24" s="185"/>
      <c r="DN24" s="173"/>
      <c r="DO24" s="186">
        <f t="shared" si="37"/>
        <v>0</v>
      </c>
      <c r="DP24" s="185"/>
      <c r="DQ24" s="173"/>
      <c r="DR24" s="186">
        <f t="shared" si="38"/>
        <v>0</v>
      </c>
      <c r="DS24" s="185"/>
      <c r="DT24" s="173"/>
      <c r="DU24" s="186">
        <f t="shared" si="39"/>
        <v>0</v>
      </c>
      <c r="DV24" s="185"/>
      <c r="DW24" s="173"/>
      <c r="DX24" s="186">
        <f t="shared" si="40"/>
        <v>0</v>
      </c>
      <c r="DY24" s="185"/>
      <c r="DZ24" s="173"/>
      <c r="EA24" s="186">
        <f t="shared" si="41"/>
        <v>0</v>
      </c>
      <c r="EB24" s="185"/>
      <c r="EC24" s="173"/>
      <c r="ED24" s="186">
        <f t="shared" si="42"/>
        <v>0</v>
      </c>
      <c r="EE24" s="185"/>
      <c r="EF24" s="173"/>
      <c r="EG24" s="186">
        <f t="shared" si="43"/>
        <v>0</v>
      </c>
      <c r="EH24" s="185"/>
      <c r="EI24" s="173"/>
      <c r="EJ24" s="186">
        <f t="shared" si="44"/>
        <v>0</v>
      </c>
      <c r="EK24" s="185"/>
      <c r="EL24" s="173"/>
      <c r="EM24" s="186">
        <f t="shared" si="45"/>
        <v>0</v>
      </c>
      <c r="EN24" s="185"/>
      <c r="EO24" s="173"/>
      <c r="EP24" s="186">
        <f t="shared" si="46"/>
        <v>0</v>
      </c>
      <c r="EQ24" s="185"/>
      <c r="ER24" s="173"/>
      <c r="ES24" s="186">
        <f t="shared" si="47"/>
        <v>0</v>
      </c>
      <c r="ET24" s="185"/>
      <c r="EU24" s="173"/>
      <c r="EV24" s="186">
        <f t="shared" si="48"/>
        <v>0</v>
      </c>
      <c r="EW24" s="185"/>
      <c r="EX24" s="184"/>
      <c r="EY24" s="186">
        <f t="shared" si="49"/>
        <v>0</v>
      </c>
      <c r="EZ24" s="185"/>
      <c r="FA24" s="184"/>
      <c r="FB24" s="186">
        <f t="shared" si="50"/>
        <v>0</v>
      </c>
      <c r="FC24" s="185"/>
      <c r="FD24" s="184"/>
      <c r="FE24" s="186">
        <f t="shared" si="51"/>
        <v>0</v>
      </c>
      <c r="FF24" s="185"/>
      <c r="FG24" s="173"/>
      <c r="FH24" s="186">
        <f t="shared" si="52"/>
        <v>0</v>
      </c>
      <c r="FI24" s="185"/>
      <c r="FJ24" s="173"/>
      <c r="FK24" s="186">
        <f t="shared" si="53"/>
        <v>0</v>
      </c>
      <c r="FL24" s="185"/>
      <c r="FM24" s="173"/>
      <c r="FN24" s="186">
        <f t="shared" si="54"/>
        <v>0</v>
      </c>
      <c r="FO24" s="185"/>
      <c r="FP24" s="173"/>
      <c r="FQ24" s="186">
        <f t="shared" si="55"/>
        <v>0</v>
      </c>
      <c r="FR24" s="185"/>
      <c r="FS24" s="173"/>
      <c r="FT24" s="186">
        <f t="shared" si="56"/>
        <v>0</v>
      </c>
      <c r="FU24" s="185"/>
      <c r="FV24" s="173"/>
      <c r="FW24" s="186">
        <f t="shared" si="57"/>
        <v>0</v>
      </c>
      <c r="FX24" s="185"/>
      <c r="FY24" s="173"/>
      <c r="FZ24" s="186">
        <f t="shared" si="58"/>
        <v>0</v>
      </c>
      <c r="GA24" s="185"/>
      <c r="GB24" s="173"/>
      <c r="GC24" s="186">
        <f t="shared" si="59"/>
        <v>0</v>
      </c>
      <c r="GD24" s="185"/>
      <c r="GE24" s="173"/>
      <c r="GF24" s="186">
        <f t="shared" si="60"/>
        <v>0</v>
      </c>
      <c r="GG24" s="185"/>
      <c r="GH24" s="173"/>
      <c r="GI24" s="186">
        <f t="shared" si="61"/>
        <v>0</v>
      </c>
      <c r="GJ24" s="185"/>
      <c r="GK24" s="173"/>
      <c r="GL24" s="186">
        <f t="shared" si="62"/>
        <v>0</v>
      </c>
      <c r="GM24" s="185"/>
      <c r="GN24" s="173"/>
      <c r="GO24" s="186">
        <f t="shared" si="63"/>
        <v>0</v>
      </c>
      <c r="GP24" s="185"/>
      <c r="GQ24" s="173"/>
      <c r="GR24" s="186">
        <f t="shared" si="64"/>
        <v>0</v>
      </c>
      <c r="GS24" s="185"/>
      <c r="GT24" s="173"/>
      <c r="GU24" s="186">
        <f t="shared" si="65"/>
        <v>0</v>
      </c>
      <c r="GV24" s="185"/>
      <c r="GW24" s="173"/>
      <c r="GX24" s="186">
        <f t="shared" si="66"/>
        <v>0</v>
      </c>
      <c r="GY24" s="185"/>
      <c r="GZ24" s="173"/>
      <c r="HA24" s="186">
        <f t="shared" si="67"/>
        <v>0</v>
      </c>
      <c r="HB24" s="185"/>
      <c r="HC24" s="173"/>
      <c r="HD24" s="186">
        <f t="shared" si="68"/>
        <v>0</v>
      </c>
      <c r="HE24" s="185"/>
      <c r="HF24" s="173"/>
      <c r="HG24" s="186">
        <f t="shared" si="69"/>
        <v>0</v>
      </c>
      <c r="HH24" s="185"/>
      <c r="HI24" s="173"/>
      <c r="HJ24" s="186">
        <f t="shared" si="70"/>
        <v>0</v>
      </c>
      <c r="HK24" s="185"/>
      <c r="HL24" s="173"/>
      <c r="HM24" s="186">
        <f t="shared" si="71"/>
        <v>0</v>
      </c>
      <c r="HN24" s="185"/>
      <c r="HO24" s="173"/>
      <c r="HP24" s="186">
        <f t="shared" si="72"/>
        <v>0</v>
      </c>
      <c r="HQ24" s="185"/>
      <c r="HR24" s="173"/>
      <c r="HS24" s="186">
        <f t="shared" si="73"/>
        <v>0</v>
      </c>
      <c r="HT24" s="185"/>
      <c r="HU24" s="173"/>
      <c r="HV24" s="186">
        <f t="shared" si="74"/>
        <v>0</v>
      </c>
      <c r="HW24" s="185"/>
      <c r="HX24" s="173"/>
      <c r="HY24" s="186">
        <f t="shared" si="75"/>
        <v>0</v>
      </c>
      <c r="HZ24" s="185"/>
      <c r="IA24" s="173"/>
      <c r="IB24" s="186">
        <f t="shared" si="76"/>
        <v>0</v>
      </c>
      <c r="IC24" s="185"/>
      <c r="ID24" s="173"/>
      <c r="IE24" s="186">
        <f t="shared" si="77"/>
        <v>0</v>
      </c>
      <c r="IF24" s="185"/>
      <c r="IG24" s="173"/>
      <c r="IH24" s="186">
        <f t="shared" si="78"/>
        <v>0</v>
      </c>
      <c r="II24" s="185"/>
      <c r="IJ24" s="173"/>
      <c r="IK24" s="186">
        <f t="shared" si="79"/>
        <v>0</v>
      </c>
      <c r="IL24" s="185"/>
      <c r="IM24" s="173"/>
      <c r="IN24" s="186">
        <f t="shared" si="80"/>
        <v>0</v>
      </c>
      <c r="IO24" s="185"/>
      <c r="IP24" s="173"/>
      <c r="IQ24" s="186">
        <f t="shared" si="81"/>
        <v>0</v>
      </c>
      <c r="IR24" s="185"/>
      <c r="IS24" s="173"/>
      <c r="IT24" s="186">
        <f t="shared" si="82"/>
        <v>0</v>
      </c>
      <c r="IU24" s="185"/>
      <c r="IV24" s="173"/>
      <c r="IW24" s="186">
        <f t="shared" si="83"/>
        <v>0</v>
      </c>
      <c r="IX24" s="185"/>
      <c r="IY24" s="173"/>
      <c r="IZ24" s="186">
        <f t="shared" si="84"/>
        <v>0</v>
      </c>
      <c r="JA24" s="185"/>
      <c r="JB24" s="173"/>
      <c r="JC24" s="186">
        <f t="shared" si="85"/>
        <v>0</v>
      </c>
      <c r="JD24" s="185"/>
      <c r="JE24" s="173"/>
      <c r="JF24" s="186">
        <f t="shared" si="86"/>
        <v>0</v>
      </c>
      <c r="JG24" s="185"/>
      <c r="JH24" s="173"/>
      <c r="JI24" s="186"/>
      <c r="JJ24" s="185"/>
      <c r="JK24" s="173"/>
      <c r="JL24" s="186">
        <f t="shared" si="88"/>
        <v>0</v>
      </c>
      <c r="JM24" s="185"/>
      <c r="JN24" s="173"/>
      <c r="JO24" s="186">
        <f t="shared" si="89"/>
        <v>0</v>
      </c>
      <c r="JP24" s="185"/>
      <c r="JQ24" s="173"/>
      <c r="JR24" s="186">
        <f t="shared" si="90"/>
        <v>0</v>
      </c>
      <c r="JS24" s="185"/>
      <c r="JT24" s="173"/>
      <c r="JU24" s="186" t="str" cm="1">
        <f t="array" aca="1" ref="JU24"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4" s="187"/>
      <c r="JW24" s="173"/>
      <c r="JX24" s="186" t="str" cm="1">
        <f t="array" aca="1" ref="JX24"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4" s="185"/>
      <c r="JZ24" s="184"/>
      <c r="KA24" s="186" t="str" cm="1">
        <f t="array" aca="1" ref="KA24"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4" s="185"/>
      <c r="KC24" s="184"/>
      <c r="KD24" s="186" t="str" cm="1">
        <f t="array" aca="1" ref="KD24"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4" s="185"/>
      <c r="KF24" s="184"/>
    </row>
    <row r="25" spans="1:292" x14ac:dyDescent="0.3">
      <c r="A25" s="191">
        <f>[1]Reg!A25</f>
        <v>22</v>
      </c>
      <c r="B25" s="190">
        <f t="shared" si="0"/>
        <v>0</v>
      </c>
      <c r="C25" s="185"/>
      <c r="D25" s="173"/>
      <c r="E25" s="190">
        <f t="shared" si="1"/>
        <v>0</v>
      </c>
      <c r="F25" s="185"/>
      <c r="G25" s="173"/>
      <c r="H25" s="190">
        <f t="shared" si="2"/>
        <v>0</v>
      </c>
      <c r="I25" s="185"/>
      <c r="J25" s="173"/>
      <c r="K25" s="190">
        <f t="shared" si="3"/>
        <v>0</v>
      </c>
      <c r="L25" s="185"/>
      <c r="M25" s="173"/>
      <c r="N25" s="190">
        <f t="shared" si="4"/>
        <v>0</v>
      </c>
      <c r="O25" s="185"/>
      <c r="P25" s="173"/>
      <c r="Q25" s="190">
        <f t="shared" si="5"/>
        <v>0</v>
      </c>
      <c r="R25" s="188"/>
      <c r="S25" s="173"/>
      <c r="T25" s="189"/>
      <c r="U25" s="189"/>
      <c r="V25" s="189"/>
      <c r="W25" s="186">
        <f t="shared" si="6"/>
        <v>0</v>
      </c>
      <c r="X25" s="185"/>
      <c r="Y25" s="173"/>
      <c r="Z25" s="186">
        <f t="shared" si="7"/>
        <v>0</v>
      </c>
      <c r="AA25" s="188"/>
      <c r="AB25" s="173"/>
      <c r="AC25" s="186">
        <f t="shared" si="8"/>
        <v>0</v>
      </c>
      <c r="AD25" s="185"/>
      <c r="AE25" s="173"/>
      <c r="AF25" s="186">
        <f t="shared" si="9"/>
        <v>0</v>
      </c>
      <c r="AG25" s="185"/>
      <c r="AH25" s="173"/>
      <c r="AI25" s="186">
        <f t="shared" si="10"/>
        <v>0</v>
      </c>
      <c r="AJ25" s="185"/>
      <c r="AK25" s="173"/>
      <c r="AL25" s="186">
        <f t="shared" si="11"/>
        <v>0</v>
      </c>
      <c r="AM25" s="185"/>
      <c r="AN25" s="173"/>
      <c r="AO25" s="186">
        <f t="shared" si="12"/>
        <v>0</v>
      </c>
      <c r="AP25" s="185"/>
      <c r="AQ25" s="173"/>
      <c r="AR25" s="186">
        <f t="shared" si="13"/>
        <v>0</v>
      </c>
      <c r="AS25" s="185"/>
      <c r="AT25" s="173"/>
      <c r="AU25" s="186">
        <f t="shared" si="14"/>
        <v>0</v>
      </c>
      <c r="AV25" s="185"/>
      <c r="AW25" s="173"/>
      <c r="AX25" s="186">
        <f t="shared" si="15"/>
        <v>0</v>
      </c>
      <c r="AY25" s="185"/>
      <c r="AZ25" s="173"/>
      <c r="BA25" s="186">
        <f t="shared" si="16"/>
        <v>0</v>
      </c>
      <c r="BB25" s="185"/>
      <c r="BC25" s="173"/>
      <c r="BD25" s="186">
        <f t="shared" si="17"/>
        <v>0</v>
      </c>
      <c r="BE25" s="185"/>
      <c r="BF25" s="173"/>
      <c r="BG25" s="186">
        <f t="shared" si="18"/>
        <v>0</v>
      </c>
      <c r="BH25" s="185"/>
      <c r="BI25" s="173"/>
      <c r="BJ25" s="186">
        <f t="shared" si="19"/>
        <v>0</v>
      </c>
      <c r="BK25" s="185"/>
      <c r="BL25" s="173"/>
      <c r="BM25" s="186">
        <f t="shared" si="20"/>
        <v>0</v>
      </c>
      <c r="BN25" s="185"/>
      <c r="BO25" s="173"/>
      <c r="BP25" s="186">
        <f t="shared" si="21"/>
        <v>0</v>
      </c>
      <c r="BQ25" s="185"/>
      <c r="BR25" s="173"/>
      <c r="BS25" s="186">
        <f t="shared" si="22"/>
        <v>0</v>
      </c>
      <c r="BT25" s="185"/>
      <c r="BU25" s="173"/>
      <c r="BV25" s="186">
        <f t="shared" si="23"/>
        <v>0</v>
      </c>
      <c r="BW25" s="185"/>
      <c r="BX25" s="173"/>
      <c r="BY25" s="186">
        <f t="shared" si="24"/>
        <v>0</v>
      </c>
      <c r="BZ25" s="185"/>
      <c r="CA25" s="173"/>
      <c r="CB25" s="186">
        <f t="shared" si="25"/>
        <v>0</v>
      </c>
      <c r="CC25" s="185"/>
      <c r="CD25" s="173"/>
      <c r="CE25" s="186">
        <f t="shared" si="91"/>
        <v>0</v>
      </c>
      <c r="CF25" s="185"/>
      <c r="CG25" s="173"/>
      <c r="CH25" s="186">
        <f t="shared" si="92"/>
        <v>0</v>
      </c>
      <c r="CI25" s="185"/>
      <c r="CJ25" s="173"/>
      <c r="CK25" s="186">
        <f t="shared" si="27"/>
        <v>0</v>
      </c>
      <c r="CL25" s="185"/>
      <c r="CM25" s="173"/>
      <c r="CN25" s="186">
        <f t="shared" si="28"/>
        <v>0</v>
      </c>
      <c r="CO25" s="185"/>
      <c r="CP25" s="173"/>
      <c r="CQ25" s="186">
        <f t="shared" si="29"/>
        <v>0</v>
      </c>
      <c r="CR25" s="185"/>
      <c r="CS25" s="173"/>
      <c r="CT25" s="186">
        <f t="shared" si="30"/>
        <v>0</v>
      </c>
      <c r="CU25" s="185"/>
      <c r="CV25" s="173"/>
      <c r="CW25" s="186">
        <f t="shared" si="31"/>
        <v>0</v>
      </c>
      <c r="CX25" s="185"/>
      <c r="CY25" s="173"/>
      <c r="CZ25" s="186">
        <f t="shared" si="32"/>
        <v>0</v>
      </c>
      <c r="DA25" s="185"/>
      <c r="DB25" s="173"/>
      <c r="DC25" s="186">
        <f t="shared" si="33"/>
        <v>0</v>
      </c>
      <c r="DD25" s="185"/>
      <c r="DE25" s="173"/>
      <c r="DF25" s="186">
        <f t="shared" si="34"/>
        <v>0</v>
      </c>
      <c r="DG25" s="185"/>
      <c r="DH25" s="173"/>
      <c r="DI25" s="186">
        <f t="shared" si="35"/>
        <v>0</v>
      </c>
      <c r="DJ25" s="185"/>
      <c r="DK25" s="173"/>
      <c r="DL25" s="186">
        <f t="shared" si="36"/>
        <v>0</v>
      </c>
      <c r="DM25" s="185"/>
      <c r="DN25" s="173"/>
      <c r="DO25" s="186">
        <f t="shared" si="37"/>
        <v>0</v>
      </c>
      <c r="DP25" s="185"/>
      <c r="DQ25" s="173"/>
      <c r="DR25" s="186">
        <f t="shared" si="38"/>
        <v>0</v>
      </c>
      <c r="DS25" s="185"/>
      <c r="DT25" s="173"/>
      <c r="DU25" s="186">
        <f t="shared" si="39"/>
        <v>0</v>
      </c>
      <c r="DV25" s="185"/>
      <c r="DW25" s="173"/>
      <c r="DX25" s="186">
        <f t="shared" si="40"/>
        <v>0</v>
      </c>
      <c r="DY25" s="185"/>
      <c r="DZ25" s="173"/>
      <c r="EA25" s="186">
        <f t="shared" si="41"/>
        <v>0</v>
      </c>
      <c r="EB25" s="185"/>
      <c r="EC25" s="173"/>
      <c r="ED25" s="186">
        <f t="shared" si="42"/>
        <v>0</v>
      </c>
      <c r="EE25" s="185"/>
      <c r="EF25" s="173"/>
      <c r="EG25" s="186">
        <f t="shared" si="43"/>
        <v>0</v>
      </c>
      <c r="EH25" s="185"/>
      <c r="EI25" s="173"/>
      <c r="EJ25" s="186">
        <f t="shared" si="44"/>
        <v>0</v>
      </c>
      <c r="EK25" s="185"/>
      <c r="EL25" s="173"/>
      <c r="EM25" s="186">
        <f t="shared" si="45"/>
        <v>0</v>
      </c>
      <c r="EN25" s="185"/>
      <c r="EO25" s="173"/>
      <c r="EP25" s="186">
        <f t="shared" si="46"/>
        <v>0</v>
      </c>
      <c r="EQ25" s="185"/>
      <c r="ER25" s="173"/>
      <c r="ES25" s="186">
        <f t="shared" si="47"/>
        <v>0</v>
      </c>
      <c r="ET25" s="185"/>
      <c r="EU25" s="173"/>
      <c r="EV25" s="186">
        <f t="shared" si="48"/>
        <v>0</v>
      </c>
      <c r="EW25" s="185"/>
      <c r="EX25" s="184"/>
      <c r="EY25" s="186">
        <f t="shared" si="49"/>
        <v>0</v>
      </c>
      <c r="EZ25" s="185"/>
      <c r="FA25" s="184"/>
      <c r="FB25" s="186">
        <f t="shared" si="50"/>
        <v>0</v>
      </c>
      <c r="FC25" s="185"/>
      <c r="FD25" s="184"/>
      <c r="FE25" s="186">
        <f t="shared" si="51"/>
        <v>0</v>
      </c>
      <c r="FF25" s="185"/>
      <c r="FG25" s="173"/>
      <c r="FH25" s="186">
        <f t="shared" si="52"/>
        <v>0</v>
      </c>
      <c r="FI25" s="185"/>
      <c r="FJ25" s="173"/>
      <c r="FK25" s="186">
        <f t="shared" si="53"/>
        <v>0</v>
      </c>
      <c r="FL25" s="185"/>
      <c r="FM25" s="173"/>
      <c r="FN25" s="186">
        <f t="shared" si="54"/>
        <v>0</v>
      </c>
      <c r="FO25" s="185"/>
      <c r="FP25" s="173"/>
      <c r="FQ25" s="186">
        <f t="shared" si="55"/>
        <v>0</v>
      </c>
      <c r="FR25" s="185"/>
      <c r="FS25" s="173"/>
      <c r="FT25" s="186">
        <f t="shared" si="56"/>
        <v>0</v>
      </c>
      <c r="FU25" s="185"/>
      <c r="FV25" s="173"/>
      <c r="FW25" s="186">
        <f t="shared" si="57"/>
        <v>0</v>
      </c>
      <c r="FX25" s="185"/>
      <c r="FY25" s="173"/>
      <c r="FZ25" s="186">
        <f t="shared" si="58"/>
        <v>0</v>
      </c>
      <c r="GA25" s="185"/>
      <c r="GB25" s="173"/>
      <c r="GC25" s="186">
        <f t="shared" si="59"/>
        <v>0</v>
      </c>
      <c r="GD25" s="185"/>
      <c r="GE25" s="173"/>
      <c r="GF25" s="186">
        <f t="shared" si="60"/>
        <v>0</v>
      </c>
      <c r="GG25" s="185"/>
      <c r="GH25" s="173"/>
      <c r="GI25" s="186">
        <f t="shared" si="61"/>
        <v>0</v>
      </c>
      <c r="GJ25" s="185"/>
      <c r="GK25" s="173"/>
      <c r="GL25" s="186">
        <f t="shared" si="62"/>
        <v>0</v>
      </c>
      <c r="GM25" s="185"/>
      <c r="GN25" s="173"/>
      <c r="GO25" s="186">
        <f t="shared" si="63"/>
        <v>0</v>
      </c>
      <c r="GP25" s="185"/>
      <c r="GQ25" s="173"/>
      <c r="GR25" s="186">
        <f t="shared" si="64"/>
        <v>0</v>
      </c>
      <c r="GS25" s="185"/>
      <c r="GT25" s="173"/>
      <c r="GU25" s="186">
        <f t="shared" si="65"/>
        <v>0</v>
      </c>
      <c r="GV25" s="185"/>
      <c r="GW25" s="173"/>
      <c r="GX25" s="186">
        <f t="shared" si="66"/>
        <v>0</v>
      </c>
      <c r="GY25" s="185"/>
      <c r="GZ25" s="173"/>
      <c r="HA25" s="186">
        <f t="shared" si="67"/>
        <v>0</v>
      </c>
      <c r="HB25" s="185"/>
      <c r="HC25" s="173"/>
      <c r="HD25" s="186">
        <f t="shared" si="68"/>
        <v>0</v>
      </c>
      <c r="HE25" s="185"/>
      <c r="HF25" s="173"/>
      <c r="HG25" s="186">
        <f t="shared" si="69"/>
        <v>0</v>
      </c>
      <c r="HH25" s="185"/>
      <c r="HI25" s="173"/>
      <c r="HJ25" s="186">
        <f t="shared" si="70"/>
        <v>0</v>
      </c>
      <c r="HK25" s="185"/>
      <c r="HL25" s="173"/>
      <c r="HM25" s="186">
        <f t="shared" si="71"/>
        <v>0</v>
      </c>
      <c r="HN25" s="185"/>
      <c r="HO25" s="173"/>
      <c r="HP25" s="186">
        <f t="shared" si="72"/>
        <v>0</v>
      </c>
      <c r="HQ25" s="185"/>
      <c r="HR25" s="173"/>
      <c r="HS25" s="186">
        <f t="shared" si="73"/>
        <v>0</v>
      </c>
      <c r="HT25" s="185"/>
      <c r="HU25" s="173"/>
      <c r="HV25" s="186">
        <f t="shared" si="74"/>
        <v>0</v>
      </c>
      <c r="HW25" s="185"/>
      <c r="HX25" s="173"/>
      <c r="HY25" s="186">
        <f t="shared" si="75"/>
        <v>0</v>
      </c>
      <c r="HZ25" s="185"/>
      <c r="IA25" s="173"/>
      <c r="IB25" s="186">
        <f t="shared" si="76"/>
        <v>0</v>
      </c>
      <c r="IC25" s="185"/>
      <c r="ID25" s="173"/>
      <c r="IE25" s="186">
        <f t="shared" si="77"/>
        <v>0</v>
      </c>
      <c r="IF25" s="185"/>
      <c r="IG25" s="173"/>
      <c r="IH25" s="186">
        <f t="shared" si="78"/>
        <v>0</v>
      </c>
      <c r="II25" s="185"/>
      <c r="IJ25" s="173"/>
      <c r="IK25" s="186">
        <f t="shared" si="79"/>
        <v>0</v>
      </c>
      <c r="IL25" s="185"/>
      <c r="IM25" s="173"/>
      <c r="IN25" s="186">
        <f t="shared" si="80"/>
        <v>0</v>
      </c>
      <c r="IO25" s="185"/>
      <c r="IP25" s="173"/>
      <c r="IQ25" s="186">
        <f t="shared" si="81"/>
        <v>0</v>
      </c>
      <c r="IR25" s="185"/>
      <c r="IS25" s="173"/>
      <c r="IT25" s="186">
        <f t="shared" si="82"/>
        <v>0</v>
      </c>
      <c r="IU25" s="185"/>
      <c r="IV25" s="173"/>
      <c r="IW25" s="186">
        <f t="shared" si="83"/>
        <v>0</v>
      </c>
      <c r="IX25" s="185"/>
      <c r="IY25" s="173"/>
      <c r="IZ25" s="186">
        <f t="shared" si="84"/>
        <v>0</v>
      </c>
      <c r="JA25" s="185"/>
      <c r="JB25" s="173"/>
      <c r="JC25" s="186">
        <f t="shared" si="85"/>
        <v>0</v>
      </c>
      <c r="JD25" s="185"/>
      <c r="JE25" s="173"/>
      <c r="JF25" s="186">
        <f t="shared" si="86"/>
        <v>0</v>
      </c>
      <c r="JG25" s="185"/>
      <c r="JH25" s="173"/>
      <c r="JI25" s="186"/>
      <c r="JJ25" s="185"/>
      <c r="JK25" s="173"/>
      <c r="JL25" s="186">
        <f t="shared" si="88"/>
        <v>0</v>
      </c>
      <c r="JM25" s="185"/>
      <c r="JN25" s="173"/>
      <c r="JO25" s="186">
        <f t="shared" si="89"/>
        <v>0</v>
      </c>
      <c r="JP25" s="185"/>
      <c r="JQ25" s="173"/>
      <c r="JR25" s="186">
        <f t="shared" si="90"/>
        <v>0</v>
      </c>
      <c r="JS25" s="185"/>
      <c r="JT25" s="173"/>
      <c r="JU25" s="186" t="str" cm="1">
        <f t="array" aca="1" ref="JU25"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5" s="187"/>
      <c r="JW25" s="173"/>
      <c r="JX25" s="186" t="str" cm="1">
        <f t="array" aca="1" ref="JX25"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5" s="185"/>
      <c r="JZ25" s="184"/>
      <c r="KA25" s="186" t="str" cm="1">
        <f t="array" aca="1" ref="KA25"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5" s="185"/>
      <c r="KC25" s="184"/>
      <c r="KD25" s="186" t="str" cm="1">
        <f t="array" aca="1" ref="KD25"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5" s="185"/>
      <c r="KF25" s="184"/>
    </row>
    <row r="26" spans="1:292" x14ac:dyDescent="0.3">
      <c r="A26" s="192">
        <f>[1]Reg!A26</f>
        <v>23</v>
      </c>
      <c r="B26" s="190">
        <f t="shared" si="0"/>
        <v>0</v>
      </c>
      <c r="C26" s="185"/>
      <c r="D26" s="173"/>
      <c r="E26" s="190">
        <f t="shared" si="1"/>
        <v>0</v>
      </c>
      <c r="F26" s="185"/>
      <c r="G26" s="173"/>
      <c r="H26" s="190">
        <f t="shared" si="2"/>
        <v>0</v>
      </c>
      <c r="I26" s="185"/>
      <c r="J26" s="173"/>
      <c r="K26" s="190">
        <f t="shared" si="3"/>
        <v>0</v>
      </c>
      <c r="L26" s="185"/>
      <c r="M26" s="173"/>
      <c r="N26" s="190">
        <f t="shared" si="4"/>
        <v>0</v>
      </c>
      <c r="O26" s="185"/>
      <c r="P26" s="173"/>
      <c r="Q26" s="190">
        <f t="shared" si="5"/>
        <v>0</v>
      </c>
      <c r="R26" s="185"/>
      <c r="S26" s="173"/>
      <c r="T26" s="189"/>
      <c r="U26" s="189"/>
      <c r="V26" s="189"/>
      <c r="W26" s="186">
        <f t="shared" si="6"/>
        <v>0</v>
      </c>
      <c r="X26" s="185"/>
      <c r="Y26" s="173"/>
      <c r="Z26" s="186">
        <f t="shared" si="7"/>
        <v>0</v>
      </c>
      <c r="AA26" s="188"/>
      <c r="AB26" s="173"/>
      <c r="AC26" s="186">
        <f t="shared" si="8"/>
        <v>0</v>
      </c>
      <c r="AD26" s="185"/>
      <c r="AE26" s="173"/>
      <c r="AF26" s="186">
        <f t="shared" si="9"/>
        <v>0</v>
      </c>
      <c r="AG26" s="185"/>
      <c r="AH26" s="173"/>
      <c r="AI26" s="186">
        <f t="shared" si="10"/>
        <v>0</v>
      </c>
      <c r="AJ26" s="185"/>
      <c r="AK26" s="173"/>
      <c r="AL26" s="186">
        <f t="shared" si="11"/>
        <v>0</v>
      </c>
      <c r="AM26" s="185"/>
      <c r="AN26" s="173"/>
      <c r="AO26" s="186">
        <f t="shared" si="12"/>
        <v>0</v>
      </c>
      <c r="AP26" s="185"/>
      <c r="AQ26" s="173"/>
      <c r="AR26" s="186">
        <f t="shared" si="13"/>
        <v>0</v>
      </c>
      <c r="AS26" s="185"/>
      <c r="AT26" s="173"/>
      <c r="AU26" s="186">
        <f t="shared" si="14"/>
        <v>0</v>
      </c>
      <c r="AV26" s="185"/>
      <c r="AW26" s="173"/>
      <c r="AX26" s="186">
        <f t="shared" si="15"/>
        <v>0</v>
      </c>
      <c r="AY26" s="185"/>
      <c r="AZ26" s="173"/>
      <c r="BA26" s="186">
        <f t="shared" si="16"/>
        <v>0</v>
      </c>
      <c r="BB26" s="185"/>
      <c r="BC26" s="173"/>
      <c r="BD26" s="186">
        <f t="shared" si="17"/>
        <v>0</v>
      </c>
      <c r="BE26" s="185"/>
      <c r="BF26" s="173"/>
      <c r="BG26" s="186">
        <f t="shared" si="18"/>
        <v>0</v>
      </c>
      <c r="BH26" s="185"/>
      <c r="BI26" s="173"/>
      <c r="BJ26" s="186">
        <f t="shared" si="19"/>
        <v>0</v>
      </c>
      <c r="BK26" s="185"/>
      <c r="BL26" s="173"/>
      <c r="BM26" s="186">
        <f t="shared" si="20"/>
        <v>0</v>
      </c>
      <c r="BN26" s="185"/>
      <c r="BO26" s="173"/>
      <c r="BP26" s="186">
        <f t="shared" si="21"/>
        <v>0</v>
      </c>
      <c r="BQ26" s="185"/>
      <c r="BR26" s="173"/>
      <c r="BS26" s="186">
        <f t="shared" si="22"/>
        <v>0</v>
      </c>
      <c r="BT26" s="185"/>
      <c r="BU26" s="173"/>
      <c r="BV26" s="186">
        <f t="shared" si="23"/>
        <v>0</v>
      </c>
      <c r="BW26" s="185"/>
      <c r="BX26" s="173"/>
      <c r="BY26" s="186">
        <f t="shared" si="24"/>
        <v>0</v>
      </c>
      <c r="BZ26" s="185"/>
      <c r="CA26" s="173"/>
      <c r="CB26" s="186">
        <f t="shared" si="25"/>
        <v>0</v>
      </c>
      <c r="CC26" s="185"/>
      <c r="CD26" s="173"/>
      <c r="CE26" s="186">
        <f t="shared" si="91"/>
        <v>0</v>
      </c>
      <c r="CF26" s="185"/>
      <c r="CG26" s="173"/>
      <c r="CH26" s="186">
        <f t="shared" si="92"/>
        <v>0</v>
      </c>
      <c r="CI26" s="185"/>
      <c r="CJ26" s="173"/>
      <c r="CK26" s="186">
        <f t="shared" si="27"/>
        <v>0</v>
      </c>
      <c r="CL26" s="185"/>
      <c r="CM26" s="173"/>
      <c r="CN26" s="186">
        <f t="shared" si="28"/>
        <v>0</v>
      </c>
      <c r="CO26" s="185"/>
      <c r="CP26" s="173"/>
      <c r="CQ26" s="186">
        <f t="shared" si="29"/>
        <v>0</v>
      </c>
      <c r="CR26" s="185"/>
      <c r="CS26" s="173"/>
      <c r="CT26" s="186">
        <f t="shared" si="30"/>
        <v>0</v>
      </c>
      <c r="CU26" s="185"/>
      <c r="CV26" s="173"/>
      <c r="CW26" s="186">
        <f t="shared" si="31"/>
        <v>0</v>
      </c>
      <c r="CX26" s="185"/>
      <c r="CY26" s="173"/>
      <c r="CZ26" s="186">
        <f t="shared" si="32"/>
        <v>0</v>
      </c>
      <c r="DA26" s="185"/>
      <c r="DB26" s="173"/>
      <c r="DC26" s="186">
        <f t="shared" si="33"/>
        <v>0</v>
      </c>
      <c r="DD26" s="185"/>
      <c r="DE26" s="173"/>
      <c r="DF26" s="186">
        <f t="shared" si="34"/>
        <v>0</v>
      </c>
      <c r="DG26" s="185"/>
      <c r="DH26" s="173"/>
      <c r="DI26" s="186">
        <f t="shared" si="35"/>
        <v>0</v>
      </c>
      <c r="DJ26" s="185"/>
      <c r="DK26" s="173"/>
      <c r="DL26" s="186">
        <f t="shared" si="36"/>
        <v>0</v>
      </c>
      <c r="DM26" s="185"/>
      <c r="DN26" s="173"/>
      <c r="DO26" s="186">
        <f t="shared" si="37"/>
        <v>0</v>
      </c>
      <c r="DP26" s="185"/>
      <c r="DQ26" s="173"/>
      <c r="DR26" s="186">
        <f t="shared" si="38"/>
        <v>0</v>
      </c>
      <c r="DS26" s="185"/>
      <c r="DT26" s="173"/>
      <c r="DU26" s="186">
        <f t="shared" si="39"/>
        <v>0</v>
      </c>
      <c r="DV26" s="185"/>
      <c r="DW26" s="173"/>
      <c r="DX26" s="186">
        <f t="shared" si="40"/>
        <v>0</v>
      </c>
      <c r="DY26" s="185"/>
      <c r="DZ26" s="173"/>
      <c r="EA26" s="186">
        <f t="shared" si="41"/>
        <v>0</v>
      </c>
      <c r="EB26" s="185"/>
      <c r="EC26" s="173"/>
      <c r="ED26" s="186">
        <f t="shared" si="42"/>
        <v>0</v>
      </c>
      <c r="EE26" s="185"/>
      <c r="EF26" s="173"/>
      <c r="EG26" s="186">
        <f t="shared" si="43"/>
        <v>0</v>
      </c>
      <c r="EH26" s="185"/>
      <c r="EI26" s="173"/>
      <c r="EJ26" s="186">
        <f t="shared" si="44"/>
        <v>0</v>
      </c>
      <c r="EK26" s="185"/>
      <c r="EL26" s="173"/>
      <c r="EM26" s="186">
        <f t="shared" si="45"/>
        <v>0</v>
      </c>
      <c r="EN26" s="185"/>
      <c r="EO26" s="173"/>
      <c r="EP26" s="186">
        <f t="shared" si="46"/>
        <v>0</v>
      </c>
      <c r="EQ26" s="185"/>
      <c r="ER26" s="173"/>
      <c r="ES26" s="186">
        <f t="shared" si="47"/>
        <v>0</v>
      </c>
      <c r="ET26" s="185"/>
      <c r="EU26" s="173"/>
      <c r="EV26" s="186">
        <f t="shared" si="48"/>
        <v>0</v>
      </c>
      <c r="EW26" s="185"/>
      <c r="EX26" s="184"/>
      <c r="EY26" s="186">
        <f t="shared" si="49"/>
        <v>0</v>
      </c>
      <c r="EZ26" s="185"/>
      <c r="FA26" s="184"/>
      <c r="FB26" s="186">
        <f t="shared" si="50"/>
        <v>0</v>
      </c>
      <c r="FC26" s="185"/>
      <c r="FD26" s="184"/>
      <c r="FE26" s="186">
        <f t="shared" si="51"/>
        <v>0</v>
      </c>
      <c r="FF26" s="185"/>
      <c r="FG26" s="173"/>
      <c r="FH26" s="186">
        <f t="shared" si="52"/>
        <v>0</v>
      </c>
      <c r="FI26" s="185"/>
      <c r="FJ26" s="173"/>
      <c r="FK26" s="186">
        <f t="shared" si="53"/>
        <v>0</v>
      </c>
      <c r="FL26" s="185"/>
      <c r="FM26" s="173"/>
      <c r="FN26" s="186">
        <f t="shared" si="54"/>
        <v>0</v>
      </c>
      <c r="FO26" s="185"/>
      <c r="FP26" s="173"/>
      <c r="FQ26" s="186">
        <f t="shared" si="55"/>
        <v>0</v>
      </c>
      <c r="FR26" s="185"/>
      <c r="FS26" s="173"/>
      <c r="FT26" s="186">
        <f t="shared" si="56"/>
        <v>0</v>
      </c>
      <c r="FU26" s="185"/>
      <c r="FV26" s="173"/>
      <c r="FW26" s="186">
        <f t="shared" si="57"/>
        <v>0</v>
      </c>
      <c r="FX26" s="185"/>
      <c r="FY26" s="173"/>
      <c r="FZ26" s="186">
        <f t="shared" si="58"/>
        <v>0</v>
      </c>
      <c r="GA26" s="185"/>
      <c r="GB26" s="173"/>
      <c r="GC26" s="186">
        <f t="shared" si="59"/>
        <v>0</v>
      </c>
      <c r="GD26" s="185"/>
      <c r="GE26" s="173"/>
      <c r="GF26" s="186">
        <f t="shared" si="60"/>
        <v>0</v>
      </c>
      <c r="GG26" s="185"/>
      <c r="GH26" s="173"/>
      <c r="GI26" s="186">
        <f t="shared" si="61"/>
        <v>0</v>
      </c>
      <c r="GJ26" s="185"/>
      <c r="GK26" s="173"/>
      <c r="GL26" s="186">
        <f t="shared" si="62"/>
        <v>0</v>
      </c>
      <c r="GM26" s="185"/>
      <c r="GN26" s="173"/>
      <c r="GO26" s="186">
        <f t="shared" si="63"/>
        <v>0</v>
      </c>
      <c r="GP26" s="185"/>
      <c r="GQ26" s="173"/>
      <c r="GR26" s="186">
        <f t="shared" si="64"/>
        <v>0</v>
      </c>
      <c r="GS26" s="185"/>
      <c r="GT26" s="173"/>
      <c r="GU26" s="186">
        <f t="shared" si="65"/>
        <v>0</v>
      </c>
      <c r="GV26" s="185"/>
      <c r="GW26" s="173"/>
      <c r="GX26" s="186">
        <f t="shared" si="66"/>
        <v>0</v>
      </c>
      <c r="GY26" s="185"/>
      <c r="GZ26" s="173"/>
      <c r="HA26" s="186">
        <f t="shared" si="67"/>
        <v>0</v>
      </c>
      <c r="HB26" s="185"/>
      <c r="HC26" s="173"/>
      <c r="HD26" s="186">
        <f t="shared" si="68"/>
        <v>0</v>
      </c>
      <c r="HE26" s="185"/>
      <c r="HF26" s="173"/>
      <c r="HG26" s="186">
        <f t="shared" si="69"/>
        <v>0</v>
      </c>
      <c r="HH26" s="185"/>
      <c r="HI26" s="173"/>
      <c r="HJ26" s="186">
        <f t="shared" si="70"/>
        <v>0</v>
      </c>
      <c r="HK26" s="185"/>
      <c r="HL26" s="173"/>
      <c r="HM26" s="186">
        <f t="shared" si="71"/>
        <v>0</v>
      </c>
      <c r="HN26" s="185"/>
      <c r="HO26" s="173"/>
      <c r="HP26" s="186">
        <f t="shared" si="72"/>
        <v>0</v>
      </c>
      <c r="HQ26" s="185"/>
      <c r="HR26" s="173"/>
      <c r="HS26" s="186">
        <f t="shared" si="73"/>
        <v>0</v>
      </c>
      <c r="HT26" s="185"/>
      <c r="HU26" s="173"/>
      <c r="HV26" s="186">
        <f t="shared" si="74"/>
        <v>0</v>
      </c>
      <c r="HW26" s="185"/>
      <c r="HX26" s="173"/>
      <c r="HY26" s="186">
        <f t="shared" si="75"/>
        <v>0</v>
      </c>
      <c r="HZ26" s="185"/>
      <c r="IA26" s="173"/>
      <c r="IB26" s="186">
        <f t="shared" si="76"/>
        <v>0</v>
      </c>
      <c r="IC26" s="185"/>
      <c r="ID26" s="173"/>
      <c r="IE26" s="186">
        <f t="shared" si="77"/>
        <v>0</v>
      </c>
      <c r="IF26" s="185"/>
      <c r="IG26" s="173"/>
      <c r="IH26" s="186">
        <f t="shared" si="78"/>
        <v>0</v>
      </c>
      <c r="II26" s="185"/>
      <c r="IJ26" s="173"/>
      <c r="IK26" s="186">
        <f t="shared" si="79"/>
        <v>0</v>
      </c>
      <c r="IL26" s="185"/>
      <c r="IM26" s="173"/>
      <c r="IN26" s="186">
        <f t="shared" si="80"/>
        <v>0</v>
      </c>
      <c r="IO26" s="185"/>
      <c r="IP26" s="173"/>
      <c r="IQ26" s="186">
        <f t="shared" si="81"/>
        <v>0</v>
      </c>
      <c r="IR26" s="185"/>
      <c r="IS26" s="173"/>
      <c r="IT26" s="186">
        <f t="shared" si="82"/>
        <v>0</v>
      </c>
      <c r="IU26" s="185"/>
      <c r="IV26" s="173"/>
      <c r="IW26" s="186">
        <f t="shared" si="83"/>
        <v>0</v>
      </c>
      <c r="IX26" s="185"/>
      <c r="IY26" s="173"/>
      <c r="IZ26" s="186">
        <f t="shared" si="84"/>
        <v>0</v>
      </c>
      <c r="JA26" s="185"/>
      <c r="JB26" s="173"/>
      <c r="JC26" s="186">
        <f t="shared" si="85"/>
        <v>0</v>
      </c>
      <c r="JD26" s="185"/>
      <c r="JE26" s="173"/>
      <c r="JF26" s="186">
        <f t="shared" si="86"/>
        <v>0</v>
      </c>
      <c r="JG26" s="185"/>
      <c r="JH26" s="173"/>
      <c r="JI26" s="186"/>
      <c r="JJ26" s="185"/>
      <c r="JK26" s="173"/>
      <c r="JL26" s="186">
        <f t="shared" si="88"/>
        <v>0</v>
      </c>
      <c r="JM26" s="185"/>
      <c r="JN26" s="173"/>
      <c r="JO26" s="186">
        <f t="shared" si="89"/>
        <v>0</v>
      </c>
      <c r="JP26" s="185"/>
      <c r="JQ26" s="173"/>
      <c r="JR26" s="186">
        <f t="shared" si="90"/>
        <v>0</v>
      </c>
      <c r="JS26" s="185"/>
      <c r="JT26" s="173"/>
      <c r="JU26" s="186" t="str" cm="1">
        <f t="array" aca="1" ref="JU26"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6" s="187"/>
      <c r="JW26" s="173"/>
      <c r="JX26" s="186" t="str" cm="1">
        <f t="array" aca="1" ref="JX26"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6" s="185"/>
      <c r="JZ26" s="184"/>
      <c r="KA26" s="186" t="str" cm="1">
        <f t="array" aca="1" ref="KA26"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6" s="185"/>
      <c r="KC26" s="184"/>
      <c r="KD26" s="186" t="str" cm="1">
        <f t="array" aca="1" ref="KD26"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6" s="185"/>
      <c r="KF26" s="184"/>
    </row>
    <row r="27" spans="1:292" x14ac:dyDescent="0.3">
      <c r="A27" s="191">
        <f>[1]Reg!A27</f>
        <v>24</v>
      </c>
      <c r="B27" s="190">
        <f t="shared" si="0"/>
        <v>0</v>
      </c>
      <c r="C27" s="185"/>
      <c r="D27" s="173"/>
      <c r="E27" s="190">
        <f t="shared" si="1"/>
        <v>0</v>
      </c>
      <c r="F27" s="185"/>
      <c r="G27" s="173"/>
      <c r="H27" s="190">
        <f t="shared" si="2"/>
        <v>0</v>
      </c>
      <c r="I27" s="185"/>
      <c r="J27" s="173"/>
      <c r="K27" s="190">
        <f t="shared" si="3"/>
        <v>0</v>
      </c>
      <c r="L27" s="185"/>
      <c r="M27" s="173"/>
      <c r="N27" s="190">
        <f t="shared" si="4"/>
        <v>0</v>
      </c>
      <c r="O27" s="185"/>
      <c r="P27" s="173"/>
      <c r="Q27" s="190">
        <f t="shared" si="5"/>
        <v>0</v>
      </c>
      <c r="R27" s="185"/>
      <c r="S27" s="173"/>
      <c r="T27" s="189"/>
      <c r="U27" s="189"/>
      <c r="V27" s="189"/>
      <c r="W27" s="186">
        <f t="shared" si="6"/>
        <v>0</v>
      </c>
      <c r="X27" s="185"/>
      <c r="Y27" s="173"/>
      <c r="Z27" s="186">
        <f t="shared" si="7"/>
        <v>0</v>
      </c>
      <c r="AA27" s="188"/>
      <c r="AB27" s="173"/>
      <c r="AC27" s="186">
        <f t="shared" si="8"/>
        <v>0</v>
      </c>
      <c r="AD27" s="185"/>
      <c r="AE27" s="173"/>
      <c r="AF27" s="186">
        <f t="shared" si="9"/>
        <v>0</v>
      </c>
      <c r="AG27" s="185"/>
      <c r="AH27" s="173"/>
      <c r="AI27" s="186">
        <f t="shared" si="10"/>
        <v>0</v>
      </c>
      <c r="AJ27" s="185"/>
      <c r="AK27" s="173"/>
      <c r="AL27" s="186">
        <f t="shared" si="11"/>
        <v>0</v>
      </c>
      <c r="AM27" s="185"/>
      <c r="AN27" s="173"/>
      <c r="AO27" s="186">
        <f t="shared" si="12"/>
        <v>0</v>
      </c>
      <c r="AP27" s="185"/>
      <c r="AQ27" s="173"/>
      <c r="AR27" s="186">
        <f t="shared" si="13"/>
        <v>0</v>
      </c>
      <c r="AS27" s="185"/>
      <c r="AT27" s="173"/>
      <c r="AU27" s="186">
        <f t="shared" si="14"/>
        <v>0</v>
      </c>
      <c r="AV27" s="185"/>
      <c r="AW27" s="173"/>
      <c r="AX27" s="186">
        <f t="shared" si="15"/>
        <v>0</v>
      </c>
      <c r="AY27" s="185"/>
      <c r="AZ27" s="173"/>
      <c r="BA27" s="186">
        <f t="shared" si="16"/>
        <v>0</v>
      </c>
      <c r="BB27" s="185"/>
      <c r="BC27" s="173"/>
      <c r="BD27" s="186">
        <f t="shared" si="17"/>
        <v>0</v>
      </c>
      <c r="BE27" s="185"/>
      <c r="BF27" s="173"/>
      <c r="BG27" s="186">
        <f t="shared" si="18"/>
        <v>0</v>
      </c>
      <c r="BH27" s="185"/>
      <c r="BI27" s="173"/>
      <c r="BJ27" s="186">
        <f t="shared" si="19"/>
        <v>0</v>
      </c>
      <c r="BK27" s="185"/>
      <c r="BL27" s="173"/>
      <c r="BM27" s="186">
        <f t="shared" si="20"/>
        <v>0</v>
      </c>
      <c r="BN27" s="185"/>
      <c r="BO27" s="173"/>
      <c r="BP27" s="186">
        <f t="shared" si="21"/>
        <v>0</v>
      </c>
      <c r="BQ27" s="185"/>
      <c r="BR27" s="173"/>
      <c r="BS27" s="186">
        <f t="shared" si="22"/>
        <v>0</v>
      </c>
      <c r="BT27" s="185"/>
      <c r="BU27" s="173"/>
      <c r="BV27" s="186">
        <f t="shared" si="23"/>
        <v>0</v>
      </c>
      <c r="BW27" s="185"/>
      <c r="BX27" s="173"/>
      <c r="BY27" s="186">
        <f t="shared" si="24"/>
        <v>0</v>
      </c>
      <c r="BZ27" s="185"/>
      <c r="CA27" s="173"/>
      <c r="CB27" s="186">
        <f t="shared" si="25"/>
        <v>0</v>
      </c>
      <c r="CC27" s="185"/>
      <c r="CD27" s="173"/>
      <c r="CE27" s="186">
        <f t="shared" si="91"/>
        <v>0</v>
      </c>
      <c r="CF27" s="185"/>
      <c r="CG27" s="173"/>
      <c r="CH27" s="186">
        <f t="shared" si="92"/>
        <v>0</v>
      </c>
      <c r="CI27" s="185"/>
      <c r="CJ27" s="173"/>
      <c r="CK27" s="186">
        <f t="shared" si="27"/>
        <v>0</v>
      </c>
      <c r="CL27" s="185"/>
      <c r="CM27" s="173"/>
      <c r="CN27" s="186">
        <f t="shared" si="28"/>
        <v>0</v>
      </c>
      <c r="CO27" s="185"/>
      <c r="CP27" s="173"/>
      <c r="CQ27" s="186">
        <f t="shared" si="29"/>
        <v>0</v>
      </c>
      <c r="CR27" s="185"/>
      <c r="CS27" s="173"/>
      <c r="CT27" s="186">
        <f t="shared" si="30"/>
        <v>0</v>
      </c>
      <c r="CU27" s="185"/>
      <c r="CV27" s="173"/>
      <c r="CW27" s="186">
        <f t="shared" si="31"/>
        <v>0</v>
      </c>
      <c r="CX27" s="185"/>
      <c r="CY27" s="173"/>
      <c r="CZ27" s="186">
        <f t="shared" si="32"/>
        <v>0</v>
      </c>
      <c r="DA27" s="185"/>
      <c r="DB27" s="173"/>
      <c r="DC27" s="186">
        <f t="shared" si="33"/>
        <v>0</v>
      </c>
      <c r="DD27" s="185"/>
      <c r="DE27" s="173"/>
      <c r="DF27" s="186">
        <f t="shared" si="34"/>
        <v>0</v>
      </c>
      <c r="DG27" s="185"/>
      <c r="DH27" s="173"/>
      <c r="DI27" s="186">
        <f t="shared" si="35"/>
        <v>0</v>
      </c>
      <c r="DJ27" s="185"/>
      <c r="DK27" s="173"/>
      <c r="DL27" s="186">
        <f t="shared" si="36"/>
        <v>0</v>
      </c>
      <c r="DM27" s="185"/>
      <c r="DN27" s="173"/>
      <c r="DO27" s="186">
        <f t="shared" si="37"/>
        <v>0</v>
      </c>
      <c r="DP27" s="185"/>
      <c r="DQ27" s="173"/>
      <c r="DR27" s="186">
        <f t="shared" si="38"/>
        <v>0</v>
      </c>
      <c r="DS27" s="185"/>
      <c r="DT27" s="173"/>
      <c r="DU27" s="186">
        <f t="shared" si="39"/>
        <v>0</v>
      </c>
      <c r="DV27" s="185"/>
      <c r="DW27" s="173"/>
      <c r="DX27" s="186">
        <f t="shared" si="40"/>
        <v>0</v>
      </c>
      <c r="DY27" s="185"/>
      <c r="DZ27" s="173"/>
      <c r="EA27" s="186">
        <f t="shared" si="41"/>
        <v>0</v>
      </c>
      <c r="EB27" s="185"/>
      <c r="EC27" s="173"/>
      <c r="ED27" s="186">
        <f t="shared" si="42"/>
        <v>0</v>
      </c>
      <c r="EE27" s="185"/>
      <c r="EF27" s="173"/>
      <c r="EG27" s="186">
        <f t="shared" si="43"/>
        <v>0</v>
      </c>
      <c r="EH27" s="185"/>
      <c r="EI27" s="173"/>
      <c r="EJ27" s="186">
        <f t="shared" si="44"/>
        <v>0</v>
      </c>
      <c r="EK27" s="185"/>
      <c r="EL27" s="173"/>
      <c r="EM27" s="186">
        <f t="shared" si="45"/>
        <v>0</v>
      </c>
      <c r="EN27" s="185"/>
      <c r="EO27" s="173"/>
      <c r="EP27" s="186">
        <f t="shared" si="46"/>
        <v>0</v>
      </c>
      <c r="EQ27" s="185"/>
      <c r="ER27" s="173"/>
      <c r="ES27" s="186">
        <f t="shared" si="47"/>
        <v>0</v>
      </c>
      <c r="ET27" s="185"/>
      <c r="EU27" s="173"/>
      <c r="EV27" s="186">
        <f t="shared" si="48"/>
        <v>0</v>
      </c>
      <c r="EW27" s="185"/>
      <c r="EX27" s="184"/>
      <c r="EY27" s="186">
        <f t="shared" si="49"/>
        <v>0</v>
      </c>
      <c r="EZ27" s="185"/>
      <c r="FA27" s="184"/>
      <c r="FB27" s="186">
        <f t="shared" si="50"/>
        <v>0</v>
      </c>
      <c r="FC27" s="185"/>
      <c r="FD27" s="184"/>
      <c r="FE27" s="186">
        <f t="shared" si="51"/>
        <v>0</v>
      </c>
      <c r="FF27" s="185"/>
      <c r="FG27" s="173"/>
      <c r="FH27" s="186">
        <f t="shared" si="52"/>
        <v>0</v>
      </c>
      <c r="FI27" s="185"/>
      <c r="FJ27" s="173"/>
      <c r="FK27" s="186">
        <f t="shared" si="53"/>
        <v>0</v>
      </c>
      <c r="FL27" s="185"/>
      <c r="FM27" s="173"/>
      <c r="FN27" s="186">
        <f t="shared" si="54"/>
        <v>0</v>
      </c>
      <c r="FO27" s="185"/>
      <c r="FP27" s="173"/>
      <c r="FQ27" s="186">
        <f t="shared" si="55"/>
        <v>0</v>
      </c>
      <c r="FR27" s="185"/>
      <c r="FS27" s="173"/>
      <c r="FT27" s="186">
        <f t="shared" si="56"/>
        <v>0</v>
      </c>
      <c r="FU27" s="185"/>
      <c r="FV27" s="173"/>
      <c r="FW27" s="186">
        <f t="shared" si="57"/>
        <v>0</v>
      </c>
      <c r="FX27" s="185"/>
      <c r="FY27" s="173"/>
      <c r="FZ27" s="186">
        <f t="shared" si="58"/>
        <v>0</v>
      </c>
      <c r="GA27" s="185"/>
      <c r="GB27" s="173"/>
      <c r="GC27" s="186">
        <f t="shared" si="59"/>
        <v>0</v>
      </c>
      <c r="GD27" s="185"/>
      <c r="GE27" s="173"/>
      <c r="GF27" s="186">
        <f t="shared" si="60"/>
        <v>0</v>
      </c>
      <c r="GG27" s="185"/>
      <c r="GH27" s="173"/>
      <c r="GI27" s="186">
        <f t="shared" si="61"/>
        <v>0</v>
      </c>
      <c r="GJ27" s="185"/>
      <c r="GK27" s="173"/>
      <c r="GL27" s="186">
        <f t="shared" si="62"/>
        <v>0</v>
      </c>
      <c r="GM27" s="185"/>
      <c r="GN27" s="173"/>
      <c r="GO27" s="186">
        <f t="shared" si="63"/>
        <v>0</v>
      </c>
      <c r="GP27" s="185"/>
      <c r="GQ27" s="173"/>
      <c r="GR27" s="186">
        <f t="shared" si="64"/>
        <v>0</v>
      </c>
      <c r="GS27" s="185"/>
      <c r="GT27" s="173"/>
      <c r="GU27" s="186">
        <f t="shared" si="65"/>
        <v>0</v>
      </c>
      <c r="GV27" s="185"/>
      <c r="GW27" s="173"/>
      <c r="GX27" s="186">
        <f t="shared" si="66"/>
        <v>0</v>
      </c>
      <c r="GY27" s="185"/>
      <c r="GZ27" s="173"/>
      <c r="HA27" s="186">
        <f t="shared" si="67"/>
        <v>0</v>
      </c>
      <c r="HB27" s="185"/>
      <c r="HC27" s="173"/>
      <c r="HD27" s="186">
        <f t="shared" si="68"/>
        <v>0</v>
      </c>
      <c r="HE27" s="185"/>
      <c r="HF27" s="173"/>
      <c r="HG27" s="186">
        <f t="shared" si="69"/>
        <v>0</v>
      </c>
      <c r="HH27" s="185"/>
      <c r="HI27" s="173"/>
      <c r="HJ27" s="186">
        <f t="shared" si="70"/>
        <v>0</v>
      </c>
      <c r="HK27" s="185"/>
      <c r="HL27" s="173"/>
      <c r="HM27" s="186">
        <f t="shared" si="71"/>
        <v>0</v>
      </c>
      <c r="HN27" s="185"/>
      <c r="HO27" s="173"/>
      <c r="HP27" s="186">
        <f t="shared" si="72"/>
        <v>0</v>
      </c>
      <c r="HQ27" s="185"/>
      <c r="HR27" s="173"/>
      <c r="HS27" s="186">
        <f t="shared" si="73"/>
        <v>0</v>
      </c>
      <c r="HT27" s="185"/>
      <c r="HU27" s="173"/>
      <c r="HV27" s="186">
        <f t="shared" si="74"/>
        <v>0</v>
      </c>
      <c r="HW27" s="185"/>
      <c r="HX27" s="173"/>
      <c r="HY27" s="186">
        <f t="shared" si="75"/>
        <v>0</v>
      </c>
      <c r="HZ27" s="185"/>
      <c r="IA27" s="173"/>
      <c r="IB27" s="186">
        <f t="shared" si="76"/>
        <v>0</v>
      </c>
      <c r="IC27" s="185"/>
      <c r="ID27" s="173"/>
      <c r="IE27" s="186">
        <f t="shared" si="77"/>
        <v>0</v>
      </c>
      <c r="IF27" s="185"/>
      <c r="IG27" s="173"/>
      <c r="IH27" s="186">
        <f t="shared" si="78"/>
        <v>0</v>
      </c>
      <c r="II27" s="185"/>
      <c r="IJ27" s="173"/>
      <c r="IK27" s="186">
        <f t="shared" si="79"/>
        <v>0</v>
      </c>
      <c r="IL27" s="185"/>
      <c r="IM27" s="173"/>
      <c r="IN27" s="186">
        <f t="shared" si="80"/>
        <v>0</v>
      </c>
      <c r="IO27" s="185"/>
      <c r="IP27" s="173"/>
      <c r="IQ27" s="186">
        <f t="shared" si="81"/>
        <v>0</v>
      </c>
      <c r="IR27" s="185"/>
      <c r="IS27" s="173"/>
      <c r="IT27" s="186">
        <f t="shared" si="82"/>
        <v>0</v>
      </c>
      <c r="IU27" s="185"/>
      <c r="IV27" s="173"/>
      <c r="IW27" s="186">
        <f t="shared" si="83"/>
        <v>0</v>
      </c>
      <c r="IX27" s="185"/>
      <c r="IY27" s="173"/>
      <c r="IZ27" s="186">
        <f t="shared" si="84"/>
        <v>0</v>
      </c>
      <c r="JA27" s="185"/>
      <c r="JB27" s="173"/>
      <c r="JC27" s="186">
        <f t="shared" si="85"/>
        <v>0</v>
      </c>
      <c r="JD27" s="185"/>
      <c r="JE27" s="173"/>
      <c r="JF27" s="186">
        <f t="shared" si="86"/>
        <v>0</v>
      </c>
      <c r="JG27" s="185"/>
      <c r="JH27" s="173"/>
      <c r="JI27" s="186"/>
      <c r="JJ27" s="185"/>
      <c r="JK27" s="173"/>
      <c r="JL27" s="186">
        <f t="shared" si="88"/>
        <v>0</v>
      </c>
      <c r="JM27" s="185"/>
      <c r="JN27" s="173"/>
      <c r="JO27" s="186">
        <f t="shared" si="89"/>
        <v>0</v>
      </c>
      <c r="JP27" s="185"/>
      <c r="JQ27" s="173"/>
      <c r="JR27" s="186">
        <f t="shared" si="90"/>
        <v>0</v>
      </c>
      <c r="JS27" s="185"/>
      <c r="JT27" s="173"/>
      <c r="JU27" s="186" t="str" cm="1">
        <f t="array" aca="1" ref="JU27"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7" s="187"/>
      <c r="JW27" s="173"/>
      <c r="JX27" s="186" t="str" cm="1">
        <f t="array" aca="1" ref="JX27"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7" s="185"/>
      <c r="JZ27" s="184"/>
      <c r="KA27" s="186" t="str" cm="1">
        <f t="array" aca="1" ref="KA27"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7" s="185"/>
      <c r="KC27" s="184"/>
      <c r="KD27" s="186" t="str" cm="1">
        <f t="array" aca="1" ref="KD27"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7" s="185"/>
      <c r="KF27" s="184"/>
    </row>
    <row r="28" spans="1:292" x14ac:dyDescent="0.3">
      <c r="A28" s="192">
        <f>[1]Reg!A28</f>
        <v>25</v>
      </c>
      <c r="B28" s="190">
        <f t="shared" si="0"/>
        <v>0</v>
      </c>
      <c r="C28" s="185"/>
      <c r="D28" s="173"/>
      <c r="E28" s="190">
        <f t="shared" si="1"/>
        <v>0</v>
      </c>
      <c r="F28" s="185"/>
      <c r="G28" s="173"/>
      <c r="H28" s="190">
        <f t="shared" si="2"/>
        <v>0</v>
      </c>
      <c r="I28" s="185"/>
      <c r="J28" s="173"/>
      <c r="K28" s="190">
        <f t="shared" si="3"/>
        <v>0</v>
      </c>
      <c r="L28" s="185"/>
      <c r="M28" s="173"/>
      <c r="N28" s="190">
        <f t="shared" si="4"/>
        <v>0</v>
      </c>
      <c r="O28" s="185"/>
      <c r="P28" s="173"/>
      <c r="Q28" s="190">
        <f t="shared" si="5"/>
        <v>0</v>
      </c>
      <c r="R28" s="185"/>
      <c r="S28" s="173"/>
      <c r="T28" s="189"/>
      <c r="U28" s="189"/>
      <c r="V28" s="189"/>
      <c r="W28" s="186">
        <f t="shared" si="6"/>
        <v>0</v>
      </c>
      <c r="X28" s="185"/>
      <c r="Y28" s="173"/>
      <c r="Z28" s="186">
        <f t="shared" si="7"/>
        <v>0</v>
      </c>
      <c r="AA28" s="188"/>
      <c r="AB28" s="173"/>
      <c r="AC28" s="186">
        <f t="shared" si="8"/>
        <v>0</v>
      </c>
      <c r="AD28" s="185"/>
      <c r="AE28" s="173"/>
      <c r="AF28" s="186">
        <f t="shared" si="9"/>
        <v>0</v>
      </c>
      <c r="AG28" s="185"/>
      <c r="AH28" s="173"/>
      <c r="AI28" s="186">
        <f t="shared" si="10"/>
        <v>0</v>
      </c>
      <c r="AJ28" s="185"/>
      <c r="AK28" s="173"/>
      <c r="AL28" s="186">
        <f t="shared" si="11"/>
        <v>0</v>
      </c>
      <c r="AM28" s="185"/>
      <c r="AN28" s="173"/>
      <c r="AO28" s="186">
        <f t="shared" si="12"/>
        <v>0</v>
      </c>
      <c r="AP28" s="185"/>
      <c r="AQ28" s="173"/>
      <c r="AR28" s="186">
        <f t="shared" si="13"/>
        <v>0</v>
      </c>
      <c r="AS28" s="185"/>
      <c r="AT28" s="173"/>
      <c r="AU28" s="186">
        <f t="shared" si="14"/>
        <v>0</v>
      </c>
      <c r="AV28" s="185"/>
      <c r="AW28" s="173"/>
      <c r="AX28" s="186">
        <f t="shared" si="15"/>
        <v>0</v>
      </c>
      <c r="AY28" s="185"/>
      <c r="AZ28" s="173"/>
      <c r="BA28" s="186">
        <f t="shared" si="16"/>
        <v>0</v>
      </c>
      <c r="BB28" s="185"/>
      <c r="BC28" s="173"/>
      <c r="BD28" s="186">
        <f t="shared" si="17"/>
        <v>0</v>
      </c>
      <c r="BE28" s="185"/>
      <c r="BF28" s="173"/>
      <c r="BG28" s="186">
        <f t="shared" si="18"/>
        <v>0</v>
      </c>
      <c r="BH28" s="185"/>
      <c r="BI28" s="173"/>
      <c r="BJ28" s="186">
        <f t="shared" si="19"/>
        <v>0</v>
      </c>
      <c r="BK28" s="185"/>
      <c r="BL28" s="173"/>
      <c r="BM28" s="186">
        <f t="shared" si="20"/>
        <v>0</v>
      </c>
      <c r="BN28" s="185"/>
      <c r="BO28" s="173"/>
      <c r="BP28" s="186">
        <f t="shared" si="21"/>
        <v>0</v>
      </c>
      <c r="BQ28" s="185"/>
      <c r="BR28" s="173"/>
      <c r="BS28" s="186">
        <f t="shared" si="22"/>
        <v>0</v>
      </c>
      <c r="BT28" s="185"/>
      <c r="BU28" s="173"/>
      <c r="BV28" s="186">
        <f t="shared" si="23"/>
        <v>0</v>
      </c>
      <c r="BW28" s="185"/>
      <c r="BX28" s="173"/>
      <c r="BY28" s="186">
        <f t="shared" si="24"/>
        <v>0</v>
      </c>
      <c r="BZ28" s="185"/>
      <c r="CA28" s="173"/>
      <c r="CB28" s="186">
        <f t="shared" si="25"/>
        <v>0</v>
      </c>
      <c r="CC28" s="185"/>
      <c r="CD28" s="173"/>
      <c r="CE28" s="186">
        <f t="shared" si="91"/>
        <v>0</v>
      </c>
      <c r="CF28" s="185"/>
      <c r="CG28" s="173"/>
      <c r="CH28" s="186">
        <f t="shared" si="92"/>
        <v>0</v>
      </c>
      <c r="CI28" s="185"/>
      <c r="CJ28" s="173"/>
      <c r="CK28" s="186">
        <f t="shared" si="27"/>
        <v>0</v>
      </c>
      <c r="CL28" s="185"/>
      <c r="CM28" s="173"/>
      <c r="CN28" s="186">
        <f t="shared" si="28"/>
        <v>0</v>
      </c>
      <c r="CO28" s="185"/>
      <c r="CP28" s="173"/>
      <c r="CQ28" s="186">
        <f t="shared" si="29"/>
        <v>0</v>
      </c>
      <c r="CR28" s="185"/>
      <c r="CS28" s="173"/>
      <c r="CT28" s="186">
        <f t="shared" si="30"/>
        <v>0</v>
      </c>
      <c r="CU28" s="185"/>
      <c r="CV28" s="173"/>
      <c r="CW28" s="186">
        <f t="shared" si="31"/>
        <v>0</v>
      </c>
      <c r="CX28" s="185"/>
      <c r="CY28" s="173"/>
      <c r="CZ28" s="186">
        <f t="shared" si="32"/>
        <v>0</v>
      </c>
      <c r="DA28" s="185"/>
      <c r="DB28" s="173"/>
      <c r="DC28" s="186">
        <f t="shared" si="33"/>
        <v>0</v>
      </c>
      <c r="DD28" s="185"/>
      <c r="DE28" s="173"/>
      <c r="DF28" s="186">
        <f t="shared" si="34"/>
        <v>0</v>
      </c>
      <c r="DG28" s="185"/>
      <c r="DH28" s="173"/>
      <c r="DI28" s="186">
        <f t="shared" si="35"/>
        <v>0</v>
      </c>
      <c r="DJ28" s="185"/>
      <c r="DK28" s="173"/>
      <c r="DL28" s="186">
        <f t="shared" si="36"/>
        <v>0</v>
      </c>
      <c r="DM28" s="185"/>
      <c r="DN28" s="173"/>
      <c r="DO28" s="186">
        <f t="shared" si="37"/>
        <v>0</v>
      </c>
      <c r="DP28" s="185"/>
      <c r="DQ28" s="173"/>
      <c r="DR28" s="186">
        <f t="shared" si="38"/>
        <v>0</v>
      </c>
      <c r="DS28" s="185"/>
      <c r="DT28" s="173"/>
      <c r="DU28" s="186">
        <f t="shared" si="39"/>
        <v>0</v>
      </c>
      <c r="DV28" s="185"/>
      <c r="DW28" s="173"/>
      <c r="DX28" s="186">
        <f t="shared" si="40"/>
        <v>0</v>
      </c>
      <c r="DY28" s="185"/>
      <c r="DZ28" s="173"/>
      <c r="EA28" s="186">
        <f t="shared" si="41"/>
        <v>0</v>
      </c>
      <c r="EB28" s="185"/>
      <c r="EC28" s="173"/>
      <c r="ED28" s="186">
        <f t="shared" si="42"/>
        <v>0</v>
      </c>
      <c r="EE28" s="185"/>
      <c r="EF28" s="173"/>
      <c r="EG28" s="186">
        <f t="shared" si="43"/>
        <v>0</v>
      </c>
      <c r="EH28" s="185"/>
      <c r="EI28" s="173"/>
      <c r="EJ28" s="186">
        <f t="shared" si="44"/>
        <v>0</v>
      </c>
      <c r="EK28" s="185"/>
      <c r="EL28" s="173"/>
      <c r="EM28" s="186">
        <f t="shared" si="45"/>
        <v>0</v>
      </c>
      <c r="EN28" s="185"/>
      <c r="EO28" s="173"/>
      <c r="EP28" s="186">
        <f t="shared" si="46"/>
        <v>0</v>
      </c>
      <c r="EQ28" s="185"/>
      <c r="ER28" s="173"/>
      <c r="ES28" s="186">
        <f t="shared" si="47"/>
        <v>0</v>
      </c>
      <c r="ET28" s="185"/>
      <c r="EU28" s="173"/>
      <c r="EV28" s="186">
        <f t="shared" si="48"/>
        <v>0</v>
      </c>
      <c r="EW28" s="185"/>
      <c r="EX28" s="184"/>
      <c r="EY28" s="186">
        <f t="shared" si="49"/>
        <v>0</v>
      </c>
      <c r="EZ28" s="185"/>
      <c r="FA28" s="184"/>
      <c r="FB28" s="186">
        <f t="shared" si="50"/>
        <v>0</v>
      </c>
      <c r="FC28" s="185"/>
      <c r="FD28" s="184"/>
      <c r="FE28" s="186">
        <f t="shared" si="51"/>
        <v>0</v>
      </c>
      <c r="FF28" s="185"/>
      <c r="FG28" s="173"/>
      <c r="FH28" s="186">
        <f t="shared" si="52"/>
        <v>0</v>
      </c>
      <c r="FI28" s="185"/>
      <c r="FJ28" s="173"/>
      <c r="FK28" s="186">
        <f t="shared" si="53"/>
        <v>0</v>
      </c>
      <c r="FL28" s="185"/>
      <c r="FM28" s="173"/>
      <c r="FN28" s="186">
        <f t="shared" si="54"/>
        <v>0</v>
      </c>
      <c r="FO28" s="185"/>
      <c r="FP28" s="173"/>
      <c r="FQ28" s="186">
        <f t="shared" si="55"/>
        <v>0</v>
      </c>
      <c r="FR28" s="185"/>
      <c r="FS28" s="173"/>
      <c r="FT28" s="186">
        <f t="shared" si="56"/>
        <v>0</v>
      </c>
      <c r="FU28" s="185"/>
      <c r="FV28" s="173"/>
      <c r="FW28" s="186">
        <f t="shared" si="57"/>
        <v>0</v>
      </c>
      <c r="FX28" s="185"/>
      <c r="FY28" s="173"/>
      <c r="FZ28" s="186">
        <f t="shared" si="58"/>
        <v>0</v>
      </c>
      <c r="GA28" s="185"/>
      <c r="GB28" s="173"/>
      <c r="GC28" s="186">
        <f t="shared" si="59"/>
        <v>0</v>
      </c>
      <c r="GD28" s="185"/>
      <c r="GE28" s="173"/>
      <c r="GF28" s="186">
        <f t="shared" si="60"/>
        <v>0</v>
      </c>
      <c r="GG28" s="185"/>
      <c r="GH28" s="173"/>
      <c r="GI28" s="186">
        <f t="shared" si="61"/>
        <v>0</v>
      </c>
      <c r="GJ28" s="185"/>
      <c r="GK28" s="173"/>
      <c r="GL28" s="186">
        <f t="shared" si="62"/>
        <v>0</v>
      </c>
      <c r="GM28" s="185"/>
      <c r="GN28" s="173"/>
      <c r="GO28" s="186">
        <f t="shared" si="63"/>
        <v>0</v>
      </c>
      <c r="GP28" s="185"/>
      <c r="GQ28" s="173"/>
      <c r="GR28" s="186">
        <f t="shared" si="64"/>
        <v>0</v>
      </c>
      <c r="GS28" s="185"/>
      <c r="GT28" s="173"/>
      <c r="GU28" s="186">
        <f t="shared" si="65"/>
        <v>0</v>
      </c>
      <c r="GV28" s="185"/>
      <c r="GW28" s="173"/>
      <c r="GX28" s="186">
        <f t="shared" si="66"/>
        <v>0</v>
      </c>
      <c r="GY28" s="185"/>
      <c r="GZ28" s="173"/>
      <c r="HA28" s="186">
        <f t="shared" si="67"/>
        <v>0</v>
      </c>
      <c r="HB28" s="185"/>
      <c r="HC28" s="173"/>
      <c r="HD28" s="186">
        <f t="shared" si="68"/>
        <v>0</v>
      </c>
      <c r="HE28" s="185"/>
      <c r="HF28" s="173"/>
      <c r="HG28" s="186">
        <f t="shared" si="69"/>
        <v>0</v>
      </c>
      <c r="HH28" s="185"/>
      <c r="HI28" s="173"/>
      <c r="HJ28" s="186">
        <f t="shared" si="70"/>
        <v>0</v>
      </c>
      <c r="HK28" s="185"/>
      <c r="HL28" s="173"/>
      <c r="HM28" s="186">
        <f t="shared" si="71"/>
        <v>0</v>
      </c>
      <c r="HN28" s="185"/>
      <c r="HO28" s="173"/>
      <c r="HP28" s="186">
        <f t="shared" si="72"/>
        <v>0</v>
      </c>
      <c r="HQ28" s="185"/>
      <c r="HR28" s="173"/>
      <c r="HS28" s="186">
        <f t="shared" si="73"/>
        <v>0</v>
      </c>
      <c r="HT28" s="185"/>
      <c r="HU28" s="173"/>
      <c r="HV28" s="186">
        <f t="shared" si="74"/>
        <v>0</v>
      </c>
      <c r="HW28" s="185"/>
      <c r="HX28" s="173"/>
      <c r="HY28" s="186">
        <f t="shared" si="75"/>
        <v>0</v>
      </c>
      <c r="HZ28" s="185"/>
      <c r="IA28" s="173"/>
      <c r="IB28" s="186">
        <f t="shared" si="76"/>
        <v>0</v>
      </c>
      <c r="IC28" s="185"/>
      <c r="ID28" s="173"/>
      <c r="IE28" s="186">
        <f t="shared" si="77"/>
        <v>0</v>
      </c>
      <c r="IF28" s="185"/>
      <c r="IG28" s="173"/>
      <c r="IH28" s="186">
        <f t="shared" si="78"/>
        <v>0</v>
      </c>
      <c r="II28" s="185"/>
      <c r="IJ28" s="173"/>
      <c r="IK28" s="186">
        <f t="shared" si="79"/>
        <v>0</v>
      </c>
      <c r="IL28" s="185"/>
      <c r="IM28" s="173"/>
      <c r="IN28" s="186">
        <f t="shared" si="80"/>
        <v>0</v>
      </c>
      <c r="IO28" s="185"/>
      <c r="IP28" s="173"/>
      <c r="IQ28" s="186">
        <f t="shared" si="81"/>
        <v>0</v>
      </c>
      <c r="IR28" s="185"/>
      <c r="IS28" s="173"/>
      <c r="IT28" s="186">
        <f t="shared" si="82"/>
        <v>0</v>
      </c>
      <c r="IU28" s="185"/>
      <c r="IV28" s="173"/>
      <c r="IW28" s="186">
        <f t="shared" si="83"/>
        <v>0</v>
      </c>
      <c r="IX28" s="185"/>
      <c r="IY28" s="173"/>
      <c r="IZ28" s="186">
        <f t="shared" si="84"/>
        <v>0</v>
      </c>
      <c r="JA28" s="185"/>
      <c r="JB28" s="173"/>
      <c r="JC28" s="186">
        <f t="shared" si="85"/>
        <v>0</v>
      </c>
      <c r="JD28" s="185"/>
      <c r="JE28" s="173"/>
      <c r="JF28" s="186">
        <f t="shared" si="86"/>
        <v>0</v>
      </c>
      <c r="JG28" s="185"/>
      <c r="JH28" s="173"/>
      <c r="JI28" s="186"/>
      <c r="JJ28" s="185"/>
      <c r="JK28" s="173"/>
      <c r="JL28" s="186">
        <f t="shared" si="88"/>
        <v>0</v>
      </c>
      <c r="JM28" s="185"/>
      <c r="JN28" s="173"/>
      <c r="JO28" s="186">
        <f t="shared" si="89"/>
        <v>0</v>
      </c>
      <c r="JP28" s="185"/>
      <c r="JQ28" s="173"/>
      <c r="JR28" s="186">
        <f t="shared" si="90"/>
        <v>0</v>
      </c>
      <c r="JS28" s="185"/>
      <c r="JT28" s="173"/>
      <c r="JU28" s="186" t="str" cm="1">
        <f t="array" aca="1" ref="JU28"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8" s="187"/>
      <c r="JW28" s="173"/>
      <c r="JX28" s="186" t="str" cm="1">
        <f t="array" aca="1" ref="JX28"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8" s="185"/>
      <c r="JZ28" s="184"/>
      <c r="KA28" s="186" t="str" cm="1">
        <f t="array" aca="1" ref="KA28"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8" s="185"/>
      <c r="KC28" s="184"/>
      <c r="KD28" s="186" t="str" cm="1">
        <f t="array" aca="1" ref="KD28"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8" s="185"/>
      <c r="KF28" s="184"/>
    </row>
    <row r="29" spans="1:292" x14ac:dyDescent="0.3">
      <c r="A29" s="191">
        <f>[1]Reg!A29</f>
        <v>26</v>
      </c>
      <c r="B29" s="190">
        <f t="shared" si="0"/>
        <v>0</v>
      </c>
      <c r="C29" s="185"/>
      <c r="D29" s="173"/>
      <c r="E29" s="190">
        <f t="shared" si="1"/>
        <v>0</v>
      </c>
      <c r="F29" s="185"/>
      <c r="G29" s="173"/>
      <c r="H29" s="190">
        <f t="shared" si="2"/>
        <v>0</v>
      </c>
      <c r="I29" s="185"/>
      <c r="J29" s="173"/>
      <c r="K29" s="190">
        <f t="shared" si="3"/>
        <v>0</v>
      </c>
      <c r="L29" s="185"/>
      <c r="M29" s="173"/>
      <c r="N29" s="190">
        <f t="shared" si="4"/>
        <v>0</v>
      </c>
      <c r="O29" s="185"/>
      <c r="P29" s="173"/>
      <c r="Q29" s="190">
        <f t="shared" si="5"/>
        <v>0</v>
      </c>
      <c r="R29" s="185"/>
      <c r="S29" s="173"/>
      <c r="T29" s="189"/>
      <c r="U29" s="189"/>
      <c r="V29" s="189"/>
      <c r="W29" s="186">
        <f t="shared" si="6"/>
        <v>0</v>
      </c>
      <c r="X29" s="185"/>
      <c r="Y29" s="173"/>
      <c r="Z29" s="186">
        <f t="shared" si="7"/>
        <v>0</v>
      </c>
      <c r="AA29" s="188"/>
      <c r="AB29" s="173"/>
      <c r="AC29" s="186">
        <f t="shared" si="8"/>
        <v>0</v>
      </c>
      <c r="AD29" s="185"/>
      <c r="AE29" s="173"/>
      <c r="AF29" s="186">
        <f t="shared" si="9"/>
        <v>0</v>
      </c>
      <c r="AG29" s="185"/>
      <c r="AH29" s="173"/>
      <c r="AI29" s="186">
        <f t="shared" si="10"/>
        <v>0</v>
      </c>
      <c r="AJ29" s="185"/>
      <c r="AK29" s="173"/>
      <c r="AL29" s="186">
        <f t="shared" si="11"/>
        <v>0</v>
      </c>
      <c r="AM29" s="185"/>
      <c r="AN29" s="173"/>
      <c r="AO29" s="186">
        <f t="shared" si="12"/>
        <v>0</v>
      </c>
      <c r="AP29" s="185"/>
      <c r="AQ29" s="173"/>
      <c r="AR29" s="186">
        <f t="shared" si="13"/>
        <v>0</v>
      </c>
      <c r="AS29" s="185"/>
      <c r="AT29" s="173"/>
      <c r="AU29" s="186">
        <f t="shared" si="14"/>
        <v>0</v>
      </c>
      <c r="AV29" s="185"/>
      <c r="AW29" s="173"/>
      <c r="AX29" s="186">
        <f t="shared" si="15"/>
        <v>0</v>
      </c>
      <c r="AY29" s="185"/>
      <c r="AZ29" s="173"/>
      <c r="BA29" s="186">
        <f t="shared" si="16"/>
        <v>0</v>
      </c>
      <c r="BB29" s="185"/>
      <c r="BC29" s="173"/>
      <c r="BD29" s="186">
        <f t="shared" si="17"/>
        <v>0</v>
      </c>
      <c r="BE29" s="185"/>
      <c r="BF29" s="173"/>
      <c r="BG29" s="186">
        <f t="shared" si="18"/>
        <v>0</v>
      </c>
      <c r="BH29" s="185"/>
      <c r="BI29" s="173"/>
      <c r="BJ29" s="186">
        <f t="shared" si="19"/>
        <v>0</v>
      </c>
      <c r="BK29" s="185"/>
      <c r="BL29" s="173"/>
      <c r="BM29" s="186">
        <f t="shared" si="20"/>
        <v>0</v>
      </c>
      <c r="BN29" s="185"/>
      <c r="BO29" s="173"/>
      <c r="BP29" s="186">
        <f t="shared" si="21"/>
        <v>0</v>
      </c>
      <c r="BQ29" s="185"/>
      <c r="BR29" s="173"/>
      <c r="BS29" s="186">
        <f t="shared" si="22"/>
        <v>0</v>
      </c>
      <c r="BT29" s="185"/>
      <c r="BU29" s="173"/>
      <c r="BV29" s="186">
        <f t="shared" si="23"/>
        <v>0</v>
      </c>
      <c r="BW29" s="185"/>
      <c r="BX29" s="173"/>
      <c r="BY29" s="186">
        <f t="shared" si="24"/>
        <v>0</v>
      </c>
      <c r="BZ29" s="185"/>
      <c r="CA29" s="173"/>
      <c r="CB29" s="186">
        <f t="shared" si="25"/>
        <v>0</v>
      </c>
      <c r="CC29" s="185"/>
      <c r="CD29" s="173"/>
      <c r="CE29" s="186">
        <f t="shared" si="91"/>
        <v>0</v>
      </c>
      <c r="CF29" s="185"/>
      <c r="CG29" s="173"/>
      <c r="CH29" s="186">
        <f t="shared" si="92"/>
        <v>0</v>
      </c>
      <c r="CI29" s="185"/>
      <c r="CJ29" s="173"/>
      <c r="CK29" s="186">
        <f t="shared" si="27"/>
        <v>0</v>
      </c>
      <c r="CL29" s="185"/>
      <c r="CM29" s="173"/>
      <c r="CN29" s="186">
        <f t="shared" si="28"/>
        <v>0</v>
      </c>
      <c r="CO29" s="185"/>
      <c r="CP29" s="173"/>
      <c r="CQ29" s="186">
        <f t="shared" si="29"/>
        <v>0</v>
      </c>
      <c r="CR29" s="185"/>
      <c r="CS29" s="173"/>
      <c r="CT29" s="186">
        <f t="shared" si="30"/>
        <v>0</v>
      </c>
      <c r="CU29" s="185"/>
      <c r="CV29" s="173"/>
      <c r="CW29" s="186">
        <f t="shared" si="31"/>
        <v>0</v>
      </c>
      <c r="CX29" s="185"/>
      <c r="CY29" s="173"/>
      <c r="CZ29" s="186">
        <f t="shared" si="32"/>
        <v>0</v>
      </c>
      <c r="DA29" s="185"/>
      <c r="DB29" s="173"/>
      <c r="DC29" s="186">
        <f t="shared" si="33"/>
        <v>0</v>
      </c>
      <c r="DD29" s="185"/>
      <c r="DE29" s="173"/>
      <c r="DF29" s="186">
        <f t="shared" si="34"/>
        <v>0</v>
      </c>
      <c r="DG29" s="185"/>
      <c r="DH29" s="173"/>
      <c r="DI29" s="186">
        <f t="shared" si="35"/>
        <v>0</v>
      </c>
      <c r="DJ29" s="185"/>
      <c r="DK29" s="173"/>
      <c r="DL29" s="186">
        <f t="shared" si="36"/>
        <v>0</v>
      </c>
      <c r="DM29" s="185"/>
      <c r="DN29" s="173"/>
      <c r="DO29" s="186">
        <f t="shared" si="37"/>
        <v>0</v>
      </c>
      <c r="DP29" s="185"/>
      <c r="DQ29" s="173"/>
      <c r="DR29" s="186">
        <f t="shared" si="38"/>
        <v>0</v>
      </c>
      <c r="DS29" s="185"/>
      <c r="DT29" s="173"/>
      <c r="DU29" s="186">
        <f t="shared" si="39"/>
        <v>0</v>
      </c>
      <c r="DV29" s="185"/>
      <c r="DW29" s="173"/>
      <c r="DX29" s="186">
        <f t="shared" si="40"/>
        <v>0</v>
      </c>
      <c r="DY29" s="185"/>
      <c r="DZ29" s="173"/>
      <c r="EA29" s="186">
        <f t="shared" si="41"/>
        <v>0</v>
      </c>
      <c r="EB29" s="185"/>
      <c r="EC29" s="173"/>
      <c r="ED29" s="186">
        <f t="shared" si="42"/>
        <v>0</v>
      </c>
      <c r="EE29" s="185"/>
      <c r="EF29" s="173"/>
      <c r="EG29" s="186">
        <f t="shared" si="43"/>
        <v>0</v>
      </c>
      <c r="EH29" s="185"/>
      <c r="EI29" s="173"/>
      <c r="EJ29" s="186">
        <f t="shared" si="44"/>
        <v>0</v>
      </c>
      <c r="EK29" s="185"/>
      <c r="EL29" s="173"/>
      <c r="EM29" s="186">
        <f t="shared" si="45"/>
        <v>0</v>
      </c>
      <c r="EN29" s="185"/>
      <c r="EO29" s="173"/>
      <c r="EP29" s="186">
        <f t="shared" si="46"/>
        <v>0</v>
      </c>
      <c r="EQ29" s="185"/>
      <c r="ER29" s="173"/>
      <c r="ES29" s="186">
        <f t="shared" si="47"/>
        <v>0</v>
      </c>
      <c r="ET29" s="185"/>
      <c r="EU29" s="173"/>
      <c r="EV29" s="186">
        <f t="shared" si="48"/>
        <v>0</v>
      </c>
      <c r="EW29" s="185"/>
      <c r="EX29" s="184"/>
      <c r="EY29" s="186">
        <f t="shared" si="49"/>
        <v>0</v>
      </c>
      <c r="EZ29" s="185"/>
      <c r="FA29" s="184"/>
      <c r="FB29" s="186">
        <f t="shared" si="50"/>
        <v>0</v>
      </c>
      <c r="FC29" s="185"/>
      <c r="FD29" s="184"/>
      <c r="FE29" s="186">
        <f t="shared" si="51"/>
        <v>0</v>
      </c>
      <c r="FF29" s="185"/>
      <c r="FG29" s="173"/>
      <c r="FH29" s="186">
        <f t="shared" si="52"/>
        <v>0</v>
      </c>
      <c r="FI29" s="185"/>
      <c r="FJ29" s="173"/>
      <c r="FK29" s="186">
        <f t="shared" si="53"/>
        <v>0</v>
      </c>
      <c r="FL29" s="185"/>
      <c r="FM29" s="173"/>
      <c r="FN29" s="186">
        <f t="shared" si="54"/>
        <v>0</v>
      </c>
      <c r="FO29" s="185"/>
      <c r="FP29" s="173"/>
      <c r="FQ29" s="186">
        <f t="shared" si="55"/>
        <v>0</v>
      </c>
      <c r="FR29" s="185"/>
      <c r="FS29" s="173"/>
      <c r="FT29" s="186">
        <f t="shared" si="56"/>
        <v>0</v>
      </c>
      <c r="FU29" s="185"/>
      <c r="FV29" s="173"/>
      <c r="FW29" s="186">
        <f t="shared" si="57"/>
        <v>0</v>
      </c>
      <c r="FX29" s="185"/>
      <c r="FY29" s="173"/>
      <c r="FZ29" s="186">
        <f t="shared" si="58"/>
        <v>0</v>
      </c>
      <c r="GA29" s="185"/>
      <c r="GB29" s="173"/>
      <c r="GC29" s="186">
        <f t="shared" si="59"/>
        <v>0</v>
      </c>
      <c r="GD29" s="185"/>
      <c r="GE29" s="173"/>
      <c r="GF29" s="186">
        <f t="shared" si="60"/>
        <v>0</v>
      </c>
      <c r="GG29" s="185"/>
      <c r="GH29" s="173"/>
      <c r="GI29" s="186">
        <f t="shared" si="61"/>
        <v>0</v>
      </c>
      <c r="GJ29" s="185"/>
      <c r="GK29" s="173"/>
      <c r="GL29" s="186">
        <f t="shared" si="62"/>
        <v>0</v>
      </c>
      <c r="GM29" s="185"/>
      <c r="GN29" s="173"/>
      <c r="GO29" s="186">
        <f t="shared" si="63"/>
        <v>0</v>
      </c>
      <c r="GP29" s="185"/>
      <c r="GQ29" s="173"/>
      <c r="GR29" s="186">
        <f t="shared" si="64"/>
        <v>0</v>
      </c>
      <c r="GS29" s="185"/>
      <c r="GT29" s="173"/>
      <c r="GU29" s="186">
        <f t="shared" si="65"/>
        <v>0</v>
      </c>
      <c r="GV29" s="185"/>
      <c r="GW29" s="173"/>
      <c r="GX29" s="186">
        <f t="shared" si="66"/>
        <v>0</v>
      </c>
      <c r="GY29" s="185"/>
      <c r="GZ29" s="173"/>
      <c r="HA29" s="186">
        <f t="shared" si="67"/>
        <v>0</v>
      </c>
      <c r="HB29" s="185"/>
      <c r="HC29" s="173"/>
      <c r="HD29" s="186">
        <f t="shared" si="68"/>
        <v>0</v>
      </c>
      <c r="HE29" s="185"/>
      <c r="HF29" s="173"/>
      <c r="HG29" s="186">
        <f t="shared" si="69"/>
        <v>0</v>
      </c>
      <c r="HH29" s="185"/>
      <c r="HI29" s="173"/>
      <c r="HJ29" s="186">
        <f t="shared" si="70"/>
        <v>0</v>
      </c>
      <c r="HK29" s="185"/>
      <c r="HL29" s="173"/>
      <c r="HM29" s="186">
        <f t="shared" si="71"/>
        <v>0</v>
      </c>
      <c r="HN29" s="185"/>
      <c r="HO29" s="173"/>
      <c r="HP29" s="186">
        <f t="shared" si="72"/>
        <v>0</v>
      </c>
      <c r="HQ29" s="185"/>
      <c r="HR29" s="173"/>
      <c r="HS29" s="186">
        <f t="shared" si="73"/>
        <v>0</v>
      </c>
      <c r="HT29" s="185"/>
      <c r="HU29" s="173"/>
      <c r="HV29" s="186">
        <f t="shared" si="74"/>
        <v>0</v>
      </c>
      <c r="HW29" s="185"/>
      <c r="HX29" s="173"/>
      <c r="HY29" s="186">
        <f t="shared" si="75"/>
        <v>0</v>
      </c>
      <c r="HZ29" s="185"/>
      <c r="IA29" s="173"/>
      <c r="IB29" s="186">
        <f t="shared" si="76"/>
        <v>0</v>
      </c>
      <c r="IC29" s="185"/>
      <c r="ID29" s="173"/>
      <c r="IE29" s="186">
        <f t="shared" si="77"/>
        <v>0</v>
      </c>
      <c r="IF29" s="185"/>
      <c r="IG29" s="173"/>
      <c r="IH29" s="186">
        <f t="shared" si="78"/>
        <v>0</v>
      </c>
      <c r="II29" s="185"/>
      <c r="IJ29" s="173"/>
      <c r="IK29" s="186">
        <f t="shared" si="79"/>
        <v>0</v>
      </c>
      <c r="IL29" s="185"/>
      <c r="IM29" s="173"/>
      <c r="IN29" s="186">
        <f t="shared" si="80"/>
        <v>0</v>
      </c>
      <c r="IO29" s="185"/>
      <c r="IP29" s="173"/>
      <c r="IQ29" s="186">
        <f t="shared" si="81"/>
        <v>0</v>
      </c>
      <c r="IR29" s="185"/>
      <c r="IS29" s="173"/>
      <c r="IT29" s="186">
        <f t="shared" si="82"/>
        <v>0</v>
      </c>
      <c r="IU29" s="185"/>
      <c r="IV29" s="173"/>
      <c r="IW29" s="186">
        <f t="shared" si="83"/>
        <v>0</v>
      </c>
      <c r="IX29" s="185"/>
      <c r="IY29" s="173"/>
      <c r="IZ29" s="186">
        <f t="shared" si="84"/>
        <v>0</v>
      </c>
      <c r="JA29" s="185"/>
      <c r="JB29" s="173"/>
      <c r="JC29" s="186">
        <f t="shared" si="85"/>
        <v>0</v>
      </c>
      <c r="JD29" s="185"/>
      <c r="JE29" s="173"/>
      <c r="JF29" s="186">
        <f t="shared" si="86"/>
        <v>0</v>
      </c>
      <c r="JG29" s="185"/>
      <c r="JH29" s="173"/>
      <c r="JI29" s="186"/>
      <c r="JJ29" s="185"/>
      <c r="JK29" s="173"/>
      <c r="JL29" s="186">
        <f t="shared" si="88"/>
        <v>0</v>
      </c>
      <c r="JM29" s="185"/>
      <c r="JN29" s="173"/>
      <c r="JO29" s="186">
        <f t="shared" si="89"/>
        <v>0</v>
      </c>
      <c r="JP29" s="185"/>
      <c r="JQ29" s="173"/>
      <c r="JR29" s="186">
        <f t="shared" si="90"/>
        <v>0</v>
      </c>
      <c r="JS29" s="185"/>
      <c r="JT29" s="173"/>
      <c r="JU29" s="186" t="str" cm="1">
        <f t="array" aca="1" ref="JU29"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9" s="187"/>
      <c r="JW29" s="173"/>
      <c r="JX29" s="186" t="str" cm="1">
        <f t="array" aca="1" ref="JX29"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9" s="185"/>
      <c r="JZ29" s="184"/>
      <c r="KA29" s="186" t="str" cm="1">
        <f t="array" aca="1" ref="KA29"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9" s="185"/>
      <c r="KC29" s="184"/>
      <c r="KD29" s="186" t="str" cm="1">
        <f t="array" aca="1" ref="KD29"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9" s="185"/>
      <c r="KF29" s="184"/>
    </row>
    <row r="30" spans="1:292" x14ac:dyDescent="0.3">
      <c r="A30" s="192">
        <f>[1]Reg!A30</f>
        <v>27</v>
      </c>
      <c r="B30" s="190">
        <f t="shared" si="0"/>
        <v>0</v>
      </c>
      <c r="C30" s="185"/>
      <c r="D30" s="173"/>
      <c r="E30" s="190">
        <f t="shared" si="1"/>
        <v>0</v>
      </c>
      <c r="F30" s="185"/>
      <c r="G30" s="173"/>
      <c r="H30" s="190">
        <f t="shared" si="2"/>
        <v>0</v>
      </c>
      <c r="I30" s="185"/>
      <c r="J30" s="173"/>
      <c r="K30" s="190">
        <f t="shared" si="3"/>
        <v>0</v>
      </c>
      <c r="L30" s="185"/>
      <c r="M30" s="173"/>
      <c r="N30" s="190">
        <f t="shared" si="4"/>
        <v>0</v>
      </c>
      <c r="O30" s="185"/>
      <c r="P30" s="173"/>
      <c r="Q30" s="190">
        <f t="shared" si="5"/>
        <v>0</v>
      </c>
      <c r="R30" s="185"/>
      <c r="S30" s="173"/>
      <c r="T30" s="189"/>
      <c r="U30" s="189"/>
      <c r="V30" s="189"/>
      <c r="W30" s="186">
        <f t="shared" si="6"/>
        <v>0</v>
      </c>
      <c r="X30" s="185"/>
      <c r="Y30" s="173"/>
      <c r="Z30" s="186">
        <f t="shared" si="7"/>
        <v>0</v>
      </c>
      <c r="AA30" s="188"/>
      <c r="AB30" s="173"/>
      <c r="AC30" s="186">
        <f t="shared" si="8"/>
        <v>0</v>
      </c>
      <c r="AD30" s="185"/>
      <c r="AE30" s="173"/>
      <c r="AF30" s="186">
        <f t="shared" si="9"/>
        <v>0</v>
      </c>
      <c r="AG30" s="185"/>
      <c r="AH30" s="173"/>
      <c r="AI30" s="186">
        <f t="shared" si="10"/>
        <v>0</v>
      </c>
      <c r="AJ30" s="185"/>
      <c r="AK30" s="173"/>
      <c r="AL30" s="186">
        <f t="shared" si="11"/>
        <v>0</v>
      </c>
      <c r="AM30" s="185"/>
      <c r="AN30" s="173"/>
      <c r="AO30" s="186">
        <f t="shared" si="12"/>
        <v>0</v>
      </c>
      <c r="AP30" s="185"/>
      <c r="AQ30" s="173"/>
      <c r="AR30" s="186">
        <f t="shared" si="13"/>
        <v>0</v>
      </c>
      <c r="AS30" s="185"/>
      <c r="AT30" s="173"/>
      <c r="AU30" s="186">
        <f t="shared" si="14"/>
        <v>0</v>
      </c>
      <c r="AV30" s="185"/>
      <c r="AW30" s="173"/>
      <c r="AX30" s="186">
        <f t="shared" si="15"/>
        <v>0</v>
      </c>
      <c r="AY30" s="185"/>
      <c r="AZ30" s="173"/>
      <c r="BA30" s="186">
        <f t="shared" si="16"/>
        <v>0</v>
      </c>
      <c r="BB30" s="185"/>
      <c r="BC30" s="173"/>
      <c r="BD30" s="186">
        <f t="shared" si="17"/>
        <v>0</v>
      </c>
      <c r="BE30" s="185"/>
      <c r="BF30" s="173"/>
      <c r="BG30" s="186">
        <f t="shared" si="18"/>
        <v>0</v>
      </c>
      <c r="BH30" s="185"/>
      <c r="BI30" s="173"/>
      <c r="BJ30" s="186">
        <f t="shared" si="19"/>
        <v>0</v>
      </c>
      <c r="BK30" s="185"/>
      <c r="BL30" s="173"/>
      <c r="BM30" s="186">
        <f t="shared" si="20"/>
        <v>0</v>
      </c>
      <c r="BN30" s="185"/>
      <c r="BO30" s="173"/>
      <c r="BP30" s="186">
        <f t="shared" si="21"/>
        <v>0</v>
      </c>
      <c r="BQ30" s="185"/>
      <c r="BR30" s="173"/>
      <c r="BS30" s="186">
        <f t="shared" si="22"/>
        <v>0</v>
      </c>
      <c r="BT30" s="185"/>
      <c r="BU30" s="173"/>
      <c r="BV30" s="186">
        <f t="shared" si="23"/>
        <v>0</v>
      </c>
      <c r="BW30" s="185"/>
      <c r="BX30" s="173"/>
      <c r="BY30" s="186">
        <f t="shared" si="24"/>
        <v>0</v>
      </c>
      <c r="BZ30" s="185"/>
      <c r="CA30" s="173"/>
      <c r="CB30" s="186">
        <f t="shared" si="25"/>
        <v>0</v>
      </c>
      <c r="CC30" s="185"/>
      <c r="CD30" s="173"/>
      <c r="CE30" s="186">
        <f t="shared" si="91"/>
        <v>0</v>
      </c>
      <c r="CF30" s="185"/>
      <c r="CG30" s="173"/>
      <c r="CH30" s="186">
        <f t="shared" si="92"/>
        <v>0</v>
      </c>
      <c r="CI30" s="185"/>
      <c r="CJ30" s="173"/>
      <c r="CK30" s="186">
        <f t="shared" si="27"/>
        <v>0</v>
      </c>
      <c r="CL30" s="185"/>
      <c r="CM30" s="173"/>
      <c r="CN30" s="186">
        <f t="shared" si="28"/>
        <v>0</v>
      </c>
      <c r="CO30" s="185"/>
      <c r="CP30" s="173"/>
      <c r="CQ30" s="186">
        <f t="shared" si="29"/>
        <v>0</v>
      </c>
      <c r="CR30" s="185"/>
      <c r="CS30" s="173"/>
      <c r="CT30" s="186">
        <f t="shared" si="30"/>
        <v>0</v>
      </c>
      <c r="CU30" s="185"/>
      <c r="CV30" s="173"/>
      <c r="CW30" s="186">
        <f t="shared" si="31"/>
        <v>0</v>
      </c>
      <c r="CX30" s="185"/>
      <c r="CY30" s="173"/>
      <c r="CZ30" s="186">
        <f t="shared" si="32"/>
        <v>0</v>
      </c>
      <c r="DA30" s="185"/>
      <c r="DB30" s="173"/>
      <c r="DC30" s="186">
        <f t="shared" si="33"/>
        <v>0</v>
      </c>
      <c r="DD30" s="185"/>
      <c r="DE30" s="173"/>
      <c r="DF30" s="186">
        <f t="shared" si="34"/>
        <v>0</v>
      </c>
      <c r="DG30" s="185"/>
      <c r="DH30" s="173"/>
      <c r="DI30" s="186">
        <f t="shared" si="35"/>
        <v>0</v>
      </c>
      <c r="DJ30" s="185"/>
      <c r="DK30" s="173"/>
      <c r="DL30" s="186">
        <f t="shared" si="36"/>
        <v>0</v>
      </c>
      <c r="DM30" s="185"/>
      <c r="DN30" s="173"/>
      <c r="DO30" s="186">
        <f t="shared" si="37"/>
        <v>0</v>
      </c>
      <c r="DP30" s="185"/>
      <c r="DQ30" s="173"/>
      <c r="DR30" s="186">
        <f t="shared" si="38"/>
        <v>0</v>
      </c>
      <c r="DS30" s="185"/>
      <c r="DT30" s="173"/>
      <c r="DU30" s="186">
        <f t="shared" si="39"/>
        <v>0</v>
      </c>
      <c r="DV30" s="185"/>
      <c r="DW30" s="173"/>
      <c r="DX30" s="186">
        <f t="shared" si="40"/>
        <v>0</v>
      </c>
      <c r="DY30" s="185"/>
      <c r="DZ30" s="173"/>
      <c r="EA30" s="186">
        <f t="shared" si="41"/>
        <v>0</v>
      </c>
      <c r="EB30" s="185"/>
      <c r="EC30" s="173"/>
      <c r="ED30" s="186">
        <f t="shared" si="42"/>
        <v>0</v>
      </c>
      <c r="EE30" s="185"/>
      <c r="EF30" s="173"/>
      <c r="EG30" s="186">
        <f t="shared" si="43"/>
        <v>0</v>
      </c>
      <c r="EH30" s="185"/>
      <c r="EI30" s="173"/>
      <c r="EJ30" s="186">
        <f t="shared" si="44"/>
        <v>0</v>
      </c>
      <c r="EK30" s="185"/>
      <c r="EL30" s="173"/>
      <c r="EM30" s="186">
        <f t="shared" si="45"/>
        <v>0</v>
      </c>
      <c r="EN30" s="185"/>
      <c r="EO30" s="173"/>
      <c r="EP30" s="186">
        <f t="shared" si="46"/>
        <v>0</v>
      </c>
      <c r="EQ30" s="185"/>
      <c r="ER30" s="173"/>
      <c r="ES30" s="186">
        <f t="shared" si="47"/>
        <v>0</v>
      </c>
      <c r="ET30" s="185"/>
      <c r="EU30" s="173"/>
      <c r="EV30" s="186">
        <f t="shared" si="48"/>
        <v>0</v>
      </c>
      <c r="EW30" s="185"/>
      <c r="EX30" s="184"/>
      <c r="EY30" s="186">
        <f t="shared" si="49"/>
        <v>0</v>
      </c>
      <c r="EZ30" s="185"/>
      <c r="FA30" s="184"/>
      <c r="FB30" s="186">
        <f t="shared" si="50"/>
        <v>0</v>
      </c>
      <c r="FC30" s="185"/>
      <c r="FD30" s="184"/>
      <c r="FE30" s="186">
        <f t="shared" si="51"/>
        <v>0</v>
      </c>
      <c r="FF30" s="185"/>
      <c r="FG30" s="173"/>
      <c r="FH30" s="186">
        <f t="shared" si="52"/>
        <v>0</v>
      </c>
      <c r="FI30" s="185"/>
      <c r="FJ30" s="173"/>
      <c r="FK30" s="186">
        <f t="shared" si="53"/>
        <v>0</v>
      </c>
      <c r="FL30" s="185"/>
      <c r="FM30" s="173"/>
      <c r="FN30" s="186">
        <f t="shared" si="54"/>
        <v>0</v>
      </c>
      <c r="FO30" s="185"/>
      <c r="FP30" s="173"/>
      <c r="FQ30" s="186">
        <f t="shared" si="55"/>
        <v>0</v>
      </c>
      <c r="FR30" s="185"/>
      <c r="FS30" s="173"/>
      <c r="FT30" s="186">
        <f t="shared" si="56"/>
        <v>0</v>
      </c>
      <c r="FU30" s="185"/>
      <c r="FV30" s="173"/>
      <c r="FW30" s="186">
        <f t="shared" si="57"/>
        <v>0</v>
      </c>
      <c r="FX30" s="185"/>
      <c r="FY30" s="173"/>
      <c r="FZ30" s="186">
        <f t="shared" si="58"/>
        <v>0</v>
      </c>
      <c r="GA30" s="185"/>
      <c r="GB30" s="173"/>
      <c r="GC30" s="186">
        <f t="shared" si="59"/>
        <v>0</v>
      </c>
      <c r="GD30" s="185"/>
      <c r="GE30" s="173"/>
      <c r="GF30" s="186">
        <f t="shared" si="60"/>
        <v>0</v>
      </c>
      <c r="GG30" s="185"/>
      <c r="GH30" s="173"/>
      <c r="GI30" s="186">
        <f t="shared" si="61"/>
        <v>0</v>
      </c>
      <c r="GJ30" s="185"/>
      <c r="GK30" s="173"/>
      <c r="GL30" s="186">
        <f t="shared" si="62"/>
        <v>0</v>
      </c>
      <c r="GM30" s="185"/>
      <c r="GN30" s="173"/>
      <c r="GO30" s="186">
        <f t="shared" si="63"/>
        <v>0</v>
      </c>
      <c r="GP30" s="185"/>
      <c r="GQ30" s="173"/>
      <c r="GR30" s="186">
        <f t="shared" si="64"/>
        <v>0</v>
      </c>
      <c r="GS30" s="185"/>
      <c r="GT30" s="173"/>
      <c r="GU30" s="186">
        <f t="shared" si="65"/>
        <v>0</v>
      </c>
      <c r="GV30" s="185"/>
      <c r="GW30" s="173"/>
      <c r="GX30" s="186">
        <f t="shared" si="66"/>
        <v>0</v>
      </c>
      <c r="GY30" s="185"/>
      <c r="GZ30" s="173"/>
      <c r="HA30" s="186">
        <f t="shared" si="67"/>
        <v>0</v>
      </c>
      <c r="HB30" s="185"/>
      <c r="HC30" s="173"/>
      <c r="HD30" s="186">
        <f t="shared" si="68"/>
        <v>0</v>
      </c>
      <c r="HE30" s="185"/>
      <c r="HF30" s="173"/>
      <c r="HG30" s="186">
        <f t="shared" si="69"/>
        <v>0</v>
      </c>
      <c r="HH30" s="185"/>
      <c r="HI30" s="173"/>
      <c r="HJ30" s="186">
        <f t="shared" si="70"/>
        <v>0</v>
      </c>
      <c r="HK30" s="185"/>
      <c r="HL30" s="173"/>
      <c r="HM30" s="186">
        <f t="shared" si="71"/>
        <v>0</v>
      </c>
      <c r="HN30" s="185"/>
      <c r="HO30" s="173"/>
      <c r="HP30" s="186">
        <f t="shared" si="72"/>
        <v>0</v>
      </c>
      <c r="HQ30" s="185"/>
      <c r="HR30" s="173"/>
      <c r="HS30" s="186">
        <f t="shared" si="73"/>
        <v>0</v>
      </c>
      <c r="HT30" s="185"/>
      <c r="HU30" s="173"/>
      <c r="HV30" s="186">
        <f t="shared" si="74"/>
        <v>0</v>
      </c>
      <c r="HW30" s="185"/>
      <c r="HX30" s="173"/>
      <c r="HY30" s="186">
        <f t="shared" si="75"/>
        <v>0</v>
      </c>
      <c r="HZ30" s="185"/>
      <c r="IA30" s="173"/>
      <c r="IB30" s="186">
        <f t="shared" si="76"/>
        <v>0</v>
      </c>
      <c r="IC30" s="185"/>
      <c r="ID30" s="173"/>
      <c r="IE30" s="186">
        <f t="shared" si="77"/>
        <v>0</v>
      </c>
      <c r="IF30" s="185"/>
      <c r="IG30" s="173"/>
      <c r="IH30" s="186">
        <f t="shared" si="78"/>
        <v>0</v>
      </c>
      <c r="II30" s="185"/>
      <c r="IJ30" s="173"/>
      <c r="IK30" s="186">
        <f t="shared" si="79"/>
        <v>0</v>
      </c>
      <c r="IL30" s="185"/>
      <c r="IM30" s="173"/>
      <c r="IN30" s="186">
        <f t="shared" si="80"/>
        <v>0</v>
      </c>
      <c r="IO30" s="185"/>
      <c r="IP30" s="173"/>
      <c r="IQ30" s="186">
        <f t="shared" si="81"/>
        <v>0</v>
      </c>
      <c r="IR30" s="185"/>
      <c r="IS30" s="173"/>
      <c r="IT30" s="186">
        <f t="shared" si="82"/>
        <v>0</v>
      </c>
      <c r="IU30" s="185"/>
      <c r="IV30" s="173"/>
      <c r="IW30" s="186">
        <f t="shared" si="83"/>
        <v>0</v>
      </c>
      <c r="IX30" s="185"/>
      <c r="IY30" s="173"/>
      <c r="IZ30" s="186">
        <f t="shared" si="84"/>
        <v>0</v>
      </c>
      <c r="JA30" s="185"/>
      <c r="JB30" s="173"/>
      <c r="JC30" s="186">
        <f t="shared" si="85"/>
        <v>0</v>
      </c>
      <c r="JD30" s="185"/>
      <c r="JE30" s="173"/>
      <c r="JF30" s="186">
        <f t="shared" si="86"/>
        <v>0</v>
      </c>
      <c r="JG30" s="185"/>
      <c r="JH30" s="173"/>
      <c r="JI30" s="186"/>
      <c r="JJ30" s="185"/>
      <c r="JK30" s="173"/>
      <c r="JL30" s="186">
        <f t="shared" si="88"/>
        <v>0</v>
      </c>
      <c r="JM30" s="185"/>
      <c r="JN30" s="173"/>
      <c r="JO30" s="186">
        <f t="shared" si="89"/>
        <v>0</v>
      </c>
      <c r="JP30" s="185"/>
      <c r="JQ30" s="173"/>
      <c r="JR30" s="186">
        <f t="shared" si="90"/>
        <v>0</v>
      </c>
      <c r="JS30" s="185"/>
      <c r="JT30" s="173"/>
      <c r="JU30" s="186" t="str" cm="1">
        <f t="array" aca="1" ref="JU30"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0" s="187"/>
      <c r="JW30" s="173"/>
      <c r="JX30" s="186" t="str" cm="1">
        <f t="array" aca="1" ref="JX30"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0" s="185"/>
      <c r="JZ30" s="184"/>
      <c r="KA30" s="186" t="str" cm="1">
        <f t="array" aca="1" ref="KA30"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0" s="185"/>
      <c r="KC30" s="184"/>
      <c r="KD30" s="186" t="str" cm="1">
        <f t="array" aca="1" ref="KD30"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0" s="185"/>
      <c r="KF30" s="184"/>
    </row>
    <row r="31" spans="1:292" x14ac:dyDescent="0.3">
      <c r="A31" s="191">
        <f>[1]Reg!A31</f>
        <v>28</v>
      </c>
      <c r="B31" s="190">
        <f t="shared" si="0"/>
        <v>0</v>
      </c>
      <c r="C31" s="185"/>
      <c r="D31" s="173"/>
      <c r="E31" s="190">
        <f t="shared" si="1"/>
        <v>0</v>
      </c>
      <c r="F31" s="185"/>
      <c r="G31" s="173"/>
      <c r="H31" s="190">
        <f t="shared" si="2"/>
        <v>0</v>
      </c>
      <c r="I31" s="185"/>
      <c r="J31" s="173"/>
      <c r="K31" s="190">
        <f t="shared" si="3"/>
        <v>0</v>
      </c>
      <c r="L31" s="185"/>
      <c r="M31" s="173"/>
      <c r="N31" s="190">
        <f t="shared" si="4"/>
        <v>0</v>
      </c>
      <c r="O31" s="185"/>
      <c r="P31" s="173"/>
      <c r="Q31" s="190">
        <f t="shared" si="5"/>
        <v>0</v>
      </c>
      <c r="R31" s="185"/>
      <c r="S31" s="173"/>
      <c r="T31" s="189"/>
      <c r="U31" s="189"/>
      <c r="V31" s="189"/>
      <c r="W31" s="186">
        <f t="shared" si="6"/>
        <v>0</v>
      </c>
      <c r="X31" s="185"/>
      <c r="Y31" s="173"/>
      <c r="Z31" s="186">
        <f t="shared" si="7"/>
        <v>0</v>
      </c>
      <c r="AA31" s="188"/>
      <c r="AB31" s="173"/>
      <c r="AC31" s="186">
        <f t="shared" si="8"/>
        <v>0</v>
      </c>
      <c r="AD31" s="185"/>
      <c r="AE31" s="173"/>
      <c r="AF31" s="186">
        <f t="shared" si="9"/>
        <v>0</v>
      </c>
      <c r="AG31" s="185"/>
      <c r="AH31" s="173"/>
      <c r="AI31" s="186">
        <f t="shared" si="10"/>
        <v>0</v>
      </c>
      <c r="AJ31" s="185"/>
      <c r="AK31" s="173"/>
      <c r="AL31" s="186">
        <f t="shared" si="11"/>
        <v>0</v>
      </c>
      <c r="AM31" s="185"/>
      <c r="AN31" s="173"/>
      <c r="AO31" s="186">
        <f t="shared" si="12"/>
        <v>0</v>
      </c>
      <c r="AP31" s="185"/>
      <c r="AQ31" s="173"/>
      <c r="AR31" s="186">
        <f t="shared" si="13"/>
        <v>0</v>
      </c>
      <c r="AS31" s="185"/>
      <c r="AT31" s="173"/>
      <c r="AU31" s="186">
        <f t="shared" si="14"/>
        <v>0</v>
      </c>
      <c r="AV31" s="185"/>
      <c r="AW31" s="173"/>
      <c r="AX31" s="186">
        <f t="shared" si="15"/>
        <v>0</v>
      </c>
      <c r="AY31" s="185"/>
      <c r="AZ31" s="173"/>
      <c r="BA31" s="186">
        <f t="shared" si="16"/>
        <v>0</v>
      </c>
      <c r="BB31" s="185"/>
      <c r="BC31" s="173"/>
      <c r="BD31" s="186">
        <f t="shared" si="17"/>
        <v>0</v>
      </c>
      <c r="BE31" s="185"/>
      <c r="BF31" s="173"/>
      <c r="BG31" s="186">
        <f t="shared" si="18"/>
        <v>0</v>
      </c>
      <c r="BH31" s="185"/>
      <c r="BI31" s="173"/>
      <c r="BJ31" s="186">
        <f t="shared" si="19"/>
        <v>0</v>
      </c>
      <c r="BK31" s="185"/>
      <c r="BL31" s="173"/>
      <c r="BM31" s="186">
        <f t="shared" si="20"/>
        <v>0</v>
      </c>
      <c r="BN31" s="185"/>
      <c r="BO31" s="173"/>
      <c r="BP31" s="186">
        <f t="shared" si="21"/>
        <v>0</v>
      </c>
      <c r="BQ31" s="185"/>
      <c r="BR31" s="173"/>
      <c r="BS31" s="186">
        <f t="shared" si="22"/>
        <v>0</v>
      </c>
      <c r="BT31" s="185"/>
      <c r="BU31" s="173"/>
      <c r="BV31" s="186">
        <f t="shared" si="23"/>
        <v>0</v>
      </c>
      <c r="BW31" s="185"/>
      <c r="BX31" s="173"/>
      <c r="BY31" s="186">
        <f t="shared" si="24"/>
        <v>0</v>
      </c>
      <c r="BZ31" s="185"/>
      <c r="CA31" s="173"/>
      <c r="CB31" s="186">
        <f t="shared" si="25"/>
        <v>0</v>
      </c>
      <c r="CC31" s="185"/>
      <c r="CD31" s="173"/>
      <c r="CE31" s="186">
        <f t="shared" si="91"/>
        <v>0</v>
      </c>
      <c r="CF31" s="185"/>
      <c r="CG31" s="173"/>
      <c r="CH31" s="186">
        <f t="shared" si="92"/>
        <v>0</v>
      </c>
      <c r="CI31" s="185"/>
      <c r="CJ31" s="173"/>
      <c r="CK31" s="186">
        <f t="shared" si="27"/>
        <v>0</v>
      </c>
      <c r="CL31" s="185"/>
      <c r="CM31" s="173"/>
      <c r="CN31" s="186">
        <f t="shared" si="28"/>
        <v>0</v>
      </c>
      <c r="CO31" s="185"/>
      <c r="CP31" s="173"/>
      <c r="CQ31" s="186">
        <f t="shared" si="29"/>
        <v>0</v>
      </c>
      <c r="CR31" s="185"/>
      <c r="CS31" s="173"/>
      <c r="CT31" s="186">
        <f t="shared" si="30"/>
        <v>0</v>
      </c>
      <c r="CU31" s="185"/>
      <c r="CV31" s="173"/>
      <c r="CW31" s="186">
        <f t="shared" si="31"/>
        <v>0</v>
      </c>
      <c r="CX31" s="185"/>
      <c r="CY31" s="173"/>
      <c r="CZ31" s="186">
        <f t="shared" si="32"/>
        <v>0</v>
      </c>
      <c r="DA31" s="185"/>
      <c r="DB31" s="173"/>
      <c r="DC31" s="186">
        <f t="shared" si="33"/>
        <v>0</v>
      </c>
      <c r="DD31" s="185"/>
      <c r="DE31" s="173"/>
      <c r="DF31" s="186">
        <f t="shared" si="34"/>
        <v>0</v>
      </c>
      <c r="DG31" s="185"/>
      <c r="DH31" s="173"/>
      <c r="DI31" s="186">
        <f t="shared" si="35"/>
        <v>0</v>
      </c>
      <c r="DJ31" s="185"/>
      <c r="DK31" s="173"/>
      <c r="DL31" s="186">
        <f t="shared" si="36"/>
        <v>0</v>
      </c>
      <c r="DM31" s="185"/>
      <c r="DN31" s="173"/>
      <c r="DO31" s="186">
        <f t="shared" si="37"/>
        <v>0</v>
      </c>
      <c r="DP31" s="185"/>
      <c r="DQ31" s="173"/>
      <c r="DR31" s="186">
        <f t="shared" si="38"/>
        <v>0</v>
      </c>
      <c r="DS31" s="185"/>
      <c r="DT31" s="173"/>
      <c r="DU31" s="186">
        <f t="shared" si="39"/>
        <v>0</v>
      </c>
      <c r="DV31" s="185"/>
      <c r="DW31" s="173"/>
      <c r="DX31" s="186">
        <f t="shared" si="40"/>
        <v>0</v>
      </c>
      <c r="DY31" s="185"/>
      <c r="DZ31" s="173"/>
      <c r="EA31" s="186">
        <f t="shared" si="41"/>
        <v>0</v>
      </c>
      <c r="EB31" s="185"/>
      <c r="EC31" s="173"/>
      <c r="ED31" s="186">
        <f t="shared" si="42"/>
        <v>0</v>
      </c>
      <c r="EE31" s="185"/>
      <c r="EF31" s="173"/>
      <c r="EG31" s="186">
        <f t="shared" si="43"/>
        <v>0</v>
      </c>
      <c r="EH31" s="185"/>
      <c r="EI31" s="173"/>
      <c r="EJ31" s="186">
        <f t="shared" si="44"/>
        <v>0</v>
      </c>
      <c r="EK31" s="185"/>
      <c r="EL31" s="173"/>
      <c r="EM31" s="186">
        <f t="shared" si="45"/>
        <v>0</v>
      </c>
      <c r="EN31" s="185"/>
      <c r="EO31" s="173"/>
      <c r="EP31" s="186">
        <f t="shared" si="46"/>
        <v>0</v>
      </c>
      <c r="EQ31" s="185"/>
      <c r="ER31" s="173"/>
      <c r="ES31" s="186">
        <f t="shared" si="47"/>
        <v>0</v>
      </c>
      <c r="ET31" s="185"/>
      <c r="EU31" s="173"/>
      <c r="EV31" s="186">
        <f t="shared" si="48"/>
        <v>0</v>
      </c>
      <c r="EW31" s="185"/>
      <c r="EX31" s="184"/>
      <c r="EY31" s="186">
        <f t="shared" si="49"/>
        <v>0</v>
      </c>
      <c r="EZ31" s="185"/>
      <c r="FA31" s="184"/>
      <c r="FB31" s="186">
        <f t="shared" si="50"/>
        <v>0</v>
      </c>
      <c r="FC31" s="185"/>
      <c r="FD31" s="184"/>
      <c r="FE31" s="186">
        <f t="shared" si="51"/>
        <v>0</v>
      </c>
      <c r="FF31" s="185"/>
      <c r="FG31" s="173"/>
      <c r="FH31" s="186">
        <f t="shared" si="52"/>
        <v>0</v>
      </c>
      <c r="FI31" s="185"/>
      <c r="FJ31" s="173"/>
      <c r="FK31" s="186">
        <f t="shared" si="53"/>
        <v>0</v>
      </c>
      <c r="FL31" s="185"/>
      <c r="FM31" s="173"/>
      <c r="FN31" s="186">
        <f t="shared" si="54"/>
        <v>0</v>
      </c>
      <c r="FO31" s="185"/>
      <c r="FP31" s="173"/>
      <c r="FQ31" s="186">
        <f t="shared" si="55"/>
        <v>0</v>
      </c>
      <c r="FR31" s="185"/>
      <c r="FS31" s="173"/>
      <c r="FT31" s="186">
        <f t="shared" si="56"/>
        <v>0</v>
      </c>
      <c r="FU31" s="185"/>
      <c r="FV31" s="173"/>
      <c r="FW31" s="186">
        <f t="shared" si="57"/>
        <v>0</v>
      </c>
      <c r="FX31" s="185"/>
      <c r="FY31" s="173"/>
      <c r="FZ31" s="186">
        <f t="shared" si="58"/>
        <v>0</v>
      </c>
      <c r="GA31" s="185"/>
      <c r="GB31" s="173"/>
      <c r="GC31" s="186">
        <f t="shared" si="59"/>
        <v>0</v>
      </c>
      <c r="GD31" s="185"/>
      <c r="GE31" s="173"/>
      <c r="GF31" s="186">
        <f t="shared" si="60"/>
        <v>0</v>
      </c>
      <c r="GG31" s="185"/>
      <c r="GH31" s="173"/>
      <c r="GI31" s="186">
        <f t="shared" si="61"/>
        <v>0</v>
      </c>
      <c r="GJ31" s="185"/>
      <c r="GK31" s="173"/>
      <c r="GL31" s="186">
        <f t="shared" si="62"/>
        <v>0</v>
      </c>
      <c r="GM31" s="185"/>
      <c r="GN31" s="173"/>
      <c r="GO31" s="186">
        <f t="shared" si="63"/>
        <v>0</v>
      </c>
      <c r="GP31" s="185"/>
      <c r="GQ31" s="173"/>
      <c r="GR31" s="186">
        <f t="shared" si="64"/>
        <v>0</v>
      </c>
      <c r="GS31" s="185"/>
      <c r="GT31" s="173"/>
      <c r="GU31" s="186">
        <f t="shared" si="65"/>
        <v>0</v>
      </c>
      <c r="GV31" s="185"/>
      <c r="GW31" s="173"/>
      <c r="GX31" s="186">
        <f t="shared" si="66"/>
        <v>0</v>
      </c>
      <c r="GY31" s="185"/>
      <c r="GZ31" s="173"/>
      <c r="HA31" s="186">
        <f t="shared" si="67"/>
        <v>0</v>
      </c>
      <c r="HB31" s="185"/>
      <c r="HC31" s="173"/>
      <c r="HD31" s="186">
        <f t="shared" si="68"/>
        <v>0</v>
      </c>
      <c r="HE31" s="185"/>
      <c r="HF31" s="173"/>
      <c r="HG31" s="186">
        <f t="shared" si="69"/>
        <v>0</v>
      </c>
      <c r="HH31" s="185"/>
      <c r="HI31" s="173"/>
      <c r="HJ31" s="186">
        <f t="shared" si="70"/>
        <v>0</v>
      </c>
      <c r="HK31" s="185"/>
      <c r="HL31" s="173"/>
      <c r="HM31" s="186">
        <f t="shared" si="71"/>
        <v>0</v>
      </c>
      <c r="HN31" s="185"/>
      <c r="HO31" s="173"/>
      <c r="HP31" s="186">
        <f t="shared" si="72"/>
        <v>0</v>
      </c>
      <c r="HQ31" s="185"/>
      <c r="HR31" s="173"/>
      <c r="HS31" s="186">
        <f t="shared" si="73"/>
        <v>0</v>
      </c>
      <c r="HT31" s="185"/>
      <c r="HU31" s="173"/>
      <c r="HV31" s="186">
        <f t="shared" si="74"/>
        <v>0</v>
      </c>
      <c r="HW31" s="185"/>
      <c r="HX31" s="173"/>
      <c r="HY31" s="186">
        <f t="shared" si="75"/>
        <v>0</v>
      </c>
      <c r="HZ31" s="185"/>
      <c r="IA31" s="173"/>
      <c r="IB31" s="186">
        <f t="shared" si="76"/>
        <v>0</v>
      </c>
      <c r="IC31" s="185"/>
      <c r="ID31" s="173"/>
      <c r="IE31" s="186">
        <f t="shared" si="77"/>
        <v>0</v>
      </c>
      <c r="IF31" s="185"/>
      <c r="IG31" s="173"/>
      <c r="IH31" s="186">
        <f t="shared" si="78"/>
        <v>0</v>
      </c>
      <c r="II31" s="185"/>
      <c r="IJ31" s="173"/>
      <c r="IK31" s="186">
        <f t="shared" si="79"/>
        <v>0</v>
      </c>
      <c r="IL31" s="185"/>
      <c r="IM31" s="173"/>
      <c r="IN31" s="186">
        <f t="shared" si="80"/>
        <v>0</v>
      </c>
      <c r="IO31" s="185"/>
      <c r="IP31" s="173"/>
      <c r="IQ31" s="186">
        <f t="shared" si="81"/>
        <v>0</v>
      </c>
      <c r="IR31" s="185"/>
      <c r="IS31" s="173"/>
      <c r="IT31" s="186">
        <f t="shared" si="82"/>
        <v>0</v>
      </c>
      <c r="IU31" s="185"/>
      <c r="IV31" s="173"/>
      <c r="IW31" s="186">
        <f t="shared" si="83"/>
        <v>0</v>
      </c>
      <c r="IX31" s="185"/>
      <c r="IY31" s="173"/>
      <c r="IZ31" s="186">
        <f t="shared" si="84"/>
        <v>0</v>
      </c>
      <c r="JA31" s="185"/>
      <c r="JB31" s="173"/>
      <c r="JC31" s="186">
        <f t="shared" si="85"/>
        <v>0</v>
      </c>
      <c r="JD31" s="185"/>
      <c r="JE31" s="173"/>
      <c r="JF31" s="186">
        <f t="shared" si="86"/>
        <v>0</v>
      </c>
      <c r="JG31" s="185"/>
      <c r="JH31" s="173"/>
      <c r="JI31" s="186"/>
      <c r="JJ31" s="185"/>
      <c r="JK31" s="173"/>
      <c r="JL31" s="186">
        <f t="shared" si="88"/>
        <v>0</v>
      </c>
      <c r="JM31" s="185"/>
      <c r="JN31" s="173"/>
      <c r="JO31" s="186">
        <f t="shared" si="89"/>
        <v>0</v>
      </c>
      <c r="JP31" s="185"/>
      <c r="JQ31" s="173"/>
      <c r="JR31" s="186">
        <f t="shared" si="90"/>
        <v>0</v>
      </c>
      <c r="JS31" s="185"/>
      <c r="JT31" s="173"/>
      <c r="JU31" s="186" t="str" cm="1">
        <f t="array" aca="1" ref="JU31"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1" s="187"/>
      <c r="JW31" s="173"/>
      <c r="JX31" s="186" t="str" cm="1">
        <f t="array" aca="1" ref="JX31"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1" s="185"/>
      <c r="JZ31" s="184"/>
      <c r="KA31" s="186" t="str" cm="1">
        <f t="array" aca="1" ref="KA31"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1" s="185"/>
      <c r="KC31" s="184"/>
      <c r="KD31" s="186" t="str" cm="1">
        <f t="array" aca="1" ref="KD31"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1" s="185"/>
      <c r="KF31" s="184"/>
    </row>
    <row r="32" spans="1:292" x14ac:dyDescent="0.3">
      <c r="A32" s="192">
        <f>[1]Reg!A32</f>
        <v>29</v>
      </c>
      <c r="B32" s="190">
        <f t="shared" si="0"/>
        <v>0</v>
      </c>
      <c r="C32" s="185"/>
      <c r="D32" s="173"/>
      <c r="E32" s="190">
        <f t="shared" si="1"/>
        <v>0</v>
      </c>
      <c r="F32" s="185"/>
      <c r="G32" s="173"/>
      <c r="H32" s="190">
        <f t="shared" si="2"/>
        <v>0</v>
      </c>
      <c r="I32" s="185"/>
      <c r="J32" s="173"/>
      <c r="K32" s="190">
        <f t="shared" si="3"/>
        <v>0</v>
      </c>
      <c r="L32" s="185"/>
      <c r="M32" s="173"/>
      <c r="N32" s="190">
        <f t="shared" si="4"/>
        <v>0</v>
      </c>
      <c r="O32" s="185"/>
      <c r="P32" s="173"/>
      <c r="Q32" s="190">
        <f t="shared" si="5"/>
        <v>0</v>
      </c>
      <c r="R32" s="185"/>
      <c r="S32" s="173"/>
      <c r="T32" s="189"/>
      <c r="U32" s="189"/>
      <c r="V32" s="189"/>
      <c r="W32" s="186">
        <f t="shared" si="6"/>
        <v>0</v>
      </c>
      <c r="X32" s="185"/>
      <c r="Y32" s="173"/>
      <c r="Z32" s="186">
        <f t="shared" si="7"/>
        <v>0</v>
      </c>
      <c r="AA32" s="188"/>
      <c r="AB32" s="173"/>
      <c r="AC32" s="186">
        <f t="shared" si="8"/>
        <v>0</v>
      </c>
      <c r="AD32" s="185"/>
      <c r="AE32" s="173"/>
      <c r="AF32" s="186">
        <f t="shared" si="9"/>
        <v>0</v>
      </c>
      <c r="AG32" s="185"/>
      <c r="AH32" s="173"/>
      <c r="AI32" s="186">
        <f t="shared" si="10"/>
        <v>0</v>
      </c>
      <c r="AJ32" s="185"/>
      <c r="AK32" s="173"/>
      <c r="AL32" s="186">
        <f t="shared" si="11"/>
        <v>0</v>
      </c>
      <c r="AM32" s="185"/>
      <c r="AN32" s="173"/>
      <c r="AO32" s="186">
        <f t="shared" si="12"/>
        <v>0</v>
      </c>
      <c r="AP32" s="185"/>
      <c r="AQ32" s="173"/>
      <c r="AR32" s="186">
        <f t="shared" si="13"/>
        <v>0</v>
      </c>
      <c r="AS32" s="185"/>
      <c r="AT32" s="173"/>
      <c r="AU32" s="186">
        <f t="shared" si="14"/>
        <v>0</v>
      </c>
      <c r="AV32" s="185"/>
      <c r="AW32" s="173"/>
      <c r="AX32" s="186">
        <f t="shared" si="15"/>
        <v>0</v>
      </c>
      <c r="AY32" s="185"/>
      <c r="AZ32" s="173"/>
      <c r="BA32" s="186">
        <f t="shared" si="16"/>
        <v>0</v>
      </c>
      <c r="BB32" s="185"/>
      <c r="BC32" s="173"/>
      <c r="BD32" s="186">
        <f t="shared" si="17"/>
        <v>0</v>
      </c>
      <c r="BE32" s="185"/>
      <c r="BF32" s="173"/>
      <c r="BG32" s="186">
        <f t="shared" si="18"/>
        <v>0</v>
      </c>
      <c r="BH32" s="185"/>
      <c r="BI32" s="173"/>
      <c r="BJ32" s="186">
        <f t="shared" si="19"/>
        <v>0</v>
      </c>
      <c r="BK32" s="185"/>
      <c r="BL32" s="173"/>
      <c r="BM32" s="186">
        <f t="shared" si="20"/>
        <v>0</v>
      </c>
      <c r="BN32" s="185"/>
      <c r="BO32" s="173"/>
      <c r="BP32" s="186">
        <f t="shared" si="21"/>
        <v>0</v>
      </c>
      <c r="BQ32" s="185"/>
      <c r="BR32" s="173"/>
      <c r="BS32" s="186">
        <f t="shared" si="22"/>
        <v>0</v>
      </c>
      <c r="BT32" s="185"/>
      <c r="BU32" s="173"/>
      <c r="BV32" s="186">
        <f t="shared" si="23"/>
        <v>0</v>
      </c>
      <c r="BW32" s="185"/>
      <c r="BX32" s="173"/>
      <c r="BY32" s="186">
        <f t="shared" si="24"/>
        <v>0</v>
      </c>
      <c r="BZ32" s="185"/>
      <c r="CA32" s="173"/>
      <c r="CB32" s="186">
        <f t="shared" si="25"/>
        <v>0</v>
      </c>
      <c r="CC32" s="185"/>
      <c r="CD32" s="173"/>
      <c r="CE32" s="186">
        <f t="shared" si="91"/>
        <v>0</v>
      </c>
      <c r="CF32" s="185"/>
      <c r="CG32" s="173"/>
      <c r="CH32" s="186">
        <f t="shared" si="92"/>
        <v>0</v>
      </c>
      <c r="CI32" s="185"/>
      <c r="CJ32" s="173"/>
      <c r="CK32" s="186">
        <f t="shared" si="27"/>
        <v>0</v>
      </c>
      <c r="CL32" s="185"/>
      <c r="CM32" s="173"/>
      <c r="CN32" s="186">
        <f t="shared" si="28"/>
        <v>0</v>
      </c>
      <c r="CO32" s="185"/>
      <c r="CP32" s="173"/>
      <c r="CQ32" s="186">
        <f t="shared" si="29"/>
        <v>0</v>
      </c>
      <c r="CR32" s="185"/>
      <c r="CS32" s="173"/>
      <c r="CT32" s="186">
        <f t="shared" si="30"/>
        <v>0</v>
      </c>
      <c r="CU32" s="185"/>
      <c r="CV32" s="173"/>
      <c r="CW32" s="186">
        <f t="shared" si="31"/>
        <v>0</v>
      </c>
      <c r="CX32" s="185"/>
      <c r="CY32" s="173"/>
      <c r="CZ32" s="186">
        <f t="shared" si="32"/>
        <v>0</v>
      </c>
      <c r="DA32" s="185"/>
      <c r="DB32" s="173"/>
      <c r="DC32" s="186">
        <f t="shared" si="33"/>
        <v>0</v>
      </c>
      <c r="DD32" s="185"/>
      <c r="DE32" s="173"/>
      <c r="DF32" s="186">
        <f t="shared" si="34"/>
        <v>0</v>
      </c>
      <c r="DG32" s="185"/>
      <c r="DH32" s="173"/>
      <c r="DI32" s="186">
        <f t="shared" si="35"/>
        <v>0</v>
      </c>
      <c r="DJ32" s="185"/>
      <c r="DK32" s="173"/>
      <c r="DL32" s="186">
        <f t="shared" si="36"/>
        <v>0</v>
      </c>
      <c r="DM32" s="185"/>
      <c r="DN32" s="173"/>
      <c r="DO32" s="186">
        <f t="shared" si="37"/>
        <v>0</v>
      </c>
      <c r="DP32" s="185"/>
      <c r="DQ32" s="173"/>
      <c r="DR32" s="186">
        <f t="shared" si="38"/>
        <v>0</v>
      </c>
      <c r="DS32" s="185"/>
      <c r="DT32" s="173"/>
      <c r="DU32" s="186">
        <f t="shared" si="39"/>
        <v>0</v>
      </c>
      <c r="DV32" s="185"/>
      <c r="DW32" s="173"/>
      <c r="DX32" s="186">
        <f t="shared" si="40"/>
        <v>0</v>
      </c>
      <c r="DY32" s="185"/>
      <c r="DZ32" s="173"/>
      <c r="EA32" s="186">
        <f t="shared" si="41"/>
        <v>0</v>
      </c>
      <c r="EB32" s="185"/>
      <c r="EC32" s="173"/>
      <c r="ED32" s="186">
        <f t="shared" si="42"/>
        <v>0</v>
      </c>
      <c r="EE32" s="185"/>
      <c r="EF32" s="173"/>
      <c r="EG32" s="186">
        <f t="shared" si="43"/>
        <v>0</v>
      </c>
      <c r="EH32" s="185"/>
      <c r="EI32" s="173"/>
      <c r="EJ32" s="186">
        <f t="shared" si="44"/>
        <v>0</v>
      </c>
      <c r="EK32" s="185"/>
      <c r="EL32" s="173"/>
      <c r="EM32" s="186">
        <f t="shared" si="45"/>
        <v>0</v>
      </c>
      <c r="EN32" s="185"/>
      <c r="EO32" s="173"/>
      <c r="EP32" s="186">
        <f t="shared" si="46"/>
        <v>0</v>
      </c>
      <c r="EQ32" s="185"/>
      <c r="ER32" s="173"/>
      <c r="ES32" s="186">
        <f t="shared" si="47"/>
        <v>0</v>
      </c>
      <c r="ET32" s="185"/>
      <c r="EU32" s="173"/>
      <c r="EV32" s="186">
        <f t="shared" si="48"/>
        <v>0</v>
      </c>
      <c r="EW32" s="185"/>
      <c r="EX32" s="184"/>
      <c r="EY32" s="186">
        <f t="shared" si="49"/>
        <v>0</v>
      </c>
      <c r="EZ32" s="185"/>
      <c r="FA32" s="184"/>
      <c r="FB32" s="186">
        <f t="shared" si="50"/>
        <v>0</v>
      </c>
      <c r="FC32" s="185"/>
      <c r="FD32" s="184"/>
      <c r="FE32" s="186">
        <f t="shared" si="51"/>
        <v>0</v>
      </c>
      <c r="FF32" s="185"/>
      <c r="FG32" s="173"/>
      <c r="FH32" s="186">
        <f t="shared" si="52"/>
        <v>0</v>
      </c>
      <c r="FI32" s="185"/>
      <c r="FJ32" s="173"/>
      <c r="FK32" s="186">
        <f t="shared" si="53"/>
        <v>0</v>
      </c>
      <c r="FL32" s="185"/>
      <c r="FM32" s="173"/>
      <c r="FN32" s="186">
        <f t="shared" si="54"/>
        <v>0</v>
      </c>
      <c r="FO32" s="185"/>
      <c r="FP32" s="173"/>
      <c r="FQ32" s="186">
        <f t="shared" si="55"/>
        <v>0</v>
      </c>
      <c r="FR32" s="185"/>
      <c r="FS32" s="173"/>
      <c r="FT32" s="186">
        <f t="shared" si="56"/>
        <v>0</v>
      </c>
      <c r="FU32" s="185"/>
      <c r="FV32" s="173"/>
      <c r="FW32" s="186">
        <f t="shared" si="57"/>
        <v>0</v>
      </c>
      <c r="FX32" s="185"/>
      <c r="FY32" s="173"/>
      <c r="FZ32" s="186">
        <f t="shared" si="58"/>
        <v>0</v>
      </c>
      <c r="GA32" s="185"/>
      <c r="GB32" s="173"/>
      <c r="GC32" s="186">
        <f t="shared" si="59"/>
        <v>0</v>
      </c>
      <c r="GD32" s="185"/>
      <c r="GE32" s="173"/>
      <c r="GF32" s="186">
        <f t="shared" si="60"/>
        <v>0</v>
      </c>
      <c r="GG32" s="185"/>
      <c r="GH32" s="173"/>
      <c r="GI32" s="186">
        <f t="shared" si="61"/>
        <v>0</v>
      </c>
      <c r="GJ32" s="185"/>
      <c r="GK32" s="173"/>
      <c r="GL32" s="186">
        <f t="shared" si="62"/>
        <v>0</v>
      </c>
      <c r="GM32" s="185"/>
      <c r="GN32" s="173"/>
      <c r="GO32" s="186">
        <f t="shared" si="63"/>
        <v>0</v>
      </c>
      <c r="GP32" s="185"/>
      <c r="GQ32" s="173"/>
      <c r="GR32" s="186">
        <f t="shared" si="64"/>
        <v>0</v>
      </c>
      <c r="GS32" s="185"/>
      <c r="GT32" s="173"/>
      <c r="GU32" s="186">
        <f t="shared" si="65"/>
        <v>0</v>
      </c>
      <c r="GV32" s="185"/>
      <c r="GW32" s="173"/>
      <c r="GX32" s="186">
        <f t="shared" si="66"/>
        <v>0</v>
      </c>
      <c r="GY32" s="185"/>
      <c r="GZ32" s="173"/>
      <c r="HA32" s="186">
        <f t="shared" si="67"/>
        <v>0</v>
      </c>
      <c r="HB32" s="185"/>
      <c r="HC32" s="173"/>
      <c r="HD32" s="186">
        <f t="shared" si="68"/>
        <v>0</v>
      </c>
      <c r="HE32" s="185"/>
      <c r="HF32" s="173"/>
      <c r="HG32" s="186">
        <f t="shared" si="69"/>
        <v>0</v>
      </c>
      <c r="HH32" s="185"/>
      <c r="HI32" s="173"/>
      <c r="HJ32" s="186">
        <f t="shared" si="70"/>
        <v>0</v>
      </c>
      <c r="HK32" s="185"/>
      <c r="HL32" s="173"/>
      <c r="HM32" s="186">
        <f t="shared" si="71"/>
        <v>0</v>
      </c>
      <c r="HN32" s="185"/>
      <c r="HO32" s="173"/>
      <c r="HP32" s="186">
        <f t="shared" si="72"/>
        <v>0</v>
      </c>
      <c r="HQ32" s="185"/>
      <c r="HR32" s="173"/>
      <c r="HS32" s="186">
        <f t="shared" si="73"/>
        <v>0</v>
      </c>
      <c r="HT32" s="185"/>
      <c r="HU32" s="173"/>
      <c r="HV32" s="186">
        <f t="shared" si="74"/>
        <v>0</v>
      </c>
      <c r="HW32" s="185"/>
      <c r="HX32" s="173"/>
      <c r="HY32" s="186">
        <f t="shared" si="75"/>
        <v>0</v>
      </c>
      <c r="HZ32" s="185"/>
      <c r="IA32" s="173"/>
      <c r="IB32" s="186">
        <f t="shared" si="76"/>
        <v>0</v>
      </c>
      <c r="IC32" s="185"/>
      <c r="ID32" s="173"/>
      <c r="IE32" s="186">
        <f t="shared" si="77"/>
        <v>0</v>
      </c>
      <c r="IF32" s="185"/>
      <c r="IG32" s="173"/>
      <c r="IH32" s="186">
        <f t="shared" si="78"/>
        <v>0</v>
      </c>
      <c r="II32" s="185"/>
      <c r="IJ32" s="173"/>
      <c r="IK32" s="186">
        <f t="shared" si="79"/>
        <v>0</v>
      </c>
      <c r="IL32" s="185"/>
      <c r="IM32" s="173"/>
      <c r="IN32" s="186">
        <f t="shared" si="80"/>
        <v>0</v>
      </c>
      <c r="IO32" s="185"/>
      <c r="IP32" s="173"/>
      <c r="IQ32" s="186">
        <f t="shared" si="81"/>
        <v>0</v>
      </c>
      <c r="IR32" s="185"/>
      <c r="IS32" s="173"/>
      <c r="IT32" s="186">
        <f t="shared" si="82"/>
        <v>0</v>
      </c>
      <c r="IU32" s="185"/>
      <c r="IV32" s="173"/>
      <c r="IW32" s="186">
        <f t="shared" si="83"/>
        <v>0</v>
      </c>
      <c r="IX32" s="185"/>
      <c r="IY32" s="173"/>
      <c r="IZ32" s="186">
        <f t="shared" si="84"/>
        <v>0</v>
      </c>
      <c r="JA32" s="185"/>
      <c r="JB32" s="173"/>
      <c r="JC32" s="186">
        <f t="shared" si="85"/>
        <v>0</v>
      </c>
      <c r="JD32" s="185"/>
      <c r="JE32" s="173"/>
      <c r="JF32" s="186">
        <f t="shared" si="86"/>
        <v>0</v>
      </c>
      <c r="JG32" s="185"/>
      <c r="JH32" s="173"/>
      <c r="JI32" s="186"/>
      <c r="JJ32" s="185"/>
      <c r="JK32" s="173"/>
      <c r="JL32" s="186">
        <f t="shared" si="88"/>
        <v>0</v>
      </c>
      <c r="JM32" s="185"/>
      <c r="JN32" s="173"/>
      <c r="JO32" s="186">
        <f t="shared" si="89"/>
        <v>0</v>
      </c>
      <c r="JP32" s="185"/>
      <c r="JQ32" s="173"/>
      <c r="JR32" s="186">
        <f t="shared" si="90"/>
        <v>0</v>
      </c>
      <c r="JS32" s="185"/>
      <c r="JT32" s="173"/>
      <c r="JU32" s="186" t="str" cm="1">
        <f t="array" aca="1" ref="JU32"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2" s="187"/>
      <c r="JW32" s="173"/>
      <c r="JX32" s="186" t="str" cm="1">
        <f t="array" aca="1" ref="JX32"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2" s="185"/>
      <c r="JZ32" s="184"/>
      <c r="KA32" s="186" t="str" cm="1">
        <f t="array" aca="1" ref="KA32"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2" s="185"/>
      <c r="KC32" s="184"/>
      <c r="KD32" s="186" t="str" cm="1">
        <f t="array" aca="1" ref="KD32"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2" s="185"/>
      <c r="KF32" s="184"/>
    </row>
    <row r="33" spans="1:292" x14ac:dyDescent="0.3">
      <c r="A33" s="191">
        <f>[1]Reg!A33</f>
        <v>30</v>
      </c>
      <c r="B33" s="190">
        <f t="shared" si="0"/>
        <v>0</v>
      </c>
      <c r="C33" s="185"/>
      <c r="D33" s="173"/>
      <c r="E33" s="190">
        <f t="shared" si="1"/>
        <v>0</v>
      </c>
      <c r="F33" s="185"/>
      <c r="G33" s="173"/>
      <c r="H33" s="190">
        <f t="shared" si="2"/>
        <v>0</v>
      </c>
      <c r="I33" s="185"/>
      <c r="J33" s="173"/>
      <c r="K33" s="190">
        <f t="shared" si="3"/>
        <v>0</v>
      </c>
      <c r="L33" s="185"/>
      <c r="M33" s="173"/>
      <c r="N33" s="190">
        <f t="shared" si="4"/>
        <v>0</v>
      </c>
      <c r="O33" s="185"/>
      <c r="P33" s="173"/>
      <c r="Q33" s="190">
        <f t="shared" si="5"/>
        <v>0</v>
      </c>
      <c r="R33" s="185"/>
      <c r="S33" s="173"/>
      <c r="T33" s="189"/>
      <c r="U33" s="189"/>
      <c r="V33" s="189"/>
      <c r="W33" s="186">
        <f t="shared" si="6"/>
        <v>0</v>
      </c>
      <c r="X33" s="185"/>
      <c r="Y33" s="173"/>
      <c r="Z33" s="186">
        <f t="shared" si="7"/>
        <v>0</v>
      </c>
      <c r="AA33" s="188"/>
      <c r="AB33" s="173"/>
      <c r="AC33" s="186">
        <f t="shared" si="8"/>
        <v>0</v>
      </c>
      <c r="AD33" s="185"/>
      <c r="AE33" s="173"/>
      <c r="AF33" s="186">
        <f t="shared" si="9"/>
        <v>0</v>
      </c>
      <c r="AG33" s="185"/>
      <c r="AH33" s="173"/>
      <c r="AI33" s="186">
        <f t="shared" si="10"/>
        <v>0</v>
      </c>
      <c r="AJ33" s="185"/>
      <c r="AK33" s="173"/>
      <c r="AL33" s="186">
        <f t="shared" si="11"/>
        <v>0</v>
      </c>
      <c r="AM33" s="185"/>
      <c r="AN33" s="173"/>
      <c r="AO33" s="186">
        <f t="shared" si="12"/>
        <v>0</v>
      </c>
      <c r="AP33" s="185"/>
      <c r="AQ33" s="173"/>
      <c r="AR33" s="186">
        <f t="shared" si="13"/>
        <v>0</v>
      </c>
      <c r="AS33" s="185"/>
      <c r="AT33" s="173"/>
      <c r="AU33" s="186">
        <f t="shared" si="14"/>
        <v>0</v>
      </c>
      <c r="AV33" s="185"/>
      <c r="AW33" s="173"/>
      <c r="AX33" s="186">
        <f t="shared" si="15"/>
        <v>0</v>
      </c>
      <c r="AY33" s="185"/>
      <c r="AZ33" s="173"/>
      <c r="BA33" s="186">
        <f t="shared" si="16"/>
        <v>0</v>
      </c>
      <c r="BB33" s="185"/>
      <c r="BC33" s="173"/>
      <c r="BD33" s="186">
        <f t="shared" si="17"/>
        <v>0</v>
      </c>
      <c r="BE33" s="185"/>
      <c r="BF33" s="173"/>
      <c r="BG33" s="186">
        <f t="shared" si="18"/>
        <v>0</v>
      </c>
      <c r="BH33" s="185"/>
      <c r="BI33" s="173"/>
      <c r="BJ33" s="186">
        <f t="shared" si="19"/>
        <v>0</v>
      </c>
      <c r="BK33" s="185"/>
      <c r="BL33" s="173"/>
      <c r="BM33" s="186">
        <f t="shared" si="20"/>
        <v>0</v>
      </c>
      <c r="BN33" s="185"/>
      <c r="BO33" s="173"/>
      <c r="BP33" s="186">
        <f t="shared" si="21"/>
        <v>0</v>
      </c>
      <c r="BQ33" s="185"/>
      <c r="BR33" s="173"/>
      <c r="BS33" s="186">
        <f t="shared" si="22"/>
        <v>0</v>
      </c>
      <c r="BT33" s="185"/>
      <c r="BU33" s="173"/>
      <c r="BV33" s="186">
        <f t="shared" si="23"/>
        <v>0</v>
      </c>
      <c r="BW33" s="185"/>
      <c r="BX33" s="173"/>
      <c r="BY33" s="186">
        <f t="shared" si="24"/>
        <v>0</v>
      </c>
      <c r="BZ33" s="185"/>
      <c r="CA33" s="173"/>
      <c r="CB33" s="186">
        <f t="shared" si="25"/>
        <v>0</v>
      </c>
      <c r="CC33" s="185"/>
      <c r="CD33" s="173"/>
      <c r="CE33" s="186">
        <f t="shared" si="91"/>
        <v>0</v>
      </c>
      <c r="CF33" s="185"/>
      <c r="CG33" s="173"/>
      <c r="CH33" s="186">
        <f t="shared" si="92"/>
        <v>0</v>
      </c>
      <c r="CI33" s="185"/>
      <c r="CJ33" s="173"/>
      <c r="CK33" s="186">
        <f t="shared" si="27"/>
        <v>0</v>
      </c>
      <c r="CL33" s="185"/>
      <c r="CM33" s="173"/>
      <c r="CN33" s="186">
        <f t="shared" si="28"/>
        <v>0</v>
      </c>
      <c r="CO33" s="185"/>
      <c r="CP33" s="173"/>
      <c r="CQ33" s="186">
        <f t="shared" si="29"/>
        <v>0</v>
      </c>
      <c r="CR33" s="185"/>
      <c r="CS33" s="173"/>
      <c r="CT33" s="186">
        <f t="shared" si="30"/>
        <v>0</v>
      </c>
      <c r="CU33" s="185"/>
      <c r="CV33" s="173"/>
      <c r="CW33" s="186">
        <f t="shared" si="31"/>
        <v>0</v>
      </c>
      <c r="CX33" s="185"/>
      <c r="CY33" s="173"/>
      <c r="CZ33" s="186">
        <f t="shared" si="32"/>
        <v>0</v>
      </c>
      <c r="DA33" s="185"/>
      <c r="DB33" s="173"/>
      <c r="DC33" s="186">
        <f t="shared" si="33"/>
        <v>0</v>
      </c>
      <c r="DD33" s="185"/>
      <c r="DE33" s="173"/>
      <c r="DF33" s="186">
        <f t="shared" si="34"/>
        <v>0</v>
      </c>
      <c r="DG33" s="185"/>
      <c r="DH33" s="173"/>
      <c r="DI33" s="186">
        <f t="shared" si="35"/>
        <v>0</v>
      </c>
      <c r="DJ33" s="185"/>
      <c r="DK33" s="173"/>
      <c r="DL33" s="186">
        <f t="shared" si="36"/>
        <v>0</v>
      </c>
      <c r="DM33" s="185"/>
      <c r="DN33" s="173"/>
      <c r="DO33" s="186">
        <f t="shared" si="37"/>
        <v>0</v>
      </c>
      <c r="DP33" s="185"/>
      <c r="DQ33" s="173"/>
      <c r="DR33" s="186">
        <f t="shared" si="38"/>
        <v>0</v>
      </c>
      <c r="DS33" s="185"/>
      <c r="DT33" s="173"/>
      <c r="DU33" s="186">
        <f t="shared" si="39"/>
        <v>0</v>
      </c>
      <c r="DV33" s="185"/>
      <c r="DW33" s="173"/>
      <c r="DX33" s="186">
        <f t="shared" si="40"/>
        <v>0</v>
      </c>
      <c r="DY33" s="185"/>
      <c r="DZ33" s="173"/>
      <c r="EA33" s="186">
        <f t="shared" si="41"/>
        <v>0</v>
      </c>
      <c r="EB33" s="185"/>
      <c r="EC33" s="173"/>
      <c r="ED33" s="186">
        <f t="shared" si="42"/>
        <v>0</v>
      </c>
      <c r="EE33" s="185"/>
      <c r="EF33" s="173"/>
      <c r="EG33" s="186">
        <f t="shared" si="43"/>
        <v>0</v>
      </c>
      <c r="EH33" s="185"/>
      <c r="EI33" s="173"/>
      <c r="EJ33" s="186">
        <f t="shared" si="44"/>
        <v>0</v>
      </c>
      <c r="EK33" s="185"/>
      <c r="EL33" s="173"/>
      <c r="EM33" s="186">
        <f t="shared" si="45"/>
        <v>0</v>
      </c>
      <c r="EN33" s="185"/>
      <c r="EO33" s="173"/>
      <c r="EP33" s="186">
        <f t="shared" si="46"/>
        <v>0</v>
      </c>
      <c r="EQ33" s="185"/>
      <c r="ER33" s="173"/>
      <c r="ES33" s="186">
        <f t="shared" si="47"/>
        <v>0</v>
      </c>
      <c r="ET33" s="185"/>
      <c r="EU33" s="173"/>
      <c r="EV33" s="186">
        <f t="shared" si="48"/>
        <v>0</v>
      </c>
      <c r="EW33" s="185"/>
      <c r="EX33" s="184"/>
      <c r="EY33" s="186">
        <f t="shared" si="49"/>
        <v>0</v>
      </c>
      <c r="EZ33" s="185"/>
      <c r="FA33" s="184"/>
      <c r="FB33" s="186">
        <f t="shared" si="50"/>
        <v>0</v>
      </c>
      <c r="FC33" s="185"/>
      <c r="FD33" s="184"/>
      <c r="FE33" s="186">
        <f t="shared" si="51"/>
        <v>0</v>
      </c>
      <c r="FF33" s="185"/>
      <c r="FG33" s="173"/>
      <c r="FH33" s="186">
        <f t="shared" si="52"/>
        <v>0</v>
      </c>
      <c r="FI33" s="185"/>
      <c r="FJ33" s="173"/>
      <c r="FK33" s="186">
        <f t="shared" si="53"/>
        <v>0</v>
      </c>
      <c r="FL33" s="185"/>
      <c r="FM33" s="173"/>
      <c r="FN33" s="186">
        <f t="shared" si="54"/>
        <v>0</v>
      </c>
      <c r="FO33" s="185"/>
      <c r="FP33" s="173"/>
      <c r="FQ33" s="186">
        <f t="shared" si="55"/>
        <v>0</v>
      </c>
      <c r="FR33" s="185"/>
      <c r="FS33" s="173"/>
      <c r="FT33" s="186">
        <f t="shared" si="56"/>
        <v>0</v>
      </c>
      <c r="FU33" s="185"/>
      <c r="FV33" s="173"/>
      <c r="FW33" s="186">
        <f t="shared" si="57"/>
        <v>0</v>
      </c>
      <c r="FX33" s="185"/>
      <c r="FY33" s="173"/>
      <c r="FZ33" s="186">
        <f t="shared" si="58"/>
        <v>0</v>
      </c>
      <c r="GA33" s="185"/>
      <c r="GB33" s="173"/>
      <c r="GC33" s="186">
        <f t="shared" si="59"/>
        <v>0</v>
      </c>
      <c r="GD33" s="185"/>
      <c r="GE33" s="173"/>
      <c r="GF33" s="186">
        <f t="shared" si="60"/>
        <v>0</v>
      </c>
      <c r="GG33" s="185"/>
      <c r="GH33" s="173"/>
      <c r="GI33" s="186">
        <f t="shared" si="61"/>
        <v>0</v>
      </c>
      <c r="GJ33" s="185"/>
      <c r="GK33" s="173"/>
      <c r="GL33" s="186">
        <f t="shared" si="62"/>
        <v>0</v>
      </c>
      <c r="GM33" s="185"/>
      <c r="GN33" s="173"/>
      <c r="GO33" s="186">
        <f t="shared" si="63"/>
        <v>0</v>
      </c>
      <c r="GP33" s="185"/>
      <c r="GQ33" s="173"/>
      <c r="GR33" s="186">
        <f t="shared" si="64"/>
        <v>0</v>
      </c>
      <c r="GS33" s="185"/>
      <c r="GT33" s="173"/>
      <c r="GU33" s="186">
        <f t="shared" si="65"/>
        <v>0</v>
      </c>
      <c r="GV33" s="185"/>
      <c r="GW33" s="173"/>
      <c r="GX33" s="186">
        <f t="shared" si="66"/>
        <v>0</v>
      </c>
      <c r="GY33" s="185"/>
      <c r="GZ33" s="173"/>
      <c r="HA33" s="186">
        <f t="shared" si="67"/>
        <v>0</v>
      </c>
      <c r="HB33" s="185"/>
      <c r="HC33" s="173"/>
      <c r="HD33" s="186">
        <f t="shared" si="68"/>
        <v>0</v>
      </c>
      <c r="HE33" s="185"/>
      <c r="HF33" s="173"/>
      <c r="HG33" s="186">
        <f t="shared" si="69"/>
        <v>0</v>
      </c>
      <c r="HH33" s="185"/>
      <c r="HI33" s="173"/>
      <c r="HJ33" s="186">
        <f t="shared" si="70"/>
        <v>0</v>
      </c>
      <c r="HK33" s="185"/>
      <c r="HL33" s="173"/>
      <c r="HM33" s="186">
        <f t="shared" si="71"/>
        <v>0</v>
      </c>
      <c r="HN33" s="185"/>
      <c r="HO33" s="173"/>
      <c r="HP33" s="186">
        <f t="shared" si="72"/>
        <v>0</v>
      </c>
      <c r="HQ33" s="185"/>
      <c r="HR33" s="173"/>
      <c r="HS33" s="186">
        <f t="shared" si="73"/>
        <v>0</v>
      </c>
      <c r="HT33" s="185"/>
      <c r="HU33" s="173"/>
      <c r="HV33" s="186">
        <f t="shared" si="74"/>
        <v>0</v>
      </c>
      <c r="HW33" s="185"/>
      <c r="HX33" s="173"/>
      <c r="HY33" s="186">
        <f t="shared" si="75"/>
        <v>0</v>
      </c>
      <c r="HZ33" s="185"/>
      <c r="IA33" s="173"/>
      <c r="IB33" s="186">
        <f t="shared" si="76"/>
        <v>0</v>
      </c>
      <c r="IC33" s="185"/>
      <c r="ID33" s="173"/>
      <c r="IE33" s="186">
        <f t="shared" si="77"/>
        <v>0</v>
      </c>
      <c r="IF33" s="185"/>
      <c r="IG33" s="173"/>
      <c r="IH33" s="186">
        <f t="shared" si="78"/>
        <v>0</v>
      </c>
      <c r="II33" s="185"/>
      <c r="IJ33" s="173"/>
      <c r="IK33" s="186">
        <f t="shared" si="79"/>
        <v>0</v>
      </c>
      <c r="IL33" s="185"/>
      <c r="IM33" s="173"/>
      <c r="IN33" s="186">
        <f t="shared" si="80"/>
        <v>0</v>
      </c>
      <c r="IO33" s="185"/>
      <c r="IP33" s="173"/>
      <c r="IQ33" s="186">
        <f t="shared" si="81"/>
        <v>0</v>
      </c>
      <c r="IR33" s="185"/>
      <c r="IS33" s="173"/>
      <c r="IT33" s="186">
        <f t="shared" si="82"/>
        <v>0</v>
      </c>
      <c r="IU33" s="185"/>
      <c r="IV33" s="173"/>
      <c r="IW33" s="186">
        <f t="shared" si="83"/>
        <v>0</v>
      </c>
      <c r="IX33" s="185"/>
      <c r="IY33" s="173"/>
      <c r="IZ33" s="186">
        <f t="shared" si="84"/>
        <v>0</v>
      </c>
      <c r="JA33" s="185"/>
      <c r="JB33" s="173"/>
      <c r="JC33" s="186">
        <f t="shared" si="85"/>
        <v>0</v>
      </c>
      <c r="JD33" s="185"/>
      <c r="JE33" s="173"/>
      <c r="JF33" s="186">
        <f t="shared" si="86"/>
        <v>0</v>
      </c>
      <c r="JG33" s="185"/>
      <c r="JH33" s="173"/>
      <c r="JI33" s="186"/>
      <c r="JJ33" s="185"/>
      <c r="JK33" s="173"/>
      <c r="JL33" s="186">
        <f t="shared" si="88"/>
        <v>0</v>
      </c>
      <c r="JM33" s="185"/>
      <c r="JN33" s="173"/>
      <c r="JO33" s="186">
        <f t="shared" si="89"/>
        <v>0</v>
      </c>
      <c r="JP33" s="185"/>
      <c r="JQ33" s="173"/>
      <c r="JR33" s="186">
        <f t="shared" si="90"/>
        <v>0</v>
      </c>
      <c r="JS33" s="185"/>
      <c r="JT33" s="173"/>
      <c r="JU33" s="186" t="str" cm="1">
        <f t="array" aca="1" ref="JU33"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3" s="187"/>
      <c r="JW33" s="173"/>
      <c r="JX33" s="186" t="str" cm="1">
        <f t="array" aca="1" ref="JX33"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3" s="185"/>
      <c r="JZ33" s="184"/>
      <c r="KA33" s="186" t="str" cm="1">
        <f t="array" aca="1" ref="KA33"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3" s="185"/>
      <c r="KC33" s="184"/>
      <c r="KD33" s="186" t="str" cm="1">
        <f t="array" aca="1" ref="KD33"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3" s="185"/>
      <c r="KF33" s="184"/>
    </row>
    <row r="34" spans="1:292" x14ac:dyDescent="0.3">
      <c r="A34" s="192">
        <f>[1]Reg!A35</f>
        <v>32</v>
      </c>
      <c r="B34" s="190"/>
      <c r="C34" s="185"/>
      <c r="D34" s="173"/>
      <c r="E34" s="190"/>
      <c r="F34" s="185"/>
      <c r="G34" s="173"/>
      <c r="H34" s="190"/>
      <c r="I34" s="185"/>
      <c r="J34" s="173"/>
      <c r="K34" s="190"/>
      <c r="L34" s="185"/>
      <c r="M34" s="173"/>
      <c r="N34" s="190"/>
      <c r="O34" s="185"/>
      <c r="P34" s="173"/>
      <c r="Q34" s="190"/>
      <c r="R34" s="185"/>
      <c r="S34" s="173"/>
      <c r="T34" s="189"/>
      <c r="U34" s="189"/>
      <c r="V34" s="189"/>
      <c r="W34" s="186"/>
      <c r="X34" s="185"/>
      <c r="Y34" s="173"/>
      <c r="Z34" s="186"/>
      <c r="AA34" s="188"/>
      <c r="AB34" s="173"/>
      <c r="AC34" s="186"/>
      <c r="AD34" s="185"/>
      <c r="AE34" s="173"/>
      <c r="AF34" s="186"/>
      <c r="AG34" s="185"/>
      <c r="AH34" s="173"/>
      <c r="AI34" s="186"/>
      <c r="AJ34" s="185"/>
      <c r="AK34" s="173"/>
      <c r="AL34" s="186"/>
      <c r="AM34" s="185"/>
      <c r="AN34" s="173"/>
      <c r="AO34" s="186"/>
      <c r="AP34" s="185"/>
      <c r="AQ34" s="173"/>
      <c r="AR34" s="186"/>
      <c r="AS34" s="185"/>
      <c r="AT34" s="173"/>
      <c r="AU34" s="186"/>
      <c r="AV34" s="185"/>
      <c r="AW34" s="173"/>
      <c r="AX34" s="186"/>
      <c r="AY34" s="185"/>
      <c r="AZ34" s="173"/>
      <c r="BA34" s="186"/>
      <c r="BB34" s="185"/>
      <c r="BC34" s="173"/>
      <c r="BD34" s="186"/>
      <c r="BE34" s="185"/>
      <c r="BF34" s="173"/>
      <c r="BG34" s="186"/>
      <c r="BH34" s="185"/>
      <c r="BI34" s="173"/>
      <c r="BJ34" s="186"/>
      <c r="BK34" s="185"/>
      <c r="BL34" s="173"/>
      <c r="BM34" s="186"/>
      <c r="BN34" s="185"/>
      <c r="BO34" s="173"/>
      <c r="BP34" s="186"/>
      <c r="BQ34" s="185"/>
      <c r="BR34" s="173"/>
      <c r="BS34" s="186"/>
      <c r="BT34" s="185"/>
      <c r="BU34" s="173"/>
      <c r="BV34" s="186"/>
      <c r="BW34" s="185"/>
      <c r="BX34" s="173"/>
      <c r="BY34" s="186"/>
      <c r="BZ34" s="185"/>
      <c r="CA34" s="173"/>
      <c r="CB34" s="186"/>
      <c r="CC34" s="185"/>
      <c r="CD34" s="173"/>
      <c r="CE34" s="186"/>
      <c r="CF34" s="185"/>
      <c r="CG34" s="173"/>
      <c r="CH34" s="186"/>
      <c r="CI34" s="185"/>
      <c r="CJ34" s="173"/>
      <c r="CK34" s="186"/>
      <c r="CL34" s="185"/>
      <c r="CM34" s="173"/>
      <c r="CN34" s="186"/>
      <c r="CO34" s="185"/>
      <c r="CP34" s="173"/>
      <c r="CQ34" s="186"/>
      <c r="CR34" s="185"/>
      <c r="CS34" s="173"/>
      <c r="CT34" s="186"/>
      <c r="CU34" s="185"/>
      <c r="CV34" s="173"/>
      <c r="CW34" s="186"/>
      <c r="CX34" s="185"/>
      <c r="CY34" s="173"/>
      <c r="CZ34" s="186"/>
      <c r="DA34" s="185"/>
      <c r="DB34" s="173"/>
      <c r="DC34" s="186"/>
      <c r="DD34" s="185"/>
      <c r="DE34" s="173"/>
      <c r="DF34" s="186"/>
      <c r="DG34" s="185"/>
      <c r="DH34" s="173"/>
      <c r="DI34" s="186"/>
      <c r="DJ34" s="185"/>
      <c r="DK34" s="173"/>
      <c r="DL34" s="186"/>
      <c r="DM34" s="185"/>
      <c r="DN34" s="173"/>
      <c r="DO34" s="186"/>
      <c r="DP34" s="185"/>
      <c r="DQ34" s="173"/>
      <c r="DR34" s="186"/>
      <c r="DS34" s="185"/>
      <c r="DT34" s="173"/>
      <c r="DU34" s="186"/>
      <c r="DV34" s="185"/>
      <c r="DW34" s="173"/>
      <c r="DX34" s="186"/>
      <c r="DY34" s="185"/>
      <c r="DZ34" s="173"/>
      <c r="EA34" s="186"/>
      <c r="EB34" s="185"/>
      <c r="EC34" s="173"/>
      <c r="ED34" s="186"/>
      <c r="EE34" s="185"/>
      <c r="EF34" s="173"/>
      <c r="EG34" s="186"/>
      <c r="EH34" s="185"/>
      <c r="EI34" s="173"/>
      <c r="EJ34" s="186"/>
      <c r="EK34" s="185"/>
      <c r="EL34" s="173"/>
      <c r="EM34" s="186"/>
      <c r="EN34" s="185"/>
      <c r="EO34" s="173"/>
      <c r="EP34" s="186"/>
      <c r="EQ34" s="185"/>
      <c r="ER34" s="173"/>
      <c r="ES34" s="186"/>
      <c r="ET34" s="185"/>
      <c r="EU34" s="173"/>
      <c r="EV34" s="186"/>
      <c r="EW34" s="185"/>
      <c r="EX34" s="184"/>
      <c r="EY34" s="186"/>
      <c r="EZ34" s="185"/>
      <c r="FA34" s="184"/>
      <c r="FB34" s="186"/>
      <c r="FC34" s="185"/>
      <c r="FD34" s="184"/>
      <c r="FE34" s="186"/>
      <c r="FF34" s="185"/>
      <c r="FG34" s="173"/>
      <c r="FH34" s="186"/>
      <c r="FI34" s="185"/>
      <c r="FJ34" s="173"/>
      <c r="FK34" s="186"/>
      <c r="FL34" s="185"/>
      <c r="FM34" s="173"/>
      <c r="FN34" s="186"/>
      <c r="FO34" s="185"/>
      <c r="FP34" s="173"/>
      <c r="FQ34" s="186"/>
      <c r="FR34" s="185"/>
      <c r="FS34" s="173"/>
      <c r="FT34" s="186"/>
      <c r="FU34" s="185"/>
      <c r="FV34" s="173"/>
      <c r="FW34" s="186"/>
      <c r="FX34" s="185"/>
      <c r="FY34" s="173"/>
      <c r="FZ34" s="186"/>
      <c r="GA34" s="185"/>
      <c r="GB34" s="173"/>
      <c r="GC34" s="186"/>
      <c r="GD34" s="185"/>
      <c r="GE34" s="173"/>
      <c r="GF34" s="186"/>
      <c r="GG34" s="185"/>
      <c r="GH34" s="173"/>
      <c r="GI34" s="186"/>
      <c r="GJ34" s="185"/>
      <c r="GK34" s="173"/>
      <c r="GL34" s="186"/>
      <c r="GM34" s="185"/>
      <c r="GN34" s="173"/>
      <c r="GO34" s="186"/>
      <c r="GP34" s="185"/>
      <c r="GQ34" s="173"/>
      <c r="GR34" s="186"/>
      <c r="GS34" s="185"/>
      <c r="GT34" s="173"/>
      <c r="GU34" s="186"/>
      <c r="GV34" s="185"/>
      <c r="GW34" s="173"/>
      <c r="GX34" s="186"/>
      <c r="GY34" s="185"/>
      <c r="GZ34" s="173"/>
      <c r="HA34" s="186"/>
      <c r="HB34" s="185"/>
      <c r="HC34" s="173"/>
      <c r="HD34" s="186"/>
      <c r="HE34" s="185"/>
      <c r="HF34" s="173"/>
      <c r="HG34" s="186"/>
      <c r="HH34" s="185"/>
      <c r="HI34" s="173"/>
      <c r="HJ34" s="186"/>
      <c r="HK34" s="185"/>
      <c r="HL34" s="173"/>
      <c r="HM34" s="186"/>
      <c r="HN34" s="185"/>
      <c r="HO34" s="173"/>
      <c r="HP34" s="186"/>
      <c r="HQ34" s="185"/>
      <c r="HR34" s="173"/>
      <c r="HS34" s="186"/>
      <c r="HT34" s="185"/>
      <c r="HU34" s="173"/>
      <c r="HV34" s="186"/>
      <c r="HW34" s="185"/>
      <c r="HX34" s="173"/>
      <c r="HY34" s="186"/>
      <c r="HZ34" s="185"/>
      <c r="IA34" s="173"/>
      <c r="IB34" s="186"/>
      <c r="IC34" s="185"/>
      <c r="ID34" s="173"/>
      <c r="IE34" s="186"/>
      <c r="IF34" s="185"/>
      <c r="IG34" s="173"/>
      <c r="IH34" s="186"/>
      <c r="II34" s="185"/>
      <c r="IJ34" s="173"/>
      <c r="IK34" s="186"/>
      <c r="IL34" s="185"/>
      <c r="IM34" s="173"/>
      <c r="IN34" s="186"/>
      <c r="IO34" s="185"/>
      <c r="IP34" s="173"/>
      <c r="IQ34" s="186"/>
      <c r="IR34" s="185"/>
      <c r="IS34" s="173"/>
      <c r="IT34" s="186"/>
      <c r="IU34" s="185"/>
      <c r="IV34" s="173"/>
      <c r="IW34" s="186"/>
      <c r="IX34" s="185"/>
      <c r="IY34" s="173"/>
      <c r="IZ34" s="186"/>
      <c r="JA34" s="185"/>
      <c r="JB34" s="173"/>
      <c r="JC34" s="186"/>
      <c r="JD34" s="185"/>
      <c r="JE34" s="173"/>
      <c r="JF34" s="186"/>
      <c r="JG34" s="185"/>
      <c r="JH34" s="173"/>
      <c r="JI34" s="186"/>
      <c r="JJ34" s="185"/>
      <c r="JK34" s="173"/>
      <c r="JL34" s="186"/>
      <c r="JM34" s="185"/>
      <c r="JN34" s="173"/>
      <c r="JO34" s="186"/>
      <c r="JP34" s="185"/>
      <c r="JQ34" s="173"/>
      <c r="JR34" s="186"/>
      <c r="JS34" s="185"/>
      <c r="JT34" s="173"/>
      <c r="JU34" s="186"/>
      <c r="JV34" s="187"/>
      <c r="JW34" s="173"/>
      <c r="JX34" s="186"/>
      <c r="JY34" s="185"/>
      <c r="JZ34" s="184"/>
      <c r="KA34" s="186"/>
      <c r="KB34" s="185"/>
      <c r="KC34" s="184"/>
      <c r="KD34" s="186"/>
      <c r="KE34" s="185"/>
      <c r="KF34" s="184"/>
    </row>
    <row r="35" spans="1:292" x14ac:dyDescent="0.3">
      <c r="A35" s="191">
        <f>[1]Reg!A36</f>
        <v>33</v>
      </c>
      <c r="B35" s="190"/>
      <c r="C35" s="185"/>
      <c r="D35" s="173"/>
      <c r="E35" s="190"/>
      <c r="F35" s="185"/>
      <c r="G35" s="173"/>
      <c r="H35" s="190"/>
      <c r="I35" s="185"/>
      <c r="J35" s="173"/>
      <c r="K35" s="190"/>
      <c r="L35" s="185"/>
      <c r="M35" s="173"/>
      <c r="N35" s="190"/>
      <c r="O35" s="185"/>
      <c r="P35" s="173"/>
      <c r="Q35" s="190"/>
      <c r="R35" s="185"/>
      <c r="S35" s="173"/>
      <c r="T35" s="189"/>
      <c r="U35" s="189"/>
      <c r="V35" s="189"/>
      <c r="W35" s="186"/>
      <c r="X35" s="185"/>
      <c r="Y35" s="173"/>
      <c r="Z35" s="186"/>
      <c r="AA35" s="188"/>
      <c r="AB35" s="173"/>
      <c r="AC35" s="186"/>
      <c r="AD35" s="185"/>
      <c r="AE35" s="173"/>
      <c r="AF35" s="186"/>
      <c r="AG35" s="185"/>
      <c r="AH35" s="173"/>
      <c r="AI35" s="186"/>
      <c r="AJ35" s="185"/>
      <c r="AK35" s="173"/>
      <c r="AL35" s="186"/>
      <c r="AM35" s="185"/>
      <c r="AN35" s="173"/>
      <c r="AO35" s="186"/>
      <c r="AP35" s="185"/>
      <c r="AQ35" s="173"/>
      <c r="AR35" s="186"/>
      <c r="AS35" s="185"/>
      <c r="AT35" s="173"/>
      <c r="AU35" s="186"/>
      <c r="AV35" s="185"/>
      <c r="AW35" s="173"/>
      <c r="AX35" s="186"/>
      <c r="AY35" s="185"/>
      <c r="AZ35" s="173"/>
      <c r="BA35" s="186"/>
      <c r="BB35" s="185"/>
      <c r="BC35" s="173"/>
      <c r="BD35" s="186"/>
      <c r="BE35" s="185"/>
      <c r="BF35" s="173"/>
      <c r="BG35" s="186"/>
      <c r="BH35" s="185"/>
      <c r="BI35" s="173"/>
      <c r="BJ35" s="186"/>
      <c r="BK35" s="185"/>
      <c r="BL35" s="173"/>
      <c r="BM35" s="186"/>
      <c r="BN35" s="185"/>
      <c r="BO35" s="173"/>
      <c r="BP35" s="186"/>
      <c r="BQ35" s="185"/>
      <c r="BR35" s="173"/>
      <c r="BS35" s="186"/>
      <c r="BT35" s="185"/>
      <c r="BU35" s="173"/>
      <c r="BV35" s="186"/>
      <c r="BW35" s="185"/>
      <c r="BX35" s="173"/>
      <c r="BY35" s="186"/>
      <c r="BZ35" s="185"/>
      <c r="CA35" s="173"/>
      <c r="CB35" s="186"/>
      <c r="CC35" s="185"/>
      <c r="CD35" s="173"/>
      <c r="CE35" s="186"/>
      <c r="CF35" s="185"/>
      <c r="CG35" s="173"/>
      <c r="CH35" s="186"/>
      <c r="CI35" s="185"/>
      <c r="CJ35" s="173"/>
      <c r="CK35" s="186"/>
      <c r="CL35" s="185"/>
      <c r="CM35" s="173"/>
      <c r="CN35" s="186"/>
      <c r="CO35" s="185"/>
      <c r="CP35" s="173"/>
      <c r="CQ35" s="186"/>
      <c r="CR35" s="185"/>
      <c r="CS35" s="173"/>
      <c r="CT35" s="186"/>
      <c r="CU35" s="185"/>
      <c r="CV35" s="173"/>
      <c r="CW35" s="186"/>
      <c r="CX35" s="185"/>
      <c r="CY35" s="173"/>
      <c r="CZ35" s="186"/>
      <c r="DA35" s="185"/>
      <c r="DB35" s="173"/>
      <c r="DC35" s="186"/>
      <c r="DD35" s="185"/>
      <c r="DE35" s="173"/>
      <c r="DF35" s="186"/>
      <c r="DG35" s="185"/>
      <c r="DH35" s="173"/>
      <c r="DI35" s="186"/>
      <c r="DJ35" s="185"/>
      <c r="DK35" s="173"/>
      <c r="DL35" s="186"/>
      <c r="DM35" s="185"/>
      <c r="DN35" s="173"/>
      <c r="DO35" s="186"/>
      <c r="DP35" s="185"/>
      <c r="DQ35" s="173"/>
      <c r="DR35" s="186"/>
      <c r="DS35" s="185"/>
      <c r="DT35" s="173"/>
      <c r="DU35" s="186"/>
      <c r="DV35" s="185"/>
      <c r="DW35" s="173"/>
      <c r="DX35" s="186"/>
      <c r="DY35" s="185"/>
      <c r="DZ35" s="173"/>
      <c r="EA35" s="186"/>
      <c r="EB35" s="185"/>
      <c r="EC35" s="173"/>
      <c r="ED35" s="186"/>
      <c r="EE35" s="185"/>
      <c r="EF35" s="173"/>
      <c r="EG35" s="186"/>
      <c r="EH35" s="185"/>
      <c r="EI35" s="173"/>
      <c r="EJ35" s="186"/>
      <c r="EK35" s="185"/>
      <c r="EL35" s="173"/>
      <c r="EM35" s="186"/>
      <c r="EN35" s="185"/>
      <c r="EO35" s="173"/>
      <c r="EP35" s="186"/>
      <c r="EQ35" s="185"/>
      <c r="ER35" s="173"/>
      <c r="ES35" s="186"/>
      <c r="ET35" s="185"/>
      <c r="EU35" s="173"/>
      <c r="EV35" s="186"/>
      <c r="EW35" s="185"/>
      <c r="EX35" s="184"/>
      <c r="EY35" s="186"/>
      <c r="EZ35" s="185"/>
      <c r="FA35" s="184"/>
      <c r="FB35" s="186"/>
      <c r="FC35" s="185"/>
      <c r="FD35" s="184"/>
      <c r="FE35" s="186"/>
      <c r="FF35" s="185"/>
      <c r="FG35" s="173"/>
      <c r="FH35" s="186"/>
      <c r="FI35" s="185"/>
      <c r="FJ35" s="173"/>
      <c r="FK35" s="186"/>
      <c r="FL35" s="185"/>
      <c r="FM35" s="173"/>
      <c r="FN35" s="186"/>
      <c r="FO35" s="185"/>
      <c r="FP35" s="173"/>
      <c r="FQ35" s="186"/>
      <c r="FR35" s="185"/>
      <c r="FS35" s="173"/>
      <c r="FT35" s="186"/>
      <c r="FU35" s="185"/>
      <c r="FV35" s="173"/>
      <c r="FW35" s="186"/>
      <c r="FX35" s="185"/>
      <c r="FY35" s="173"/>
      <c r="FZ35" s="186"/>
      <c r="GA35" s="185"/>
      <c r="GB35" s="173"/>
      <c r="GC35" s="186"/>
      <c r="GD35" s="185"/>
      <c r="GE35" s="173"/>
      <c r="GF35" s="186"/>
      <c r="GG35" s="185"/>
      <c r="GH35" s="173"/>
      <c r="GI35" s="186"/>
      <c r="GJ35" s="185"/>
      <c r="GK35" s="173"/>
      <c r="GL35" s="186"/>
      <c r="GM35" s="185"/>
      <c r="GN35" s="173"/>
      <c r="GO35" s="186"/>
      <c r="GP35" s="185"/>
      <c r="GQ35" s="173"/>
      <c r="GR35" s="186"/>
      <c r="GS35" s="185"/>
      <c r="GT35" s="173"/>
      <c r="GU35" s="186"/>
      <c r="GV35" s="185"/>
      <c r="GW35" s="173"/>
      <c r="GX35" s="186"/>
      <c r="GY35" s="185"/>
      <c r="GZ35" s="173"/>
      <c r="HA35" s="186"/>
      <c r="HB35" s="185"/>
      <c r="HC35" s="173"/>
      <c r="HD35" s="186"/>
      <c r="HE35" s="185"/>
      <c r="HF35" s="173"/>
      <c r="HG35" s="186"/>
      <c r="HH35" s="185"/>
      <c r="HI35" s="173"/>
      <c r="HJ35" s="186"/>
      <c r="HK35" s="185"/>
      <c r="HL35" s="173"/>
      <c r="HM35" s="186"/>
      <c r="HN35" s="185"/>
      <c r="HO35" s="173"/>
      <c r="HP35" s="186"/>
      <c r="HQ35" s="185"/>
      <c r="HR35" s="173"/>
      <c r="HS35" s="186"/>
      <c r="HT35" s="185"/>
      <c r="HU35" s="173"/>
      <c r="HV35" s="186"/>
      <c r="HW35" s="185"/>
      <c r="HX35" s="173"/>
      <c r="HY35" s="186"/>
      <c r="HZ35" s="185"/>
      <c r="IA35" s="173"/>
      <c r="IB35" s="186"/>
      <c r="IC35" s="185"/>
      <c r="ID35" s="173"/>
      <c r="IE35" s="186"/>
      <c r="IF35" s="185"/>
      <c r="IG35" s="173"/>
      <c r="IH35" s="186"/>
      <c r="II35" s="185"/>
      <c r="IJ35" s="173"/>
      <c r="IK35" s="186"/>
      <c r="IL35" s="185"/>
      <c r="IM35" s="173"/>
      <c r="IN35" s="186"/>
      <c r="IO35" s="185"/>
      <c r="IP35" s="173"/>
      <c r="IQ35" s="186"/>
      <c r="IR35" s="185"/>
      <c r="IS35" s="173"/>
      <c r="IT35" s="186"/>
      <c r="IU35" s="185"/>
      <c r="IV35" s="173"/>
      <c r="IW35" s="186"/>
      <c r="IX35" s="185"/>
      <c r="IY35" s="173"/>
      <c r="IZ35" s="186"/>
      <c r="JA35" s="185"/>
      <c r="JB35" s="173"/>
      <c r="JC35" s="186"/>
      <c r="JD35" s="185"/>
      <c r="JE35" s="173"/>
      <c r="JF35" s="186"/>
      <c r="JG35" s="185"/>
      <c r="JH35" s="173"/>
      <c r="JI35" s="186"/>
      <c r="JJ35" s="185"/>
      <c r="JK35" s="173"/>
      <c r="JL35" s="186"/>
      <c r="JM35" s="185"/>
      <c r="JN35" s="173"/>
      <c r="JO35" s="186"/>
      <c r="JP35" s="185"/>
      <c r="JQ35" s="173"/>
      <c r="JR35" s="186"/>
      <c r="JS35" s="185"/>
      <c r="JT35" s="173"/>
      <c r="JU35" s="186"/>
      <c r="JV35" s="187"/>
      <c r="JW35" s="173"/>
      <c r="JX35" s="186"/>
      <c r="JY35" s="185"/>
      <c r="JZ35" s="184"/>
      <c r="KA35" s="186"/>
      <c r="KB35" s="185"/>
      <c r="KC35" s="184"/>
      <c r="KD35" s="186"/>
      <c r="KE35" s="185"/>
      <c r="KF35" s="184"/>
    </row>
    <row r="36" spans="1:292" s="23" customFormat="1" x14ac:dyDescent="0.3">
      <c r="A36" s="183">
        <f>SUBTOTAL(109,TabConsolid[RegIndex])</f>
        <v>530</v>
      </c>
      <c r="B36" s="176">
        <f>SUBTOTAL(109,TabConsolid[AAPL])</f>
        <v>-2195791.6102033141</v>
      </c>
      <c r="C36" s="182">
        <f>SUBTOTAL(109,TabConsolid[AAPL1])</f>
        <v>10800.000001</v>
      </c>
      <c r="D36" s="173">
        <f>SUBTOTAL(105,TabConsolid[AAPL2])</f>
        <v>-240.34</v>
      </c>
      <c r="E36" s="176">
        <f>SUBTOTAL(109,TabConsolid[ADEA])</f>
        <v>-60449.456813070254</v>
      </c>
      <c r="F36" s="179">
        <f>SUBTOTAL(109,TabConsolid[ADEA1])</f>
        <v>6000.0000010000003</v>
      </c>
      <c r="G36" s="173">
        <f>SUBTOTAL(105,TabConsolid[ADEA2])</f>
        <v>-13.070250763666666</v>
      </c>
      <c r="H36" s="176">
        <f>SUBTOTAL(109,TabConsolid[AET])</f>
        <v>-37825778.894766912</v>
      </c>
      <c r="I36" s="179">
        <f>SUBTOTAL(109,TabConsolid[AET1])</f>
        <v>780000.00000100001</v>
      </c>
      <c r="J36" s="173">
        <f>SUBTOTAL(105,TabConsolid[AET2])</f>
        <v>-52.521900000000002</v>
      </c>
      <c r="K36" s="176">
        <f>SUBTOTAL(109,TabConsolid[AMZN])</f>
        <v>-2343421.5502027376</v>
      </c>
      <c r="L36" s="179">
        <f>SUBTOTAL(109,TabConsolid[AMZN1])</f>
        <v>12200.000001</v>
      </c>
      <c r="M36" s="173">
        <f>SUBTOTAL(105,TabConsolid[AMZN2])</f>
        <v>-228.95</v>
      </c>
      <c r="N36" s="176">
        <f>SUBTOTAL(109,TabConsolid[ALDNE])</f>
        <v>-2952421.0412648842</v>
      </c>
      <c r="O36" s="179">
        <f>SUBTOTAL(109,TabConsolid[ALDNE1])</f>
        <v>2530000.0000009998</v>
      </c>
      <c r="P36" s="173">
        <f>SUBTOTAL(105,TabConsolid[ALDNE2])</f>
        <v>-3.3727</v>
      </c>
      <c r="Q36" s="176">
        <f>SUBTOTAL(109,TabConsolid[ASML])</f>
        <v>-2782900.0006544553</v>
      </c>
      <c r="R36" s="179">
        <f>SUBTOTAL(109,TabConsolid[ASML1])</f>
        <v>4300.0000010000003</v>
      </c>
      <c r="S36" s="173">
        <f>SUBTOTAL(105,TabConsolid[ASML2])</f>
        <v>-715.55</v>
      </c>
      <c r="T36" s="181"/>
      <c r="U36" s="181"/>
      <c r="V36" s="181"/>
      <c r="W36" s="176">
        <f>SUBTOTAL(109,TabConsolid[AZN])</f>
        <v>-54110.000069840004</v>
      </c>
      <c r="X36" s="179">
        <f>SUBTOTAL(109,TabConsolid[AZN1])</f>
        <v>1000.000001</v>
      </c>
      <c r="Y36" s="173">
        <f>SUBTOTAL(105,TabConsolid[AZN2])</f>
        <v>-69.84</v>
      </c>
      <c r="Z36" s="176">
        <f>SUBTOTAL(109,TabConsolid[BLDP])</f>
        <v>-50968.000002080764</v>
      </c>
      <c r="AA36" s="180">
        <f>SUBTOTAL(109,TabConsolid[BLDP1])</f>
        <v>26000.000001</v>
      </c>
      <c r="AB36" s="173">
        <f>SUBTOTAL(105,TabConsolid[BLDP2])</f>
        <v>-2.3279999999999998</v>
      </c>
      <c r="AC36" s="176">
        <f>SUBTOTAL(109,TabConsolid[BMRA])</f>
        <v>-158995.0000127196</v>
      </c>
      <c r="AD36" s="179">
        <f>SUBTOTAL(109,TabConsolid[BMRA1])</f>
        <v>12500.000001</v>
      </c>
      <c r="AE36" s="173">
        <f>SUBTOTAL(105,TabConsolid[BMRA2])</f>
        <v>-12.7196</v>
      </c>
      <c r="AF36" s="176">
        <f>SUBTOTAL(109,TabConsolid[C])</f>
        <v>-245.35006275000001</v>
      </c>
      <c r="AG36" s="179">
        <f>SUBTOTAL(109,TabConsolid[C1])</f>
        <v>5.0000010000000001</v>
      </c>
      <c r="AH36" s="173">
        <f>SUBTOTAL(105,TabConsolid[C2])</f>
        <v>-62.75</v>
      </c>
      <c r="AI36" s="176">
        <f>SUBTOTAL(109,TabConsolid[CSCO])</f>
        <v>-39770.000058935002</v>
      </c>
      <c r="AJ36" s="179">
        <f>SUBTOTAL(109,TabConsolid[CSCO1])</f>
        <v>1000.000001</v>
      </c>
      <c r="AK36" s="173">
        <f>SUBTOTAL(105,TabConsolid[CSCO2])</f>
        <v>-58.935000000000002</v>
      </c>
      <c r="AL36" s="176">
        <f>SUBTOTAL(109,TabConsolid[CVS])</f>
        <v>-11235.000056056189</v>
      </c>
      <c r="AM36" s="179">
        <f>SUBTOTAL(109,TabConsolid[CVS1])</f>
        <v>250.000001</v>
      </c>
      <c r="AN36" s="173">
        <f>SUBTOTAL(105,TabConsolid[CVS2])</f>
        <v>-56.056190000000001</v>
      </c>
      <c r="AO36" s="176">
        <f>SUBTOTAL(109,TabConsolid[DDD])</f>
        <v>-313486.00000313483</v>
      </c>
      <c r="AP36" s="179">
        <f>SUBTOTAL(109,TabConsolid[DDD1])</f>
        <v>100000.00000100001</v>
      </c>
      <c r="AQ36" s="173">
        <f>SUBTOTAL(105,TabConsolid[DDD2])</f>
        <v>-3.9952000000000001</v>
      </c>
      <c r="AR36" s="176">
        <f>SUBTOTAL(109,TabConsolid[DIS])</f>
        <v>-101479.600114574</v>
      </c>
      <c r="AS36" s="179">
        <f>SUBTOTAL(109,TabConsolid[DIS1])</f>
        <v>1000.000001</v>
      </c>
      <c r="AT36" s="173">
        <f>SUBTOTAL(105,TabConsolid[DIS2])</f>
        <v>-114.574</v>
      </c>
      <c r="AU36" s="176">
        <f>SUBTOTAL(109,TabConsolid[DSY])</f>
        <v>-128615.00003185749</v>
      </c>
      <c r="AV36" s="179">
        <f>SUBTOTAL(109,TabConsolid[DSY1])</f>
        <v>6000.0000010000003</v>
      </c>
      <c r="AW36" s="173">
        <f>SUBTOTAL(105,TabConsolid[DSY2])</f>
        <v>-32.950000000000003</v>
      </c>
      <c r="AX36" s="176">
        <f>SUBTOTAL(109,TabConsolid[DVA])</f>
        <v>-80787.300140174309</v>
      </c>
      <c r="AY36" s="179">
        <f>SUBTOTAL(109,TabConsolid[DVA1])</f>
        <v>1000.000001</v>
      </c>
      <c r="AZ36" s="173">
        <f>SUBTOTAL(105,TabConsolid[DVA2])</f>
        <v>-140.17430000000002</v>
      </c>
      <c r="BA36" s="176">
        <f>SUBTOTAL(109,TabConsolid[DXC])</f>
        <v>-92714.000015842495</v>
      </c>
      <c r="BB36" s="179">
        <f>SUBTOTAL(109,TabConsolid[DXC1])</f>
        <v>6000.0000010000003</v>
      </c>
      <c r="BC36" s="173">
        <f>SUBTOTAL(105,TabConsolid[DXC2])</f>
        <v>-17.396999999999998</v>
      </c>
      <c r="BD36" s="176">
        <f>SUBTOTAL(109,TabConsolid[EOAN])</f>
        <v>-33675.000014780002</v>
      </c>
      <c r="BE36" s="179">
        <f>SUBTOTAL(109,TabConsolid[EOAN1])</f>
        <v>3750.0000009999999</v>
      </c>
      <c r="BF36" s="173">
        <f>SUBTOTAL(105,TabConsolid[EOAN2])</f>
        <v>-14.78</v>
      </c>
      <c r="BG36" s="176">
        <f>SUBTOTAL(109,TabConsolid[EPIX])</f>
        <v>-63550.500002126879</v>
      </c>
      <c r="BH36" s="179">
        <f>SUBTOTAL(109,TabConsolid[EPIX1])</f>
        <v>30000.000001</v>
      </c>
      <c r="BI36" s="173">
        <f>SUBTOTAL(105,TabConsolid[EPIX2])</f>
        <v>-5.2035</v>
      </c>
      <c r="BJ36" s="176">
        <f>SUBTOTAL(109,TabConsolid[GM])</f>
        <v>-374.00004667600001</v>
      </c>
      <c r="BK36" s="179">
        <f>SUBTOTAL(109,TabConsolid[GM1])</f>
        <v>10.000000999999999</v>
      </c>
      <c r="BL36" s="173">
        <f>SUBTOTAL(105,TabConsolid[GM2])</f>
        <v>-46.676000000000002</v>
      </c>
      <c r="BM36" s="176">
        <f>SUBTOTAL(109,TabConsolid[HPE])</f>
        <v>-146113.60001975117</v>
      </c>
      <c r="BN36" s="179">
        <f>SUBTOTAL(109,TabConsolid[HPE1])</f>
        <v>10000.000001</v>
      </c>
      <c r="BO36" s="173">
        <f>SUBTOTAL(105,TabConsolid[HPE2])</f>
        <v>-19.7511832</v>
      </c>
      <c r="BP36" s="176">
        <f>SUBTOTAL(109,TabConsolid[HPQ])</f>
        <v>-15700.000024949997</v>
      </c>
      <c r="BQ36" s="179">
        <f>SUBTOTAL(109,TabConsolid[HPQ1])</f>
        <v>1000.000001</v>
      </c>
      <c r="BR36" s="173">
        <f>SUBTOTAL(105,TabConsolid[HPQ2])</f>
        <v>-24.949998000000001</v>
      </c>
      <c r="BS36" s="176">
        <f>SUBTOTAL(109,TabConsolid[IAG])</f>
        <v>-40632200.000209123</v>
      </c>
      <c r="BT36" s="179">
        <f>SUBTOTAL(109,TabConsolid[IAG1])</f>
        <v>270000.00000100001</v>
      </c>
      <c r="BU36" s="173">
        <f>SUBTOTAL(105,TabConsolid[IAG2])</f>
        <v>-209.12517777777776</v>
      </c>
      <c r="BV36" s="176">
        <f>SUBTOTAL(109,TabConsolid[KR])</f>
        <v>-124556.40006809692</v>
      </c>
      <c r="BW36" s="179">
        <f>SUBTOTAL(109,TabConsolid[KR1])</f>
        <v>2660.0000009999999</v>
      </c>
      <c r="BX36" s="173">
        <f>SUBTOTAL(105,TabConsolid[KR2])</f>
        <v>-68.096917293233076</v>
      </c>
      <c r="BY36" s="176">
        <f>SUBTOTAL(109,TabConsolid[LNSR])</f>
        <v>-3.8535999999999998E-6</v>
      </c>
      <c r="BZ36" s="179">
        <f>SUBTOTAL(109,TabConsolid[LNSR1])</f>
        <v>9.9999999999999995E-7</v>
      </c>
      <c r="CA36" s="173">
        <f>SUBTOTAL(105,TabConsolid[LNSR2])</f>
        <v>-3.8536000000000001</v>
      </c>
      <c r="CB36" s="176">
        <f>SUBTOTAL(109,TabConsolid[LUMN])</f>
        <v>-1080.0000050683</v>
      </c>
      <c r="CC36" s="179">
        <f>SUBTOTAL(109,TabConsolid[LUMN1])</f>
        <v>1000.000001</v>
      </c>
      <c r="CD36" s="173">
        <f>SUBTOTAL(105,TabConsolid[LUMN2])</f>
        <v>-5.0682999999999998</v>
      </c>
      <c r="CE36" s="176">
        <f>SUBTOTAL(109,TabConsolid[MRNA])</f>
        <v>-7.1645336666666668E-5</v>
      </c>
      <c r="CF36" s="179">
        <f>SUBTOTAL(109,TabConsolid[MRNA1])</f>
        <v>12000.000001</v>
      </c>
      <c r="CG36" s="173">
        <f>SUBTOTAL(105,TabConsolid[MRNA2])</f>
        <v>-122.57</v>
      </c>
      <c r="CH36" s="176">
        <f>SUBTOTAL(109,TabConsolid[MSFT])</f>
        <v>-2598923.1003190149</v>
      </c>
      <c r="CI36" s="179">
        <f>SUBTOTAL(109,TabConsolid[MSFT1])</f>
        <v>10200.000001</v>
      </c>
      <c r="CJ36" s="173">
        <f>SUBTOTAL(105,TabConsolid[MSFT2])</f>
        <v>-441.04</v>
      </c>
      <c r="CK36" s="176">
        <f>SUBTOTAL(109,TabConsolid[NEE])</f>
        <v>-279046.0000710747</v>
      </c>
      <c r="CL36" s="179">
        <f>SUBTOTAL(109,TabConsolid[NEE1])</f>
        <v>4200.0000010000003</v>
      </c>
      <c r="CM36" s="173">
        <f>SUBTOTAL(105,TabConsolid[NEE2])</f>
        <v>-71.074707619047615</v>
      </c>
      <c r="CN36" s="176">
        <f>SUBTOTAL(109,TabConsolid[NEM])</f>
        <v>-516125.5200455421</v>
      </c>
      <c r="CO36" s="179">
        <f>SUBTOTAL(109,TabConsolid[NEM1])</f>
        <v>14200.000001</v>
      </c>
      <c r="CP36" s="173">
        <f>SUBTOTAL(105,TabConsolid[NEM2])</f>
        <v>-45.542095070422533</v>
      </c>
      <c r="CQ36" s="176">
        <f>SUBTOTAL(109,TabConsolid[NFLX])</f>
        <v>-319186.00112517003</v>
      </c>
      <c r="CR36" s="179">
        <f>SUBTOTAL(109,TabConsolid[NFLX1])</f>
        <v>600.000001</v>
      </c>
      <c r="CS36" s="173">
        <f>SUBTOTAL(105,TabConsolid[NFLX2])</f>
        <v>-1125.17</v>
      </c>
      <c r="CT36" s="176">
        <f>SUBTOTAL(109,TabConsolid[NOTE])</f>
        <v>-251605.36750943508</v>
      </c>
      <c r="CU36" s="179">
        <f>SUBTOTAL(109,TabConsolid[NOTE1])</f>
        <v>26667.000001</v>
      </c>
      <c r="CV36" s="173">
        <f>SUBTOTAL(105,TabConsolid[NOTE2])</f>
        <v>-9.8524999999999991</v>
      </c>
      <c r="CW36" s="176">
        <f>SUBTOTAL(109,TabConsolid[PAAS])</f>
        <v>-69376.200024969992</v>
      </c>
      <c r="CX36" s="179">
        <f>SUBTOTAL(109,TabConsolid[PAAS1])</f>
        <v>3000.0000009999999</v>
      </c>
      <c r="CY36" s="173">
        <f>SUBTOTAL(105,TabConsolid[PAAS2])</f>
        <v>-24.97</v>
      </c>
      <c r="CZ36" s="176">
        <f>SUBTOTAL(109,TabConsolid[PROF])</f>
        <v>-12449.800006224899</v>
      </c>
      <c r="DA36" s="179">
        <f>SUBTOTAL(109,TabConsolid[PROF1])</f>
        <v>2000.0000010000001</v>
      </c>
      <c r="DB36" s="173">
        <f>SUBTOTAL(105,TabConsolid[PROF2])</f>
        <v>-6.2248999999999999</v>
      </c>
      <c r="DC36" s="176">
        <f>SUBTOTAL(109,TabConsolid[POET])</f>
        <v>-290487.84111692087</v>
      </c>
      <c r="DD36" s="179">
        <f>SUBTOTAL(109,TabConsolid[POET1])</f>
        <v>50000.000001</v>
      </c>
      <c r="DE36" s="173">
        <f>SUBTOTAL(105,TabConsolid[POET2])</f>
        <v>-7.09</v>
      </c>
      <c r="DF36" s="176">
        <f>SUBTOTAL(109,TabConsolid[PW])</f>
        <v>-10663.400201066339</v>
      </c>
      <c r="DG36" s="179">
        <f>SUBTOTAL(109,TabConsolid[PW1])</f>
        <v>10000.000001</v>
      </c>
      <c r="DH36" s="173">
        <f>SUBTOTAL(105,TabConsolid[PW2])</f>
        <v>-1.1955</v>
      </c>
      <c r="DI36" s="176">
        <f>SUBTOTAL(109,TabConsolid[RIGL])</f>
        <v>-16404.600018649999</v>
      </c>
      <c r="DJ36" s="179">
        <f>SUBTOTAL(109,TabConsolid[RIGL1])</f>
        <v>2000.0000010000001</v>
      </c>
      <c r="DK36" s="173">
        <f>SUBTOTAL(105,TabConsolid[RIGL2])</f>
        <v>-18.649999999999999</v>
      </c>
      <c r="DL36" s="176">
        <f>SUBTOTAL(109,TabConsolid[RWE])</f>
        <v>-1418.5000283700001</v>
      </c>
      <c r="DM36" s="179">
        <f>SUBTOTAL(109,TabConsolid[RWE1])</f>
        <v>50.000000999999997</v>
      </c>
      <c r="DN36" s="173">
        <f>SUBTOTAL(105,TabConsolid[RWE2])</f>
        <v>-28.37</v>
      </c>
      <c r="DO36" s="176">
        <f>SUBTOTAL(109,TabConsolid[SAP])</f>
        <v>-489178.7202429779</v>
      </c>
      <c r="DP36" s="179">
        <f>SUBTOTAL(109,TabConsolid[SAP1])</f>
        <v>3500.0000009999999</v>
      </c>
      <c r="DQ36" s="173">
        <f>SUBTOTAL(105,TabConsolid[SAP2])</f>
        <v>-242.9779257142857</v>
      </c>
      <c r="DR36" s="176">
        <f>SUBTOTAL(109,TabConsolid[SHECY])</f>
        <v>-357338.06721708231</v>
      </c>
      <c r="DS36" s="179">
        <f>SUBTOTAL(109,TabConsolid[SHECY1])</f>
        <v>23000.000001</v>
      </c>
      <c r="DT36" s="173">
        <f>SUBTOTAL(105,TabConsolid[SHECY2])</f>
        <v>-19.260000000000002</v>
      </c>
      <c r="DU36" s="176">
        <f>SUBTOTAL(109,TabConsolid[SSYS])</f>
        <v>-467145.89002919663</v>
      </c>
      <c r="DV36" s="179">
        <f>SUBTOTAL(109,TabConsolid[SSYS1])</f>
        <v>16000.000001</v>
      </c>
      <c r="DW36" s="173">
        <f>SUBTOTAL(105,TabConsolid[SSYS2])</f>
        <v>-54.700470000000003</v>
      </c>
      <c r="DX36" s="176">
        <f>SUBTOTAL(109,TabConsolid[TSLA])</f>
        <v>-1725.4803365099999</v>
      </c>
      <c r="DY36" s="179">
        <f>SUBTOTAL(109,TabConsolid[TSLA1])</f>
        <v>10.000000999999999</v>
      </c>
      <c r="DZ36" s="173">
        <f>SUBTOTAL(105,TabConsolid[TSLA2])</f>
        <v>-336.51</v>
      </c>
      <c r="EA36" s="176">
        <f>SUBTOTAL(109,TabConsolid[TSM])</f>
        <v>-758191.67018832196</v>
      </c>
      <c r="EB36" s="179">
        <f>SUBTOTAL(109,TabConsolid[TSM1])</f>
        <v>5500.0000010000003</v>
      </c>
      <c r="EC36" s="173">
        <f>SUBTOTAL(105,TabConsolid[TSM2])</f>
        <v>-193.52683999999999</v>
      </c>
      <c r="ED36" s="176">
        <f>SUBTOTAL(109,TabConsolid[UN0])</f>
        <v>-124798.05004159934</v>
      </c>
      <c r="EE36" s="179">
        <f>SUBTOTAL(109,TabConsolid[UN01])</f>
        <v>3000.0000009999999</v>
      </c>
      <c r="EF36" s="173">
        <f>SUBTOTAL(105,TabConsolid[UN02])</f>
        <v>-42.222099999999998</v>
      </c>
      <c r="EG36" s="176">
        <f>SUBTOTAL(109,TabConsolid[UNIT])</f>
        <v>-157183.46800869043</v>
      </c>
      <c r="EH36" s="179">
        <f>SUBTOTAL(109,TabConsolid[UNIT1])</f>
        <v>18087.000001</v>
      </c>
      <c r="EI36" s="173">
        <f>SUBTOTAL(105,TabConsolid[UNIT2])</f>
        <v>-9.3000000000000007</v>
      </c>
      <c r="EJ36" s="176">
        <f>SUBTOTAL(109,TabConsolid[AVGO])</f>
        <v>-48693.15866779114</v>
      </c>
      <c r="EK36" s="179">
        <f>SUBTOTAL(109,TabConsolid[AVGO1])</f>
        <v>350.000001</v>
      </c>
      <c r="EL36" s="173">
        <f>SUBTOTAL(105,TabConsolid[AVGO2])</f>
        <v>-204.79114283428572</v>
      </c>
      <c r="EM36" s="176">
        <f>SUBTOTAL(109,TabConsolid[VLVLY])</f>
        <v>-28695.000024149998</v>
      </c>
      <c r="EN36" s="179">
        <f>SUBTOTAL(109,TabConsolid[VLVLY1])</f>
        <v>1500.0000010000001</v>
      </c>
      <c r="EO36" s="173">
        <f>SUBTOTAL(105,TabConsolid[VLVLY2])</f>
        <v>-24.15</v>
      </c>
      <c r="EP36" s="176">
        <f>SUBTOTAL(109,TabConsolid[VONN])</f>
        <v>-723467.30006003927</v>
      </c>
      <c r="EQ36" s="179">
        <f>SUBTOTAL(109,TabConsolid[VONN1])</f>
        <v>14000.000001</v>
      </c>
      <c r="ER36" s="173">
        <f>SUBTOTAL(105,TabConsolid[VONN2])</f>
        <v>-60.039285714285711</v>
      </c>
      <c r="ES36" s="176">
        <f>SUBTOTAL(109,TabConsolid[VTRS])</f>
        <v>-41150.000008230003</v>
      </c>
      <c r="ET36" s="179">
        <f>SUBTOTAL(109,TabConsolid[VTRS1])</f>
        <v>5000.0000010000003</v>
      </c>
      <c r="EU36" s="173">
        <f>SUBTOTAL(105,TabConsolid[VTRS2])</f>
        <v>-8.23</v>
      </c>
      <c r="EV36" s="176">
        <f>SUBTOTAL(109,TabConsolid[WBA])</f>
        <v>-30179.7000100599</v>
      </c>
      <c r="EW36" s="179">
        <f>SUBTOTAL(109,TabConsolid[WBA1])</f>
        <v>3000.0000009999999</v>
      </c>
      <c r="EX36" s="173">
        <f>SUBTOTAL(105,TabConsolid[WBA2])</f>
        <v>-10.059900000000001</v>
      </c>
      <c r="EY36" s="176">
        <f>SUBTOTAL(109,TabConsolid[XOM])</f>
        <v>-19902.000106089999</v>
      </c>
      <c r="EZ36" s="179">
        <f>SUBTOTAL(109,TabConsolid[XOM1])</f>
        <v>200.000001</v>
      </c>
      <c r="FA36" s="173">
        <f>SUBTOTAL(105,TabConsolid[XOM2])</f>
        <v>-106.09</v>
      </c>
      <c r="FB36" s="176">
        <f>SUBTOTAL(109,TabConsolid[XPER])</f>
        <v>-40196.980009873601</v>
      </c>
      <c r="FC36" s="179">
        <f>SUBTOTAL(109,TabConsolid[XPER1])</f>
        <v>5000.0000010000003</v>
      </c>
      <c r="FD36" s="173">
        <f>SUBTOTAL(105,TabConsolid[XPER2])</f>
        <v>-9.8735999999999997</v>
      </c>
      <c r="FE36" s="176">
        <f>SUBTOTAL(109,TabConsolid[MVEALDNE])</f>
        <v>-638424.79707526416</v>
      </c>
      <c r="FF36" s="179">
        <f>SUBTOTAL(109,TabConsolid[MVEALDNE1])</f>
        <v>505000.00000100001</v>
      </c>
      <c r="FG36" s="173">
        <f>SUBTOTAL(105,TabConsolid[MVEALDNE2])</f>
        <v>-4.3852000000000002</v>
      </c>
      <c r="FH36" s="176">
        <f>SUBTOTAL(109,TabConsolid[MVEDDD])</f>
        <v>-24500.00000245</v>
      </c>
      <c r="FI36" s="179">
        <f>SUBTOTAL(109,TabConsolid[MVEDDD1])</f>
        <v>10000.000001</v>
      </c>
      <c r="FJ36" s="173">
        <f>SUBTOTAL(105,TabConsolid[MVEDDD2])</f>
        <v>-2.4500000000000002</v>
      </c>
      <c r="FK36" s="176">
        <f>SUBTOTAL(109,TabConsolid[MVEDSY])</f>
        <v>-403470.00003363751</v>
      </c>
      <c r="FL36" s="179">
        <f>SUBTOTAL(109,TabConsolid[MVEDSY1])</f>
        <v>12000.000001</v>
      </c>
      <c r="FM36" s="173">
        <f>SUBTOTAL(105,TabConsolid[MVEDSY2])</f>
        <v>-35.35</v>
      </c>
      <c r="FN36" s="176">
        <f>SUBTOTAL(109,TabConsolid[MVEEOAN])</f>
        <v>-106.65001106</v>
      </c>
      <c r="FO36" s="179">
        <f>SUBTOTAL(109,TabConsolid[MVEEOAN1])</f>
        <v>10.000000999999999</v>
      </c>
      <c r="FP36" s="173">
        <f>SUBTOTAL(105,TabConsolid[MVEEOAN2])</f>
        <v>-11.06</v>
      </c>
      <c r="FQ36" s="176">
        <f>SUBTOTAL(109,TabConsolid[MVEENI])</f>
        <v>-542469.00001356553</v>
      </c>
      <c r="FR36" s="179">
        <f>SUBTOTAL(109,TabConsolid[MVEENI1])</f>
        <v>40000.000001</v>
      </c>
      <c r="FS36" s="173">
        <f>SUBTOTAL(105,TabConsolid[MVEENI2])</f>
        <v>-15.592599999999999</v>
      </c>
      <c r="FT36" s="176">
        <f>SUBTOTAL(109,TabConsolid[MVEEPIX])</f>
        <v>-31060.000002588335</v>
      </c>
      <c r="FU36" s="179">
        <f>SUBTOTAL(109,TabConsolid[MVEEPIX1])</f>
        <v>12000.000001</v>
      </c>
      <c r="FV36" s="173">
        <f>SUBTOTAL(105,TabConsolid[MVEEPIX2])</f>
        <v>-6.93</v>
      </c>
      <c r="FW36" s="176">
        <f>SUBTOTAL(109,TabConsolid[MVEGLE])</f>
        <v>-42613.543058992494</v>
      </c>
      <c r="FX36" s="179">
        <f>SUBTOTAL(109,TabConsolid[MVEGLE1])</f>
        <v>2000.0000010000001</v>
      </c>
      <c r="FY36" s="173">
        <f>SUBTOTAL(105,TabConsolid[MVEGLE2])</f>
        <v>-58.9925</v>
      </c>
      <c r="FZ36" s="176">
        <f>SUBTOTAL(109,TabConsolid[MVEORA])</f>
        <v>-214578.60001198619</v>
      </c>
      <c r="GA36" s="179">
        <f>SUBTOTAL(109,TabConsolid[MVEORA1])</f>
        <v>21000.000001</v>
      </c>
      <c r="GB36" s="173">
        <f>SUBTOTAL(105,TabConsolid[MVEORA2])</f>
        <v>-11.986190476190476</v>
      </c>
      <c r="GC36" s="176">
        <f>SUBTOTAL(109,TabConsolid[MVERWE])</f>
        <v>-28.210033095</v>
      </c>
      <c r="GD36" s="179">
        <f>SUBTOTAL(109,TabConsolid[MVERWE1])</f>
        <v>1.0000009999999999</v>
      </c>
      <c r="GE36" s="173">
        <f>SUBTOTAL(105,TabConsolid[MVERWE2])</f>
        <v>-33.094999999999999</v>
      </c>
      <c r="GF36" s="176">
        <f>SUBTOTAL(109,TabConsolid[MVESAP])</f>
        <v>-62660.840255269031</v>
      </c>
      <c r="GG36" s="179">
        <f>SUBTOTAL(109,TabConsolid[MVESAP1])</f>
        <v>401.000001</v>
      </c>
      <c r="GH36" s="173">
        <f>SUBTOTAL(105,TabConsolid[MVESAP2])</f>
        <v>-255.26902743142145</v>
      </c>
      <c r="GI36" s="176">
        <f>SUBTOTAL(109,TabConsolid[MVEUN0])</f>
        <v>-23420.479041940634</v>
      </c>
      <c r="GJ36" s="179">
        <f>SUBTOTAL(109,TabConsolid[MVEUN01])</f>
        <v>560.000001</v>
      </c>
      <c r="GK36" s="173">
        <f>SUBTOTAL(105,TabConsolid[MVEUN02])</f>
        <v>-43.317</v>
      </c>
      <c r="GL36" s="176">
        <f>SUBTOTAL(109,TabConsolid[SAFAAPL])</f>
        <v>-59855.188201382727</v>
      </c>
      <c r="GM36" s="179">
        <f>SUBTOTAL(109,TabConsolid[SAFAAPL1])</f>
        <v>500.000001</v>
      </c>
      <c r="GN36" s="173">
        <f>SUBTOTAL(105,TabConsolid[SAFAAPL2])</f>
        <v>-201.3827144</v>
      </c>
      <c r="GO36" s="176">
        <f>SUBTOTAL(109,TabConsolid[SAFAMZN])</f>
        <v>-330870.00019993749</v>
      </c>
      <c r="GP36" s="179">
        <f>SUBTOTAL(109,TabConsolid[SAFAMZN1])</f>
        <v>2000.0000009999999</v>
      </c>
      <c r="GQ36" s="173">
        <f>SUBTOTAL(105,TabConsolid[SAFAMZN2])</f>
        <v>-199.9375</v>
      </c>
      <c r="GR36" s="176">
        <f>SUBTOTAL(109,TabConsolid[SAFASML])</f>
        <v>-101353.70067741965</v>
      </c>
      <c r="GS36" s="179">
        <f>SUBTOTAL(109,TabConsolid[SAFASML1])</f>
        <v>180.000001</v>
      </c>
      <c r="GT36" s="173">
        <f>SUBTOTAL(105,TabConsolid[SAFASML2])</f>
        <v>-677.41965555555555</v>
      </c>
      <c r="GU36" s="176">
        <f>SUBTOTAL(109,TabConsolid[SAFDDD])</f>
        <v>-391699.92000333994</v>
      </c>
      <c r="GV36" s="179">
        <f>SUBTOTAL(109,TabConsolid[SAFDDD1])</f>
        <v>121000.00000100001</v>
      </c>
      <c r="GW36" s="173">
        <f>SUBTOTAL(105,TabConsolid[SAFDDD2])</f>
        <v>-4.0185000000000004</v>
      </c>
      <c r="GX36" s="176">
        <f>SUBTOTAL(109,TabConsolid[SAFDIS])</f>
        <v>-62276.500108610002</v>
      </c>
      <c r="GY36" s="179">
        <f>SUBTOTAL(109,TabConsolid[SAFDIS1])</f>
        <v>670.000001</v>
      </c>
      <c r="GZ36" s="173">
        <f>SUBTOTAL(105,TabConsolid[SAFDIS2])</f>
        <v>-108.61</v>
      </c>
      <c r="HA36" s="176">
        <f>SUBTOTAL(109,TabConsolid[SAFGM])</f>
        <v>-3.4780000000000002E-5</v>
      </c>
      <c r="HB36" s="179">
        <f>SUBTOTAL(109,TabConsolid[SAFGM1])</f>
        <v>9.9999999999999995E-7</v>
      </c>
      <c r="HC36" s="173">
        <f>SUBTOTAL(105,TabConsolid[SAFGM2])</f>
        <v>-34.78</v>
      </c>
      <c r="HD36" s="176">
        <f>SUBTOTAL(109,TabConsolid[SAFIAG])</f>
        <v>-1.6259999999999999E-4</v>
      </c>
      <c r="HE36" s="179">
        <f>SUBTOTAL(109,TabConsolid[SAFIAG1])</f>
        <v>9.9999999999999995E-7</v>
      </c>
      <c r="HF36" s="173">
        <f>SUBTOTAL(105,TabConsolid[SAFIAG2])</f>
        <v>-162.6</v>
      </c>
      <c r="HG36" s="176">
        <f>SUBTOTAL(109,TabConsolid[SAFMRNA])</f>
        <v>-285869.94434873411</v>
      </c>
      <c r="HH36" s="179">
        <f>SUBTOTAL(109,TabConsolid[SAFMRNA1])</f>
        <v>5000.0000010000003</v>
      </c>
      <c r="HI36" s="173">
        <f>SUBTOTAL(105,TabConsolid[SAFMRNA2])</f>
        <v>-100.25</v>
      </c>
      <c r="HJ36" s="176">
        <f>SUBTOTAL(109,TabConsolid[BLNK])</f>
        <v>-391018.9250024439</v>
      </c>
      <c r="HK36" s="179">
        <f>SUBTOTAL(109,TabConsolid[BLNK1])</f>
        <v>160000.00000100001</v>
      </c>
      <c r="HL36" s="173">
        <f>SUBTOTAL(105,TabConsolid[BLNK2])</f>
        <v>-3.4309850000000002</v>
      </c>
      <c r="HM36" s="176">
        <f>SUBTOTAL(109,TabConsolid[ENI])</f>
        <v>-26740.000013977999</v>
      </c>
      <c r="HN36" s="179">
        <f>SUBTOTAL(109,TabConsolid[ENI1])</f>
        <v>2000.0000010000001</v>
      </c>
      <c r="HO36" s="173">
        <f>SUBTOTAL(105,TabConsolid[ENI2])</f>
        <v>-13.978</v>
      </c>
      <c r="HP36" s="176">
        <f>SUBTOTAL(109,TabConsolid[EZJ])</f>
        <v>-9630301.0005025491</v>
      </c>
      <c r="HQ36" s="179">
        <f>SUBTOTAL(109,TabConsolid[EZJ1])</f>
        <v>20000.000001</v>
      </c>
      <c r="HR36" s="173">
        <f>SUBTOTAL(105,TabConsolid[EZJ2])</f>
        <v>-502.55</v>
      </c>
      <c r="HS36" s="176">
        <f>SUBTOTAL(109,TabConsolid[F])</f>
        <v>-27705.000009234998</v>
      </c>
      <c r="HT36" s="179">
        <f>SUBTOTAL(109,TabConsolid[F1])</f>
        <v>3000.0000009999999</v>
      </c>
      <c r="HU36" s="173">
        <f>SUBTOTAL(105,TabConsolid[F2])</f>
        <v>-9.2349999999999994</v>
      </c>
      <c r="HV36" s="176">
        <f>SUBTOTAL(109,TabConsolid[GLE])</f>
        <v>-1.9629999999999997E-5</v>
      </c>
      <c r="HW36" s="179">
        <f>SUBTOTAL(109,TabConsolid[GLE1])</f>
        <v>9.9999999999999995E-7</v>
      </c>
      <c r="HX36" s="173">
        <f>SUBTOTAL(105,TabConsolid[GLE2])</f>
        <v>-19.63</v>
      </c>
      <c r="HY36" s="176">
        <f>SUBTOTAL(109,TabConsolid[GNRC])</f>
        <v>-60906.000186390003</v>
      </c>
      <c r="HZ36" s="179">
        <f>SUBTOTAL(109,TabConsolid[GNRC1])</f>
        <v>600.000001</v>
      </c>
      <c r="IA36" s="173">
        <f>SUBTOTAL(105,TabConsolid[GNRC2])</f>
        <v>-186.39</v>
      </c>
      <c r="IB36" s="176">
        <f>SUBTOTAL(109,TabConsolid[GS])</f>
        <v>-3.5869999999999999E-4</v>
      </c>
      <c r="IC36" s="179">
        <f>SUBTOTAL(109,TabConsolid[GS1])</f>
        <v>9.9999999999999995E-7</v>
      </c>
      <c r="ID36" s="173">
        <f>SUBTOTAL(105,TabConsolid[GS2])</f>
        <v>-358.7</v>
      </c>
      <c r="IE36" s="176">
        <f>SUBTOTAL(109,TabConsolid[LAZR])</f>
        <v>-336388.84002167732</v>
      </c>
      <c r="IF36" s="179">
        <f>SUBTOTAL(109,TabConsolid[LAZR1])</f>
        <v>15518.000001</v>
      </c>
      <c r="IG36" s="173">
        <f>SUBTOTAL(105,TabConsolid[LAZR2])</f>
        <v>-47.08</v>
      </c>
      <c r="IH36" s="176">
        <f>SUBTOTAL(109,TabConsolid[LUV])</f>
        <v>-33059.640030697403</v>
      </c>
      <c r="II36" s="179">
        <f>SUBTOTAL(109,TabConsolid[LUV1])</f>
        <v>1200.0000010000001</v>
      </c>
      <c r="IJ36" s="173">
        <f>SUBTOTAL(105,TabConsolid[LUV2])</f>
        <v>-30.697399999999998</v>
      </c>
      <c r="IK36" s="176">
        <f>SUBTOTAL(109,TabConsolid[MA])</f>
        <v>-64604.000546809999</v>
      </c>
      <c r="IL36" s="179">
        <f>SUBTOTAL(109,TabConsolid[MA1])</f>
        <v>200.000001</v>
      </c>
      <c r="IM36" s="173">
        <f>SUBTOTAL(105,TabConsolid[MA2])</f>
        <v>-546.80999999999995</v>
      </c>
      <c r="IN36" s="176">
        <f>SUBTOTAL(109,TabConsolid[NVAX])</f>
        <v>-98424.400008947676</v>
      </c>
      <c r="IO36" s="179">
        <f>SUBTOTAL(109,TabConsolid[NVAX1])</f>
        <v>11000.000001</v>
      </c>
      <c r="IP36" s="173">
        <f>SUBTOTAL(105,TabConsolid[NVAX2])</f>
        <v>-9.75</v>
      </c>
      <c r="IQ36" s="176">
        <f>SUBTOTAL(109,TabConsolid[NVS])</f>
        <v>-8.5849999999999986E-5</v>
      </c>
      <c r="IR36" s="179">
        <f>SUBTOTAL(109,TabConsolid[NVS1])</f>
        <v>9.9999999999999995E-7</v>
      </c>
      <c r="IS36" s="173">
        <f>SUBTOTAL(105,TabConsolid[NVS2])</f>
        <v>-85.85</v>
      </c>
      <c r="IT36" s="176">
        <f>SUBTOTAL(109,TabConsolid[ORA])</f>
        <v>-11515.200013745001</v>
      </c>
      <c r="IU36" s="179">
        <f>SUBTOTAL(109,TabConsolid[ORA1])</f>
        <v>1200.0000010000001</v>
      </c>
      <c r="IV36" s="173">
        <f>SUBTOTAL(105,TabConsolid[ORA2])</f>
        <v>-13.744999999999999</v>
      </c>
      <c r="IW36" s="176">
        <f>SUBTOTAL(109,TabConsolid[OXY])</f>
        <v>-217005.30005433445</v>
      </c>
      <c r="IX36" s="179">
        <f>SUBTOTAL(109,TabConsolid[OXY1])</f>
        <v>4000.0000009999999</v>
      </c>
      <c r="IY36" s="173">
        <f>SUBTOTAL(105,TabConsolid[OXY2])</f>
        <v>-62.047400000000003</v>
      </c>
      <c r="IZ36" s="176">
        <f>SUBTOTAL(109,TabConsolid[PFE])</f>
        <v>-39904.000024939996</v>
      </c>
      <c r="JA36" s="179">
        <f>SUBTOTAL(109,TabConsolid[PFE1])</f>
        <v>1600.0000010000001</v>
      </c>
      <c r="JB36" s="173">
        <f>SUBTOTAL(105,TabConsolid[PFE2])</f>
        <v>-24.94</v>
      </c>
      <c r="JC36" s="176">
        <f>SUBTOTAL(109,TabConsolid[RIG])</f>
        <v>-106770.00000355157</v>
      </c>
      <c r="JD36" s="179">
        <f>SUBTOTAL(109,TabConsolid[RIG1])</f>
        <v>35000.000001</v>
      </c>
      <c r="JE36" s="173">
        <f>SUBTOTAL(105,TabConsolid[RIG2])</f>
        <v>-3.7</v>
      </c>
      <c r="JF36" s="176">
        <f>SUBTOTAL(109,TabConsolid[RRC])</f>
        <v>-3.0309999999999996E-5</v>
      </c>
      <c r="JG36" s="179">
        <f>SUBTOTAL(109,TabConsolid[RRC1])</f>
        <v>9.9999999999999995E-7</v>
      </c>
      <c r="JH36" s="173">
        <f>SUBTOTAL(105,TabConsolid[RRC2])</f>
        <v>-30.31</v>
      </c>
      <c r="JI36" s="176">
        <f>SUBTOTAL(109,TabConsolid[XYZ])</f>
        <v>-6.0139999999999997E-5</v>
      </c>
      <c r="JJ36" s="179">
        <f>SUBTOTAL(109,TabConsolid[XYZ1])</f>
        <v>9.9999999999999995E-7</v>
      </c>
      <c r="JK36" s="173">
        <f>SUBTOTAL(105,TabConsolid[XYZ2])</f>
        <v>-60.14</v>
      </c>
      <c r="JL36" s="176">
        <f>SUBTOTAL(109,TabConsolid[THC])</f>
        <v>-232462.0001447738</v>
      </c>
      <c r="JM36" s="179">
        <f>SUBTOTAL(109,TabConsolid[THC1])</f>
        <v>2200.0000009999999</v>
      </c>
      <c r="JN36" s="173">
        <f>SUBTOTAL(105,TabConsolid[THC2])</f>
        <v>-144.77379545454545</v>
      </c>
      <c r="JO36" s="176">
        <f>SUBTOTAL(109,TabConsolid[X])</f>
        <v>-262.100030957206</v>
      </c>
      <c r="JP36" s="179">
        <f>SUBTOTAL(109,TabConsolid[X1])</f>
        <v>10.000000999999999</v>
      </c>
      <c r="JQ36" s="173">
        <f>SUBTOTAL(105,TabConsolid[X2])</f>
        <v>-30.957205999999996</v>
      </c>
      <c r="JR36" s="176">
        <f>SUBTOTAL(109,TabConsolid[JBEOAN])</f>
        <v>-142940.00001366957</v>
      </c>
      <c r="JS36" s="179">
        <f>SUBTOTAL(109,TabConsolid[JBEOAN1])</f>
        <v>12000.000001</v>
      </c>
      <c r="JT36" s="173">
        <f>SUBTOTAL(105,TabConsolid[JBEOAN2])</f>
        <v>-14.73</v>
      </c>
      <c r="JU36" s="176">
        <f ca="1">SUBTOTAL(109,TabConsolid[LOCK])</f>
        <v>0</v>
      </c>
      <c r="JV36" s="178">
        <f>SUBTOTAL(109,TabConsolid[LOCK1])</f>
        <v>77100.000000999993</v>
      </c>
      <c r="JW36" s="173">
        <f>SUBTOTAL(105,TabConsolid[LOCK2])</f>
        <v>-5.34</v>
      </c>
      <c r="JX36" s="176"/>
      <c r="JY36" s="176"/>
      <c r="JZ36" s="176"/>
      <c r="KA36" s="176"/>
      <c r="KB36" s="176"/>
      <c r="KC36" s="176"/>
      <c r="KD36" s="176"/>
      <c r="KE36" s="176"/>
      <c r="KF36" s="176"/>
    </row>
    <row r="37" spans="1:292" s="23" customFormat="1" x14ac:dyDescent="0.3">
      <c r="A37" s="177" cm="1">
        <f t="array" ref="A37:JP37">_xlfn.SEQUENCE(1,276,1,1)</f>
        <v>1</v>
      </c>
      <c r="B37" s="174">
        <v>2</v>
      </c>
      <c r="C37" s="174">
        <v>3</v>
      </c>
      <c r="D37" s="176">
        <v>4</v>
      </c>
      <c r="E37" s="174">
        <v>5</v>
      </c>
      <c r="F37" s="174">
        <v>6</v>
      </c>
      <c r="G37" s="174">
        <v>7</v>
      </c>
      <c r="H37" s="174">
        <v>8</v>
      </c>
      <c r="I37" s="174">
        <v>9</v>
      </c>
      <c r="J37" s="174">
        <v>10</v>
      </c>
      <c r="K37" s="174">
        <v>11</v>
      </c>
      <c r="L37" s="174">
        <v>12</v>
      </c>
      <c r="M37" s="174">
        <v>13</v>
      </c>
      <c r="N37" s="174">
        <v>14</v>
      </c>
      <c r="O37" s="174">
        <v>15</v>
      </c>
      <c r="P37" s="174">
        <v>16</v>
      </c>
      <c r="Q37" s="174">
        <v>17</v>
      </c>
      <c r="R37" s="174">
        <v>18</v>
      </c>
      <c r="S37" s="174">
        <v>19</v>
      </c>
      <c r="T37" s="174">
        <v>20</v>
      </c>
      <c r="U37" s="174">
        <v>21</v>
      </c>
      <c r="V37" s="174">
        <v>22</v>
      </c>
      <c r="W37" s="174">
        <v>23</v>
      </c>
      <c r="X37" s="174">
        <v>24</v>
      </c>
      <c r="Y37" s="174">
        <v>25</v>
      </c>
      <c r="Z37" s="174">
        <v>26</v>
      </c>
      <c r="AA37" s="174">
        <v>27</v>
      </c>
      <c r="AB37" s="174">
        <v>28</v>
      </c>
      <c r="AC37" s="174">
        <v>29</v>
      </c>
      <c r="AD37" s="174">
        <v>30</v>
      </c>
      <c r="AE37" s="174">
        <v>31</v>
      </c>
      <c r="AF37" s="174">
        <v>32</v>
      </c>
      <c r="AG37" s="174">
        <v>33</v>
      </c>
      <c r="AH37" s="174">
        <v>34</v>
      </c>
      <c r="AI37" s="174">
        <v>35</v>
      </c>
      <c r="AJ37" s="174">
        <v>36</v>
      </c>
      <c r="AK37" s="174">
        <v>37</v>
      </c>
      <c r="AL37" s="174">
        <v>38</v>
      </c>
      <c r="AM37" s="174">
        <v>39</v>
      </c>
      <c r="AN37" s="174">
        <v>40</v>
      </c>
      <c r="AO37" s="174">
        <v>41</v>
      </c>
      <c r="AP37" s="174">
        <v>42</v>
      </c>
      <c r="AQ37" s="174">
        <v>43</v>
      </c>
      <c r="AR37" s="174">
        <v>44</v>
      </c>
      <c r="AS37" s="174">
        <v>45</v>
      </c>
      <c r="AT37" s="174">
        <v>46</v>
      </c>
      <c r="AU37" s="174">
        <v>47</v>
      </c>
      <c r="AV37" s="174">
        <v>48</v>
      </c>
      <c r="AW37" s="174">
        <v>49</v>
      </c>
      <c r="AX37" s="174">
        <v>50</v>
      </c>
      <c r="AY37" s="174">
        <v>51</v>
      </c>
      <c r="AZ37" s="174">
        <v>52</v>
      </c>
      <c r="BA37" s="174">
        <v>53</v>
      </c>
      <c r="BB37" s="174">
        <v>54</v>
      </c>
      <c r="BC37" s="174">
        <v>55</v>
      </c>
      <c r="BD37" s="174">
        <v>56</v>
      </c>
      <c r="BE37" s="174">
        <v>57</v>
      </c>
      <c r="BF37" s="174">
        <v>58</v>
      </c>
      <c r="BG37" s="174">
        <v>59</v>
      </c>
      <c r="BH37" s="174">
        <v>60</v>
      </c>
      <c r="BI37" s="174">
        <v>61</v>
      </c>
      <c r="BJ37" s="174">
        <v>62</v>
      </c>
      <c r="BK37" s="174">
        <v>63</v>
      </c>
      <c r="BL37" s="174">
        <v>64</v>
      </c>
      <c r="BM37" s="174">
        <v>65</v>
      </c>
      <c r="BN37" s="174">
        <v>66</v>
      </c>
      <c r="BO37" s="174">
        <v>67</v>
      </c>
      <c r="BP37" s="174">
        <v>68</v>
      </c>
      <c r="BQ37" s="174">
        <v>69</v>
      </c>
      <c r="BR37" s="174">
        <v>70</v>
      </c>
      <c r="BS37" s="174">
        <v>71</v>
      </c>
      <c r="BT37" s="174">
        <v>72</v>
      </c>
      <c r="BU37" s="174">
        <v>73</v>
      </c>
      <c r="BV37" s="174">
        <v>74</v>
      </c>
      <c r="BW37" s="174">
        <v>75</v>
      </c>
      <c r="BX37" s="174">
        <v>76</v>
      </c>
      <c r="BY37" s="174">
        <v>77</v>
      </c>
      <c r="BZ37" s="174">
        <v>78</v>
      </c>
      <c r="CA37" s="174">
        <v>79</v>
      </c>
      <c r="CB37" s="174">
        <v>80</v>
      </c>
      <c r="CC37" s="174">
        <v>81</v>
      </c>
      <c r="CD37" s="174">
        <v>82</v>
      </c>
      <c r="CE37" s="174">
        <v>83</v>
      </c>
      <c r="CF37" s="174">
        <v>84</v>
      </c>
      <c r="CG37" s="174">
        <v>85</v>
      </c>
      <c r="CH37" s="174">
        <v>86</v>
      </c>
      <c r="CI37" s="174">
        <v>87</v>
      </c>
      <c r="CJ37" s="174">
        <v>88</v>
      </c>
      <c r="CK37" s="174">
        <v>89</v>
      </c>
      <c r="CL37" s="174">
        <v>90</v>
      </c>
      <c r="CM37" s="174">
        <v>91</v>
      </c>
      <c r="CN37" s="174">
        <v>92</v>
      </c>
      <c r="CO37" s="174">
        <v>93</v>
      </c>
      <c r="CP37" s="174">
        <v>94</v>
      </c>
      <c r="CQ37" s="174">
        <v>95</v>
      </c>
      <c r="CR37" s="174">
        <v>96</v>
      </c>
      <c r="CS37" s="174">
        <v>97</v>
      </c>
      <c r="CT37" s="174">
        <v>98</v>
      </c>
      <c r="CU37" s="174">
        <v>99</v>
      </c>
      <c r="CV37" s="174">
        <v>100</v>
      </c>
      <c r="CW37" s="174">
        <v>101</v>
      </c>
      <c r="CX37" s="174">
        <v>102</v>
      </c>
      <c r="CY37" s="174">
        <v>103</v>
      </c>
      <c r="CZ37" s="174">
        <v>104</v>
      </c>
      <c r="DA37" s="174">
        <v>105</v>
      </c>
      <c r="DB37" s="174">
        <v>106</v>
      </c>
      <c r="DC37" s="174">
        <v>107</v>
      </c>
      <c r="DD37" s="174">
        <v>108</v>
      </c>
      <c r="DE37" s="174">
        <v>109</v>
      </c>
      <c r="DF37" s="174">
        <v>110</v>
      </c>
      <c r="DG37" s="174">
        <v>111</v>
      </c>
      <c r="DH37" s="174">
        <v>112</v>
      </c>
      <c r="DI37" s="174">
        <v>113</v>
      </c>
      <c r="DJ37" s="174">
        <v>114</v>
      </c>
      <c r="DK37" s="174">
        <v>115</v>
      </c>
      <c r="DL37" s="174">
        <v>116</v>
      </c>
      <c r="DM37" s="174">
        <v>117</v>
      </c>
      <c r="DN37" s="174">
        <v>118</v>
      </c>
      <c r="DO37" s="174">
        <v>119</v>
      </c>
      <c r="DP37" s="174">
        <v>120</v>
      </c>
      <c r="DQ37" s="174">
        <v>121</v>
      </c>
      <c r="DR37" s="174">
        <v>122</v>
      </c>
      <c r="DS37" s="174">
        <v>123</v>
      </c>
      <c r="DT37" s="174">
        <v>124</v>
      </c>
      <c r="DU37" s="174">
        <v>125</v>
      </c>
      <c r="DV37" s="174">
        <v>126</v>
      </c>
      <c r="DW37" s="174">
        <v>127</v>
      </c>
      <c r="DX37" s="174">
        <v>128</v>
      </c>
      <c r="DY37" s="174">
        <v>129</v>
      </c>
      <c r="DZ37" s="174">
        <v>130</v>
      </c>
      <c r="EA37" s="174">
        <v>131</v>
      </c>
      <c r="EB37" s="174">
        <v>132</v>
      </c>
      <c r="EC37" s="174">
        <v>133</v>
      </c>
      <c r="ED37" s="174">
        <v>134</v>
      </c>
      <c r="EE37" s="174">
        <v>135</v>
      </c>
      <c r="EF37" s="174">
        <v>136</v>
      </c>
      <c r="EG37" s="174">
        <v>137</v>
      </c>
      <c r="EH37" s="174">
        <v>138</v>
      </c>
      <c r="EI37" s="174">
        <v>139</v>
      </c>
      <c r="EJ37" s="174">
        <v>140</v>
      </c>
      <c r="EK37" s="174">
        <v>141</v>
      </c>
      <c r="EL37" s="174">
        <v>142</v>
      </c>
      <c r="EM37" s="174">
        <v>143</v>
      </c>
      <c r="EN37" s="174">
        <v>144</v>
      </c>
      <c r="EO37" s="174">
        <v>145</v>
      </c>
      <c r="EP37" s="174">
        <v>146</v>
      </c>
      <c r="EQ37" s="174">
        <v>147</v>
      </c>
      <c r="ER37" s="174">
        <v>148</v>
      </c>
      <c r="ES37" s="174">
        <v>149</v>
      </c>
      <c r="ET37" s="174">
        <v>150</v>
      </c>
      <c r="EU37" s="174">
        <v>151</v>
      </c>
      <c r="EV37" s="174">
        <v>152</v>
      </c>
      <c r="EW37" s="174">
        <v>153</v>
      </c>
      <c r="EX37" s="174">
        <v>154</v>
      </c>
      <c r="EY37" s="174">
        <v>155</v>
      </c>
      <c r="EZ37" s="174">
        <v>156</v>
      </c>
      <c r="FA37" s="174">
        <v>157</v>
      </c>
      <c r="FB37" s="174">
        <v>158</v>
      </c>
      <c r="FC37" s="174">
        <v>159</v>
      </c>
      <c r="FD37" s="174">
        <v>160</v>
      </c>
      <c r="FE37" s="174">
        <v>161</v>
      </c>
      <c r="FF37" s="174">
        <v>162</v>
      </c>
      <c r="FG37" s="174">
        <v>163</v>
      </c>
      <c r="FH37" s="174">
        <v>164</v>
      </c>
      <c r="FI37" s="174">
        <v>165</v>
      </c>
      <c r="FJ37" s="174">
        <v>166</v>
      </c>
      <c r="FK37" s="174">
        <v>167</v>
      </c>
      <c r="FL37" s="174">
        <v>168</v>
      </c>
      <c r="FM37" s="174">
        <v>169</v>
      </c>
      <c r="FN37" s="174">
        <v>170</v>
      </c>
      <c r="FO37" s="174">
        <v>171</v>
      </c>
      <c r="FP37" s="174">
        <v>172</v>
      </c>
      <c r="FQ37" s="174">
        <v>173</v>
      </c>
      <c r="FR37" s="174">
        <v>174</v>
      </c>
      <c r="FS37" s="174">
        <v>175</v>
      </c>
      <c r="FT37" s="174">
        <v>176</v>
      </c>
      <c r="FU37" s="174">
        <v>177</v>
      </c>
      <c r="FV37" s="174">
        <v>178</v>
      </c>
      <c r="FW37" s="174">
        <v>179</v>
      </c>
      <c r="FX37" s="174">
        <v>180</v>
      </c>
      <c r="FY37" s="174">
        <v>181</v>
      </c>
      <c r="FZ37" s="174">
        <v>182</v>
      </c>
      <c r="GA37" s="174">
        <v>183</v>
      </c>
      <c r="GB37" s="174">
        <v>184</v>
      </c>
      <c r="GC37" s="174">
        <v>185</v>
      </c>
      <c r="GD37" s="174">
        <v>186</v>
      </c>
      <c r="GE37" s="174">
        <v>187</v>
      </c>
      <c r="GF37" s="174">
        <v>188</v>
      </c>
      <c r="GG37" s="174">
        <v>189</v>
      </c>
      <c r="GH37" s="174">
        <v>190</v>
      </c>
      <c r="GI37" s="174">
        <v>191</v>
      </c>
      <c r="GJ37" s="174">
        <v>192</v>
      </c>
      <c r="GK37" s="174">
        <v>193</v>
      </c>
      <c r="GL37" s="174">
        <v>194</v>
      </c>
      <c r="GM37" s="174">
        <v>195</v>
      </c>
      <c r="GN37" s="174">
        <v>196</v>
      </c>
      <c r="GO37" s="174">
        <v>197</v>
      </c>
      <c r="GP37" s="174">
        <v>198</v>
      </c>
      <c r="GQ37" s="174">
        <v>199</v>
      </c>
      <c r="GR37" s="174">
        <v>200</v>
      </c>
      <c r="GS37" s="174">
        <v>201</v>
      </c>
      <c r="GT37" s="174">
        <v>202</v>
      </c>
      <c r="GU37" s="174">
        <v>203</v>
      </c>
      <c r="GV37" s="174">
        <v>204</v>
      </c>
      <c r="GW37" s="174">
        <v>205</v>
      </c>
      <c r="GX37" s="174">
        <v>206</v>
      </c>
      <c r="GY37" s="174">
        <v>207</v>
      </c>
      <c r="GZ37" s="174">
        <v>208</v>
      </c>
      <c r="HA37" s="174">
        <v>209</v>
      </c>
      <c r="HB37" s="174">
        <v>210</v>
      </c>
      <c r="HC37" s="174">
        <v>211</v>
      </c>
      <c r="HD37" s="174">
        <v>212</v>
      </c>
      <c r="HE37" s="174">
        <v>213</v>
      </c>
      <c r="HF37" s="174">
        <v>214</v>
      </c>
      <c r="HG37" s="174">
        <v>215</v>
      </c>
      <c r="HH37" s="174">
        <v>216</v>
      </c>
      <c r="HI37" s="174">
        <v>217</v>
      </c>
      <c r="HJ37" s="174">
        <v>218</v>
      </c>
      <c r="HK37" s="174">
        <v>219</v>
      </c>
      <c r="HL37" s="174">
        <v>220</v>
      </c>
      <c r="HM37" s="174">
        <v>221</v>
      </c>
      <c r="HN37" s="174">
        <v>222</v>
      </c>
      <c r="HO37" s="174">
        <v>223</v>
      </c>
      <c r="HP37" s="174">
        <v>224</v>
      </c>
      <c r="HQ37" s="174">
        <v>225</v>
      </c>
      <c r="HR37" s="174">
        <v>226</v>
      </c>
      <c r="HS37" s="174">
        <v>227</v>
      </c>
      <c r="HT37" s="174">
        <v>228</v>
      </c>
      <c r="HU37" s="174">
        <v>229</v>
      </c>
      <c r="HV37" s="174">
        <v>230</v>
      </c>
      <c r="HW37" s="174">
        <v>231</v>
      </c>
      <c r="HX37" s="174">
        <v>232</v>
      </c>
      <c r="HY37" s="174">
        <v>233</v>
      </c>
      <c r="HZ37" s="174">
        <v>234</v>
      </c>
      <c r="IA37" s="174">
        <v>235</v>
      </c>
      <c r="IB37" s="174">
        <v>236</v>
      </c>
      <c r="IC37" s="174">
        <v>237</v>
      </c>
      <c r="ID37" s="174">
        <v>238</v>
      </c>
      <c r="IE37" s="174">
        <v>239</v>
      </c>
      <c r="IF37" s="174">
        <v>240</v>
      </c>
      <c r="IG37" s="174">
        <v>241</v>
      </c>
      <c r="IH37" s="174">
        <v>242</v>
      </c>
      <c r="II37" s="174">
        <v>243</v>
      </c>
      <c r="IJ37" s="174">
        <v>244</v>
      </c>
      <c r="IK37" s="174">
        <v>245</v>
      </c>
      <c r="IL37" s="174">
        <v>246</v>
      </c>
      <c r="IM37" s="174">
        <v>247</v>
      </c>
      <c r="IN37" s="174">
        <v>248</v>
      </c>
      <c r="IO37" s="174">
        <v>249</v>
      </c>
      <c r="IP37" s="174">
        <v>250</v>
      </c>
      <c r="IQ37" s="174">
        <v>251</v>
      </c>
      <c r="IR37" s="174">
        <v>252</v>
      </c>
      <c r="IS37" s="174">
        <v>253</v>
      </c>
      <c r="IT37" s="174">
        <v>254</v>
      </c>
      <c r="IU37" s="174">
        <v>255</v>
      </c>
      <c r="IV37" s="174">
        <v>256</v>
      </c>
      <c r="IW37" s="174">
        <v>257</v>
      </c>
      <c r="IX37" s="174">
        <v>258</v>
      </c>
      <c r="IY37" s="174">
        <v>259</v>
      </c>
      <c r="IZ37" s="174">
        <v>260</v>
      </c>
      <c r="JA37" s="174">
        <v>261</v>
      </c>
      <c r="JB37" s="174">
        <v>262</v>
      </c>
      <c r="JC37" s="174">
        <v>263</v>
      </c>
      <c r="JD37" s="174">
        <v>264</v>
      </c>
      <c r="JE37" s="174">
        <v>265</v>
      </c>
      <c r="JF37" s="174">
        <v>266</v>
      </c>
      <c r="JG37" s="174">
        <v>267</v>
      </c>
      <c r="JH37" s="174">
        <v>268</v>
      </c>
      <c r="JI37" s="174">
        <v>269</v>
      </c>
      <c r="JJ37" s="174">
        <v>270</v>
      </c>
      <c r="JK37" s="174">
        <v>271</v>
      </c>
      <c r="JL37" s="174">
        <v>272</v>
      </c>
      <c r="JM37" s="174">
        <v>273</v>
      </c>
      <c r="JN37" s="174">
        <v>274</v>
      </c>
      <c r="JO37" s="174">
        <v>275</v>
      </c>
      <c r="JP37" s="174">
        <v>276</v>
      </c>
      <c r="JQ37" s="174"/>
      <c r="JR37" s="174"/>
      <c r="JS37" s="174"/>
      <c r="JT37" s="174"/>
      <c r="JU37" s="174"/>
      <c r="JV37" s="175"/>
      <c r="JW37" s="175"/>
      <c r="JX37" s="174"/>
      <c r="JY37" s="174"/>
      <c r="JZ37" s="174"/>
      <c r="KA37" s="174"/>
      <c r="KB37" s="174"/>
      <c r="KC37" s="174"/>
      <c r="KD37" s="174"/>
      <c r="KE37" s="174"/>
      <c r="KF37" s="174"/>
    </row>
    <row r="38" spans="1:292" x14ac:dyDescent="0.3">
      <c r="C38" s="23">
        <f>IFERROR(_xlfn.XLOOKUP(D38,TabConsolid[AAPL2],TabConsolid[AAPL1]),"")</f>
        <v>0</v>
      </c>
      <c r="D38" s="173"/>
      <c r="F38" s="23">
        <f>IFERROR(_xlfn.XLOOKUP(G38,TabConsolid[AAPL2],TabConsolid[AAPL1]),"")</f>
        <v>0</v>
      </c>
    </row>
    <row r="39" spans="1:292" x14ac:dyDescent="0.3">
      <c r="C39" s="173" cm="1">
        <f t="array" ref="C39:C51">_xlfn._xlws.FILTER(TabConsolid[AAPL1], TabConsolid[AAPL1] &lt;&gt; 0)</f>
        <v>9.9999999999999995E-7</v>
      </c>
      <c r="D39" s="173" cm="1">
        <f t="array" ref="D39:D51">_xlfn._xlws.FILTER(TabConsolid[AAPL2], TabConsolid[AAPL2] &lt;&gt; 0)</f>
        <v>-203.31403796296294</v>
      </c>
      <c r="F39" s="23"/>
      <c r="FT39" s="21" t="s">
        <v>219</v>
      </c>
      <c r="FU39">
        <v>-14</v>
      </c>
      <c r="FV39" t="b">
        <f>ISNUMBER(FU39)</f>
        <v>1</v>
      </c>
    </row>
    <row r="40" spans="1:292" x14ac:dyDescent="0.3">
      <c r="C40" s="23">
        <v>900</v>
      </c>
      <c r="D40" s="173">
        <v>-107.46</v>
      </c>
      <c r="F40" s="23"/>
      <c r="FS40" t="e">
        <f>MATCH(-14,CHOOSE({1,2}, TabConsolid[MVEENI1], TabConsolid[MVEENI2]),-1)</f>
        <v>#N/A</v>
      </c>
      <c r="FT40" t="s">
        <v>218</v>
      </c>
      <c r="FU40" t="s">
        <v>217</v>
      </c>
      <c r="FV40">
        <f>_xlfn.XMATCH(FT39 &amp; 2, TabConsolid[#Headers])</f>
        <v>175</v>
      </c>
      <c r="FX40" t="e" cm="1">
        <f t="array" ref="FX40">TabConsolid[MVEENI1]      ← should show values</f>
        <v>#NAME?</v>
      </c>
      <c r="FY40">
        <f>_xlfn.XMATCH("MVEENI2", TabConsolid[#Headers])</f>
        <v>175</v>
      </c>
      <c r="GB40">
        <f>_xlfn.XMATCH("MVEENI1", TabConsolid[#Headers])</f>
        <v>174</v>
      </c>
    </row>
    <row r="41" spans="1:292" x14ac:dyDescent="0.3">
      <c r="C41" s="23">
        <v>500</v>
      </c>
      <c r="D41" s="173">
        <v>-195.75</v>
      </c>
      <c r="F41" s="23"/>
      <c r="FS41" t="e">
        <f>MATCH(-14,CHOOSE(#REF!,#REF!,TabConsolid[],TabConsolid[]),-1)</f>
        <v>#REF!</v>
      </c>
      <c r="FT41" cm="1">
        <f t="array" ref="FT41:FU72">CHOOSE({1,2}, TabConsolid[MVEENI1], TabConsolid[MVEENI2])</f>
        <v>9.9999999999999995E-7</v>
      </c>
      <c r="FU41">
        <v>-13.565495</v>
      </c>
      <c r="FX41" s="21" cm="1">
        <f t="array" ref="FX41:FX72">TabConsolid[MVEENI2]</f>
        <v>-13.565495</v>
      </c>
      <c r="GB41">
        <f>_xlfn.XMATCH("MVEENI2", TabConsolid[#Headers])</f>
        <v>175</v>
      </c>
    </row>
    <row r="42" spans="1:292" x14ac:dyDescent="0.3">
      <c r="C42" s="23">
        <v>300</v>
      </c>
      <c r="D42" s="173">
        <v>-196.66</v>
      </c>
      <c r="F42" s="23"/>
      <c r="FT42">
        <v>2000</v>
      </c>
      <c r="FU42">
        <v>-12.59</v>
      </c>
      <c r="FX42">
        <v>-12.59</v>
      </c>
      <c r="GC42" cm="1">
        <f t="array" ref="GC42">INDEX(
  INDEX(TabConsolid[], , _xlfn.XMATCH("MVEENI1", TabConsolid[#Headers])),
  _xlfn.XMATCH(
    MIN(ABS(
      INDEX(TabConsolid[], , _xlfn.XMATCH("MVEENI2", TabConsolid[#Headers])) - FU39
    )),
    ABS(
      INDEX(TabConsolid[], , _xlfn.XMATCH("MVEENI2", TabConsolid[#Headers])) - FU39
    )
  )
)</f>
        <v>4000</v>
      </c>
      <c r="GD42" cm="1">
        <f t="array" ref="GD42">INDEX(
  INDEX(TabConsolid[], , _xlfn.XMATCH("MVEENI1", TabConsolid[#Headers])),
  _xlfn.XMATCH(
    MIN(ABS(
      INDEX(TabConsolid[], , _xlfn.XMATCH("MVEENI2", TabConsolid[#Headers])) - FU39
    )),
    ABS(
      INDEX(TabConsolid[], , _xlfn.XMATCH("MVEENI2", TabConsolid[#Headers])) - FU39
    )
  )
)</f>
        <v>4000</v>
      </c>
    </row>
    <row r="43" spans="1:292" x14ac:dyDescent="0.3">
      <c r="C43" s="23">
        <v>500</v>
      </c>
      <c r="D43" s="173">
        <v>-197.42</v>
      </c>
      <c r="F43" s="23"/>
      <c r="FT43">
        <v>8000</v>
      </c>
      <c r="FU43">
        <v>-12.6593</v>
      </c>
      <c r="FX43">
        <v>-12.6593</v>
      </c>
    </row>
    <row r="44" spans="1:292" x14ac:dyDescent="0.3">
      <c r="C44" s="23">
        <v>300</v>
      </c>
      <c r="D44">
        <v>-200.7</v>
      </c>
      <c r="F44" s="23"/>
      <c r="FT44">
        <v>8000</v>
      </c>
      <c r="FU44">
        <v>-12.96</v>
      </c>
      <c r="FX44">
        <v>-12.96</v>
      </c>
    </row>
    <row r="45" spans="1:292" x14ac:dyDescent="0.3">
      <c r="C45" s="23">
        <v>3000</v>
      </c>
      <c r="D45">
        <v>-201.75086999999999</v>
      </c>
      <c r="F45" s="23"/>
      <c r="FT45">
        <v>4000</v>
      </c>
      <c r="FU45">
        <v>-13.53</v>
      </c>
      <c r="FX45">
        <v>-13.53</v>
      </c>
    </row>
    <row r="46" spans="1:292" x14ac:dyDescent="0.3">
      <c r="C46" s="23">
        <v>1000</v>
      </c>
      <c r="D46">
        <v>-206.73</v>
      </c>
      <c r="F46" s="23"/>
      <c r="FT46">
        <v>4000</v>
      </c>
      <c r="FU46">
        <v>-13.9285</v>
      </c>
      <c r="FX46">
        <v>-13.9285</v>
      </c>
    </row>
    <row r="47" spans="1:292" x14ac:dyDescent="0.3">
      <c r="C47" s="23">
        <v>500</v>
      </c>
      <c r="D47">
        <v>-220.36</v>
      </c>
      <c r="F47" s="23"/>
      <c r="FT47">
        <v>8000</v>
      </c>
      <c r="FU47">
        <v>-14.09</v>
      </c>
      <c r="FX47">
        <v>-14.09</v>
      </c>
    </row>
    <row r="48" spans="1:292" x14ac:dyDescent="0.3">
      <c r="C48" s="23">
        <v>3000</v>
      </c>
      <c r="D48">
        <v>-224.34</v>
      </c>
      <c r="F48" s="23"/>
      <c r="FT48">
        <v>2000</v>
      </c>
      <c r="FU48">
        <v>-14.543699999999999</v>
      </c>
      <c r="FX48">
        <v>-14.543699999999999</v>
      </c>
    </row>
    <row r="49" spans="3:180" x14ac:dyDescent="0.3">
      <c r="C49" s="23">
        <v>300</v>
      </c>
      <c r="D49">
        <v>-230.7</v>
      </c>
      <c r="F49" s="23"/>
      <c r="FT49">
        <v>2000</v>
      </c>
      <c r="FU49">
        <v>-14.754</v>
      </c>
      <c r="FX49">
        <v>-14.754</v>
      </c>
    </row>
    <row r="50" spans="3:180" x14ac:dyDescent="0.3">
      <c r="C50" s="23">
        <v>200</v>
      </c>
      <c r="D50">
        <v>-233.95</v>
      </c>
      <c r="F50" s="23"/>
      <c r="FT50">
        <v>2000</v>
      </c>
      <c r="FU50">
        <v>-15.592599999999999</v>
      </c>
      <c r="FX50">
        <v>-15.592599999999999</v>
      </c>
    </row>
    <row r="51" spans="3:180" x14ac:dyDescent="0.3">
      <c r="C51" s="23">
        <v>300</v>
      </c>
      <c r="D51">
        <v>-240.34</v>
      </c>
      <c r="F51" s="23"/>
      <c r="FT51">
        <v>0</v>
      </c>
      <c r="FU51">
        <v>0</v>
      </c>
      <c r="FX51">
        <v>0</v>
      </c>
    </row>
    <row r="52" spans="3:180" x14ac:dyDescent="0.3">
      <c r="C52" s="23"/>
      <c r="F52" s="23"/>
      <c r="FT52">
        <v>0</v>
      </c>
      <c r="FU52">
        <v>0</v>
      </c>
      <c r="FX52">
        <v>0</v>
      </c>
    </row>
    <row r="53" spans="3:180" x14ac:dyDescent="0.3">
      <c r="C53" s="23"/>
      <c r="F53" s="23"/>
      <c r="FT53">
        <v>0</v>
      </c>
      <c r="FU53">
        <v>0</v>
      </c>
      <c r="FX53">
        <v>0</v>
      </c>
    </row>
    <row r="54" spans="3:180" x14ac:dyDescent="0.3">
      <c r="C54" s="23"/>
      <c r="F54" s="23"/>
      <c r="FT54">
        <v>0</v>
      </c>
      <c r="FU54">
        <v>0</v>
      </c>
      <c r="FX54">
        <v>0</v>
      </c>
    </row>
    <row r="55" spans="3:180" x14ac:dyDescent="0.3">
      <c r="C55" s="23"/>
      <c r="F55" s="23"/>
      <c r="FT55">
        <v>0</v>
      </c>
      <c r="FU55">
        <v>0</v>
      </c>
      <c r="FX55">
        <v>0</v>
      </c>
    </row>
    <row r="56" spans="3:180" x14ac:dyDescent="0.3">
      <c r="FT56">
        <v>0</v>
      </c>
      <c r="FU56">
        <v>0</v>
      </c>
      <c r="FX56">
        <v>0</v>
      </c>
    </row>
    <row r="57" spans="3:180" x14ac:dyDescent="0.3">
      <c r="FT57">
        <v>0</v>
      </c>
      <c r="FU57">
        <v>0</v>
      </c>
      <c r="FX57">
        <v>0</v>
      </c>
    </row>
    <row r="58" spans="3:180" x14ac:dyDescent="0.3">
      <c r="FT58">
        <v>0</v>
      </c>
      <c r="FU58">
        <v>0</v>
      </c>
      <c r="FX58">
        <v>0</v>
      </c>
    </row>
    <row r="59" spans="3:180" x14ac:dyDescent="0.3">
      <c r="FT59">
        <v>0</v>
      </c>
      <c r="FU59">
        <v>0</v>
      </c>
      <c r="FX59">
        <v>0</v>
      </c>
    </row>
    <row r="60" spans="3:180" x14ac:dyDescent="0.3">
      <c r="FT60">
        <v>0</v>
      </c>
      <c r="FU60">
        <v>0</v>
      </c>
      <c r="FX60">
        <v>0</v>
      </c>
    </row>
    <row r="61" spans="3:180" x14ac:dyDescent="0.3">
      <c r="FT61">
        <v>0</v>
      </c>
      <c r="FU61">
        <v>0</v>
      </c>
      <c r="FX61">
        <v>0</v>
      </c>
    </row>
    <row r="62" spans="3:180" x14ac:dyDescent="0.3">
      <c r="FT62">
        <v>0</v>
      </c>
      <c r="FU62">
        <v>0</v>
      </c>
      <c r="FX62">
        <v>0</v>
      </c>
    </row>
    <row r="63" spans="3:180" x14ac:dyDescent="0.3">
      <c r="FT63">
        <v>0</v>
      </c>
      <c r="FU63">
        <v>0</v>
      </c>
      <c r="FX63">
        <v>0</v>
      </c>
    </row>
    <row r="64" spans="3:180" x14ac:dyDescent="0.3">
      <c r="FT64">
        <v>0</v>
      </c>
      <c r="FU64">
        <v>0</v>
      </c>
      <c r="FX64">
        <v>0</v>
      </c>
    </row>
    <row r="65" spans="176:180" x14ac:dyDescent="0.3">
      <c r="FT65">
        <v>0</v>
      </c>
      <c r="FU65">
        <v>0</v>
      </c>
      <c r="FX65">
        <v>0</v>
      </c>
    </row>
    <row r="66" spans="176:180" x14ac:dyDescent="0.3">
      <c r="FT66">
        <v>0</v>
      </c>
      <c r="FU66">
        <v>0</v>
      </c>
      <c r="FX66">
        <v>0</v>
      </c>
    </row>
    <row r="67" spans="176:180" x14ac:dyDescent="0.3">
      <c r="FT67">
        <v>0</v>
      </c>
      <c r="FU67">
        <v>0</v>
      </c>
      <c r="FX67">
        <v>0</v>
      </c>
    </row>
    <row r="68" spans="176:180" x14ac:dyDescent="0.3">
      <c r="FT68">
        <v>0</v>
      </c>
      <c r="FU68">
        <v>0</v>
      </c>
      <c r="FX68">
        <v>0</v>
      </c>
    </row>
    <row r="69" spans="176:180" x14ac:dyDescent="0.3">
      <c r="FT69">
        <v>0</v>
      </c>
      <c r="FU69">
        <v>0</v>
      </c>
      <c r="FX69">
        <v>0</v>
      </c>
    </row>
    <row r="70" spans="176:180" x14ac:dyDescent="0.3">
      <c r="FT70">
        <v>0</v>
      </c>
      <c r="FU70">
        <v>0</v>
      </c>
      <c r="FX70">
        <v>0</v>
      </c>
    </row>
    <row r="71" spans="176:180" x14ac:dyDescent="0.3">
      <c r="FT71">
        <v>0</v>
      </c>
      <c r="FU71">
        <v>0</v>
      </c>
      <c r="FX71">
        <v>0</v>
      </c>
    </row>
    <row r="72" spans="176:180" x14ac:dyDescent="0.3">
      <c r="FT72">
        <v>0</v>
      </c>
      <c r="FU72">
        <v>0</v>
      </c>
      <c r="FX72">
        <v>0</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13</vt:i4>
      </vt:variant>
    </vt:vector>
  </HeadingPairs>
  <TitlesOfParts>
    <vt:vector size="17" baseType="lpstr">
      <vt:lpstr>ExtEntry</vt:lpstr>
      <vt:lpstr>Timing</vt:lpstr>
      <vt:lpstr>MSG</vt:lpstr>
      <vt:lpstr>Consolid</vt:lpstr>
      <vt:lpstr>ActTime</vt:lpstr>
      <vt:lpstr>CET</vt:lpstr>
      <vt:lpstr>CETZoneShift</vt:lpstr>
      <vt:lpstr>LastTradeTimeEOAN</vt:lpstr>
      <vt:lpstr>M_Price</vt:lpstr>
      <vt:lpstr>MatchFromTable</vt:lpstr>
      <vt:lpstr>NONWORKINGDAYCRITERIA</vt:lpstr>
      <vt:lpstr>OpenPost</vt:lpstr>
      <vt:lpstr>OpenPre</vt:lpstr>
      <vt:lpstr>OpenTrade</vt:lpstr>
      <vt:lpstr>SummerTimeShift</vt:lpstr>
      <vt:lpstr>TabRev</vt:lpstr>
      <vt:lpstr>ValidNames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2025-09-23T20:17:59Z</dcterms:modified>
  <cp:category/>
</cp:coreProperties>
</file>