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B09FA846-8873-AD46-92F2-7479FDFCC615}" xr6:coauthVersionLast="47" xr6:coauthVersionMax="47" xr10:uidLastSave="{00000000-0000-0000-0000-000000000000}"/>
  <bookViews>
    <workbookView xWindow="0" yWindow="760" windowWidth="30240" windowHeight="17580" xr2:uid="{A82D0DB8-8028-8749-AD8E-3907692F5E1B}"/>
  </bookViews>
  <sheets>
    <sheet name="ExtEntry" sheetId="1" r:id="rId1"/>
    <sheet name="Timing" sheetId="2" r:id="rId2"/>
  </sheets>
  <externalReferences>
    <externalReference r:id="rId3"/>
  </externalReferences>
  <definedNames>
    <definedName name="_xleta.TODAY" hidden="1" xlm="1">#NAME?</definedName>
    <definedName name="_xlpm._" hidden="1" xlm="1">#NAME?</definedName>
    <definedName name="_xlpm.d" hidden="1" xlm="1">#NAME?</definedName>
    <definedName name="_xlpm.kept" hidden="1" xlm="1">#NAME?</definedName>
    <definedName name="_xlpm.n" hidden="1" xlm="1">#NAME?</definedName>
    <definedName name="_xlpm.New1YT" hidden="1" xlm="1">#NAME?</definedName>
    <definedName name="_xlpm.next" hidden="1" xlm="1">#NAME?</definedName>
    <definedName name="_xlpm.Old1YT" hidden="1" xlm="1">#NAME?</definedName>
    <definedName name="_xlpm.P" hidden="1" xlm="1">#NAME?</definedName>
    <definedName name="_xlpm.Pr" hidden="1" xlm="1">#NAME?</definedName>
    <definedName name="_xlpm.Pre" hidden="1" xlm="1">#NAME?</definedName>
    <definedName name="_xlpm.r" hidden="1" xlm="1">#NAME?</definedName>
    <definedName name="_xlpm.sorted" hidden="1" xlm="1">#NAME?</definedName>
    <definedName name="_xlpm.T" hidden="1" xlm="1">#NAME?</definedName>
    <definedName name="_xlpm.Ti" hidden="1" xlm="1">#NAME?</definedName>
    <definedName name="_xlpm.Tic" hidden="1" xlm="1">#NAME?</definedName>
    <definedName name="_xlpm.Tick" hidden="1" xlm="1">#NAME?</definedName>
    <definedName name="_xlpm.v" hidden="1" xlm="1">#NAME?</definedName>
    <definedName name="_xlpm.v0" hidden="1" xlm="1">#NAME?</definedName>
    <definedName name="AActTime">#REF!</definedName>
    <definedName name="AccountMVE">#REF!</definedName>
    <definedName name="Acct2">#REF!</definedName>
    <definedName name="ACET">#REF!</definedName>
    <definedName name="ACETZoneShift">#REF!</definedName>
    <definedName name="ActTime">Timing!$B$6</definedName>
    <definedName name="ACurrencyList">#REF!</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CET">Timing!$B$7</definedName>
    <definedName name="CETZoneShift">Timing!$B$3</definedName>
    <definedName name="ChartTicker">#REF!</definedName>
    <definedName name="CurrencyList">#REF!</definedName>
    <definedName name="DATAWATCH">#REF!</definedName>
    <definedName name="Eff.Price">#REF!</definedName>
    <definedName name="LastTradeHeader">#REF!</definedName>
    <definedName name="LastTradeTimeEOAN">Timing!$D$7</definedName>
    <definedName name="NONWORKINGDAYCRITERIA">Timing!$D$8</definedName>
    <definedName name="OpenPost">Timing!$G$22</definedName>
    <definedName name="OpenPre">Timing!$E$22</definedName>
    <definedName name="OpenTrade">Timing!$F$22</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RegArray">#REF!</definedName>
    <definedName name="SummerTimeShift">Timing!$D$3</definedName>
    <definedName name="TickerList">#REF!</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YY">#REF!</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3" i="1" l="1"/>
  <c r="AF4" i="1"/>
  <c r="AF5" i="1"/>
  <c r="AF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8" i="1"/>
  <c r="AF60"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5" i="1"/>
  <c r="AB61" i="1" l="1"/>
  <c r="AC61" i="1"/>
  <c r="AD61" i="1"/>
  <c r="AF61" i="1" s="1"/>
  <c r="X61" i="1"/>
  <c r="AA39" i="1" l="1"/>
  <c r="C105" i="1" l="1" a="1"/>
  <c r="C105" i="1" s="1"/>
  <c r="B105" i="1" l="1" a="1"/>
  <c r="B105" i="1" s="1"/>
  <c r="D105" i="1" s="1"/>
  <c r="Z62" i="1" l="1"/>
  <c r="AB62" i="1"/>
  <c r="AC62" i="1"/>
  <c r="AD62" i="1"/>
  <c r="X62" i="1"/>
  <c r="AB59" i="1"/>
  <c r="AC59" i="1"/>
  <c r="AD59" i="1"/>
  <c r="AF59" i="1" s="1"/>
  <c r="X59" i="1"/>
  <c r="AB94" i="1" l="1"/>
  <c r="AC94" i="1"/>
  <c r="AD94" i="1"/>
  <c r="AF94" i="1" s="1"/>
  <c r="X94" i="1"/>
  <c r="AB57" i="1" l="1"/>
  <c r="AC57" i="1"/>
  <c r="AD57" i="1"/>
  <c r="AF57" i="1" s="1"/>
  <c r="X57" i="1"/>
  <c r="AE17" i="1" l="1"/>
  <c r="AE57" i="1" s="1"/>
  <c r="AE5" i="1" l="1"/>
  <c r="AE12" i="1"/>
  <c r="AE20" i="1"/>
  <c r="AE23" i="1"/>
  <c r="AE39" i="1"/>
  <c r="AE45" i="1"/>
  <c r="AE50" i="1"/>
  <c r="AE62" i="1"/>
  <c r="AE75" i="1"/>
  <c r="AE76" i="1"/>
  <c r="AE77" i="1"/>
  <c r="AE78" i="1"/>
  <c r="AE81" i="1"/>
  <c r="AE86" i="1"/>
  <c r="AE89" i="1"/>
  <c r="AE90" i="1"/>
  <c r="AE91" i="1"/>
  <c r="AE94" i="1"/>
  <c r="X4" i="1" l="1"/>
  <c r="Y4" i="1"/>
  <c r="Z4" i="1"/>
  <c r="AA4" i="1"/>
  <c r="Y5" i="1"/>
  <c r="Z5" i="1"/>
  <c r="AA5" i="1"/>
  <c r="X6" i="1"/>
  <c r="Y6" i="1"/>
  <c r="Z6" i="1"/>
  <c r="AA6" i="1"/>
  <c r="X7" i="1"/>
  <c r="Y7" i="1"/>
  <c r="Z7" i="1"/>
  <c r="AA7" i="1"/>
  <c r="X8" i="1"/>
  <c r="Y8" i="1"/>
  <c r="Z8" i="1"/>
  <c r="AA8" i="1"/>
  <c r="X9" i="1"/>
  <c r="Y9" i="1"/>
  <c r="Z9" i="1"/>
  <c r="AA9" i="1"/>
  <c r="X10" i="1"/>
  <c r="Y10" i="1"/>
  <c r="Z10" i="1"/>
  <c r="AA10" i="1"/>
  <c r="X11" i="1"/>
  <c r="Y11" i="1"/>
  <c r="Z11" i="1"/>
  <c r="AA11" i="1"/>
  <c r="Y12" i="1"/>
  <c r="Z12" i="1"/>
  <c r="AA12" i="1"/>
  <c r="X13" i="1"/>
  <c r="Y13" i="1"/>
  <c r="Z13" i="1"/>
  <c r="AA13" i="1"/>
  <c r="X14" i="1"/>
  <c r="Y14" i="1"/>
  <c r="Z14" i="1"/>
  <c r="AA14" i="1"/>
  <c r="X15" i="1"/>
  <c r="Y15" i="1"/>
  <c r="Z15" i="1"/>
  <c r="AA15" i="1"/>
  <c r="X16" i="1"/>
  <c r="Y16" i="1"/>
  <c r="Z16" i="1"/>
  <c r="AA16" i="1"/>
  <c r="Y17" i="1"/>
  <c r="Y57" i="1" s="1"/>
  <c r="Z17" i="1"/>
  <c r="Z57" i="1" s="1"/>
  <c r="AA17" i="1"/>
  <c r="AA57" i="1" s="1"/>
  <c r="X18" i="1"/>
  <c r="Y18" i="1"/>
  <c r="Z18" i="1"/>
  <c r="AA18" i="1"/>
  <c r="X19" i="1"/>
  <c r="Y19" i="1"/>
  <c r="Z19" i="1"/>
  <c r="AA19" i="1"/>
  <c r="Y20" i="1"/>
  <c r="Y94" i="1" s="1"/>
  <c r="Z20" i="1"/>
  <c r="Z94" i="1" s="1"/>
  <c r="AA20" i="1"/>
  <c r="AA94" i="1" s="1"/>
  <c r="X21" i="1"/>
  <c r="Y21" i="1"/>
  <c r="Z21" i="1"/>
  <c r="AA21" i="1"/>
  <c r="X22" i="1"/>
  <c r="Y22" i="1"/>
  <c r="Z22" i="1"/>
  <c r="AA22" i="1"/>
  <c r="Y23" i="1"/>
  <c r="Z23" i="1"/>
  <c r="AA23" i="1"/>
  <c r="X24" i="1"/>
  <c r="Y24" i="1"/>
  <c r="Z24" i="1"/>
  <c r="AA24" i="1"/>
  <c r="X25" i="1"/>
  <c r="Y25" i="1"/>
  <c r="Z25" i="1"/>
  <c r="AA25" i="1"/>
  <c r="X26" i="1"/>
  <c r="Y26" i="1"/>
  <c r="Z26" i="1"/>
  <c r="AA26" i="1"/>
  <c r="X27" i="1"/>
  <c r="Y27" i="1"/>
  <c r="Z27" i="1"/>
  <c r="AA27" i="1"/>
  <c r="X28" i="1"/>
  <c r="Y28" i="1"/>
  <c r="Z28" i="1"/>
  <c r="AA28" i="1"/>
  <c r="X29" i="1"/>
  <c r="Y29" i="1"/>
  <c r="Z29" i="1"/>
  <c r="AA29" i="1"/>
  <c r="X30" i="1"/>
  <c r="Y30" i="1"/>
  <c r="Z30" i="1"/>
  <c r="AA30" i="1"/>
  <c r="X31" i="1"/>
  <c r="Y31" i="1"/>
  <c r="Z31" i="1"/>
  <c r="AA31" i="1"/>
  <c r="X32" i="1"/>
  <c r="Y32" i="1"/>
  <c r="Z32" i="1"/>
  <c r="AA32" i="1"/>
  <c r="X33" i="1"/>
  <c r="Y33" i="1"/>
  <c r="Z33" i="1"/>
  <c r="AA33" i="1"/>
  <c r="Y34" i="1"/>
  <c r="AA34" i="1"/>
  <c r="X35" i="1"/>
  <c r="Y35" i="1"/>
  <c r="Z35" i="1"/>
  <c r="AA35" i="1"/>
  <c r="X36" i="1"/>
  <c r="Y36" i="1"/>
  <c r="Z36" i="1"/>
  <c r="AA36" i="1"/>
  <c r="X37" i="1"/>
  <c r="Y37" i="1"/>
  <c r="Z37" i="1"/>
  <c r="AA37" i="1"/>
  <c r="X38" i="1"/>
  <c r="Y38" i="1"/>
  <c r="Z38" i="1"/>
  <c r="AA38" i="1"/>
  <c r="Y39" i="1"/>
  <c r="Z39" i="1"/>
  <c r="X40" i="1"/>
  <c r="Y40" i="1"/>
  <c r="Z40" i="1"/>
  <c r="AA40" i="1"/>
  <c r="X41" i="1"/>
  <c r="Y41" i="1"/>
  <c r="Z41" i="1"/>
  <c r="AA41" i="1"/>
  <c r="X42" i="1"/>
  <c r="Y42" i="1"/>
  <c r="Z42" i="1"/>
  <c r="AA42" i="1"/>
  <c r="X43" i="1"/>
  <c r="Y43" i="1"/>
  <c r="Z43" i="1"/>
  <c r="AA43" i="1"/>
  <c r="X44" i="1"/>
  <c r="Y44" i="1"/>
  <c r="Z44" i="1"/>
  <c r="AA44" i="1"/>
  <c r="Y45" i="1"/>
  <c r="Z45" i="1"/>
  <c r="AA45" i="1"/>
  <c r="X46" i="1"/>
  <c r="Y46" i="1"/>
  <c r="Z46" i="1"/>
  <c r="AA46" i="1"/>
  <c r="X47" i="1"/>
  <c r="Y47" i="1"/>
  <c r="Z47" i="1"/>
  <c r="AA47" i="1"/>
  <c r="X48" i="1"/>
  <c r="Y48" i="1"/>
  <c r="Z48" i="1"/>
  <c r="AA48" i="1"/>
  <c r="X49" i="1"/>
  <c r="Y49" i="1"/>
  <c r="Z49" i="1"/>
  <c r="AA49" i="1"/>
  <c r="Y50" i="1"/>
  <c r="Z50" i="1"/>
  <c r="AA50" i="1"/>
  <c r="X51" i="1"/>
  <c r="Y51" i="1"/>
  <c r="Z51" i="1"/>
  <c r="AA51" i="1"/>
  <c r="X52" i="1"/>
  <c r="Y52" i="1"/>
  <c r="Z52" i="1"/>
  <c r="AA52" i="1"/>
  <c r="X53" i="1"/>
  <c r="Y53" i="1"/>
  <c r="Z53" i="1"/>
  <c r="AA53" i="1"/>
  <c r="X54" i="1"/>
  <c r="Y54" i="1"/>
  <c r="Z54" i="1"/>
  <c r="AA54" i="1"/>
  <c r="X55" i="1"/>
  <c r="Y55" i="1"/>
  <c r="Z55" i="1"/>
  <c r="AA55" i="1"/>
  <c r="X56" i="1"/>
  <c r="Y56" i="1"/>
  <c r="Z56" i="1"/>
  <c r="AA56" i="1"/>
  <c r="X58" i="1"/>
  <c r="Y58" i="1"/>
  <c r="Z58" i="1"/>
  <c r="AA58" i="1"/>
  <c r="X60" i="1"/>
  <c r="Y60" i="1"/>
  <c r="Z60" i="1"/>
  <c r="AA60" i="1"/>
  <c r="X63" i="1"/>
  <c r="Y63" i="1"/>
  <c r="Z63" i="1"/>
  <c r="AA63" i="1"/>
  <c r="X64" i="1"/>
  <c r="Y64" i="1"/>
  <c r="Z64" i="1"/>
  <c r="AA64" i="1"/>
  <c r="X65" i="1"/>
  <c r="Y65" i="1"/>
  <c r="Z65" i="1"/>
  <c r="AA65" i="1"/>
  <c r="X66" i="1"/>
  <c r="Y66" i="1"/>
  <c r="Z66" i="1"/>
  <c r="AA66" i="1"/>
  <c r="X67" i="1"/>
  <c r="Y67" i="1"/>
  <c r="Z67" i="1"/>
  <c r="AA67" i="1"/>
  <c r="X68" i="1"/>
  <c r="Y68" i="1"/>
  <c r="Z68" i="1"/>
  <c r="AA68" i="1"/>
  <c r="X69" i="1"/>
  <c r="Y69" i="1"/>
  <c r="Z69" i="1"/>
  <c r="AA69" i="1"/>
  <c r="X70" i="1"/>
  <c r="Y70" i="1"/>
  <c r="Z70" i="1"/>
  <c r="AA70" i="1"/>
  <c r="X71" i="1"/>
  <c r="Y71" i="1"/>
  <c r="Z71" i="1"/>
  <c r="AA71" i="1"/>
  <c r="X72" i="1"/>
  <c r="Y72" i="1"/>
  <c r="Z72" i="1"/>
  <c r="AA72" i="1"/>
  <c r="X73" i="1"/>
  <c r="Y73" i="1"/>
  <c r="Z73" i="1"/>
  <c r="AA73" i="1"/>
  <c r="Y74" i="1"/>
  <c r="Z74" i="1"/>
  <c r="AA74" i="1"/>
  <c r="Y75" i="1"/>
  <c r="Y59" i="1" s="1"/>
  <c r="Z75" i="1"/>
  <c r="Z59" i="1" s="1"/>
  <c r="AA75" i="1"/>
  <c r="AA59" i="1" s="1"/>
  <c r="Y76" i="1"/>
  <c r="Z76" i="1"/>
  <c r="AA76" i="1"/>
  <c r="Y77" i="1"/>
  <c r="Z77" i="1"/>
  <c r="AA77" i="1"/>
  <c r="Y78" i="1"/>
  <c r="Y61" i="1" s="1"/>
  <c r="Z78" i="1"/>
  <c r="Z61" i="1" s="1"/>
  <c r="AA78" i="1"/>
  <c r="AA61" i="1" s="1"/>
  <c r="X79" i="1"/>
  <c r="Y79" i="1"/>
  <c r="Z79" i="1"/>
  <c r="AA79" i="1"/>
  <c r="X80" i="1"/>
  <c r="Y80" i="1"/>
  <c r="Z80" i="1"/>
  <c r="AA80" i="1"/>
  <c r="Y81" i="1"/>
  <c r="Z81" i="1"/>
  <c r="AA81" i="1"/>
  <c r="X82" i="1"/>
  <c r="Y82" i="1"/>
  <c r="Z82" i="1"/>
  <c r="AA82" i="1"/>
  <c r="X83" i="1"/>
  <c r="Y83" i="1"/>
  <c r="Z83" i="1"/>
  <c r="AA83" i="1"/>
  <c r="X84" i="1"/>
  <c r="Y84" i="1"/>
  <c r="Z84" i="1"/>
  <c r="AA84" i="1"/>
  <c r="X85" i="1"/>
  <c r="Y85" i="1"/>
  <c r="Z85" i="1"/>
  <c r="AA85" i="1"/>
  <c r="Y86" i="1"/>
  <c r="Y62" i="1" s="1"/>
  <c r="AA86" i="1"/>
  <c r="AA62" i="1" s="1"/>
  <c r="X87" i="1"/>
  <c r="Y87" i="1"/>
  <c r="Z87" i="1"/>
  <c r="AA87" i="1"/>
  <c r="X88" i="1"/>
  <c r="Y88" i="1"/>
  <c r="Z88" i="1"/>
  <c r="AA88" i="1"/>
  <c r="Y89" i="1"/>
  <c r="Z89" i="1"/>
  <c r="AA89" i="1"/>
  <c r="Y90" i="1"/>
  <c r="Z90" i="1"/>
  <c r="AA90" i="1"/>
  <c r="Y91" i="1"/>
  <c r="Z91" i="1"/>
  <c r="AA91" i="1"/>
  <c r="X92" i="1"/>
  <c r="Y92" i="1"/>
  <c r="Z92" i="1"/>
  <c r="AA92" i="1"/>
  <c r="X93" i="1"/>
  <c r="Y93" i="1"/>
  <c r="Z93" i="1"/>
  <c r="AA93" i="1"/>
  <c r="X95" i="1"/>
  <c r="Y95" i="1"/>
  <c r="Z95" i="1"/>
  <c r="AA95" i="1"/>
  <c r="X3" i="1"/>
  <c r="Y3" i="1"/>
  <c r="Z3" i="1"/>
  <c r="AA3" i="1"/>
  <c r="AE85" i="1" l="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95"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4" i="1" l="1" a="1"/>
  <c r="B104" i="1" s="1"/>
  <c r="D104" i="1" s="1"/>
  <c r="C104" i="1" a="1"/>
  <c r="C104" i="1" s="1"/>
  <c r="F110" i="1" l="1" a="1"/>
  <c r="F110" i="1" s="1"/>
  <c r="E110" i="1" a="1"/>
  <c r="E110" i="1" s="1"/>
  <c r="D111" i="1" a="1"/>
  <c r="D111" i="1" s="1"/>
  <c r="D110" i="1" a="1"/>
  <c r="D110" i="1" s="1"/>
  <c r="F108" i="1" a="1"/>
  <c r="F108" i="1" s="1"/>
  <c r="E108" i="1" a="1"/>
  <c r="E108" i="1" s="1"/>
  <c r="D109" i="1" a="1"/>
  <c r="D109" i="1" s="1"/>
  <c r="F107" i="1" a="1"/>
  <c r="F107" i="1" s="1"/>
  <c r="E107" i="1" a="1"/>
  <c r="E107" i="1" s="1"/>
  <c r="D108" i="1" a="1"/>
  <c r="D108" i="1" s="1"/>
  <c r="A4" i="1" l="1" a="1"/>
  <c r="A4" i="1" s="1"/>
  <c r="A94" i="1" l="1" a="1"/>
  <c r="A94" i="1" s="1"/>
  <c r="A58" i="1" a="1"/>
  <c r="A58" i="1" s="1"/>
  <c r="M44" i="1" a="1"/>
  <c r="M44" i="1" s="1"/>
  <c r="K3" i="1" a="1"/>
  <c r="K3" i="1" s="1"/>
  <c r="F24" i="2"/>
  <c r="E24" i="2"/>
  <c r="G22" i="2"/>
  <c r="G24" i="2" s="1"/>
  <c r="G25" i="2" s="1"/>
  <c r="F22" i="2"/>
  <c r="F25" i="2" s="1"/>
  <c r="E22" i="2"/>
  <c r="H20" i="2"/>
  <c r="H21" i="2" s="1"/>
  <c r="D17" i="2"/>
  <c r="D13" i="2"/>
  <c r="D11" i="2"/>
  <c r="B7" i="2"/>
  <c r="B8" i="2" s="1"/>
  <c r="G6" i="2"/>
  <c r="F6" i="2"/>
  <c r="B6" i="2"/>
  <c r="F16" i="2" s="1"/>
  <c r="G5" i="2"/>
  <c r="B5" i="2"/>
  <c r="B4" i="2"/>
  <c r="E25" i="2" l="1"/>
  <c r="D12" i="2"/>
  <c r="D18" i="2" s="1"/>
  <c r="D20" i="2"/>
  <c r="E23" i="2"/>
  <c r="F23" i="2"/>
  <c r="G23" i="2"/>
  <c r="F21" i="2"/>
  <c r="B21" i="2" l="1"/>
  <c r="D21" i="2"/>
  <c r="G27" i="2"/>
  <c r="G26" i="2"/>
  <c r="E27" i="2"/>
  <c r="E26" i="2"/>
  <c r="F27" i="2"/>
  <c r="F26" i="2"/>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C98" i="1" a="1"/>
  <c r="C98" i="1" s="1"/>
  <c r="B98" i="1" a="1"/>
  <c r="B98"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94" i="1" a="1"/>
  <c r="U94" i="1" s="1"/>
  <c r="R94" i="1" a="1"/>
  <c r="R94" i="1" s="1"/>
  <c r="Q94" i="1" a="1"/>
  <c r="Q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D101" i="1" l="1"/>
  <c r="D102" i="1"/>
  <c r="B37" i="1" s="1"/>
  <c r="D103" i="1"/>
  <c r="D98" i="1"/>
  <c r="B42" i="1" s="1"/>
  <c r="D99" i="1"/>
  <c r="B50" i="1" s="1"/>
  <c r="D100" i="1"/>
  <c r="V79" i="1"/>
  <c r="V10" i="1"/>
  <c r="V72" i="1"/>
  <c r="V78" i="1"/>
  <c r="V73" i="1"/>
  <c r="V22" i="1"/>
  <c r="V35" i="1"/>
  <c r="V9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94" i="1"/>
  <c r="V33" i="1"/>
  <c r="V62" i="1"/>
  <c r="V57" i="1"/>
  <c r="V65" i="1"/>
  <c r="V68" i="1"/>
  <c r="V88" i="1"/>
  <c r="V6" i="1"/>
  <c r="V19" i="1"/>
  <c r="V31" i="1"/>
  <c r="V34" i="1"/>
  <c r="V63" i="1"/>
  <c r="V89" i="1"/>
  <c r="V84" i="1"/>
  <c r="V24" i="1"/>
  <c r="V76" i="1"/>
  <c r="V92" i="1"/>
  <c r="V17" i="1"/>
  <c r="V29" i="1"/>
  <c r="V58" i="1"/>
  <c r="V81" i="1"/>
  <c r="D7" i="2"/>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1" i="1" l="1"/>
  <c r="L96" i="1"/>
  <c r="P96" i="1"/>
  <c r="M96" i="1"/>
  <c r="Q96"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 r="D8" i="2" l="1"/>
  <c r="F29" i="2" l="1"/>
  <c r="F18" i="2"/>
  <c r="F12" i="2"/>
  <c r="D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tc={1C72EA6F-D623-9847-8416-04F702FD2A15}</author>
    <author>tc={D46CC32C-10AF-CD46-836B-7F71BB83075E}</author>
  </authors>
  <commentList>
    <comment ref="D11" authorId="0" shapeId="0" xr:uid="{1C72EA6F-D623-9847-8416-04F702FD2A15}">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D46CC32C-10AF-CD46-836B-7F71BB83075E}">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<sst xmlns="http://schemas.openxmlformats.org/spreadsheetml/2006/main" count="225" uniqueCount="115">
  <si>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</si>
  <si>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</si>
  <si>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</si>
  <si>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</si>
  <si>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</si>
  <si>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</si>
  <si>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</si>
  <si>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</si>
  <si>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</si>
  <si>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</si>
  <si>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</si>
  <si>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</si>
  <si>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</si>
  <si>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</si>
  <si>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</si>
  <si>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</si>
  <si>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</si>
  <si>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</si>
  <si>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</si>
  <si>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</si>
  <si>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</si>
  <si>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</si>
  <si>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</si>
  <si>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</si>
  <si>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</si>
  <si>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</si>
  <si>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</si>
  <si>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</si>
  <si>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</si>
  <si>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</si>
  <si>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</si>
  <si>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</si>
  <si>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BNP</t>
  </si>
  <si>
    <t>1/RT</t>
  </si>
  <si>
    <t>1YT</t>
  </si>
  <si>
    <t>Ddate</t>
  </si>
  <si>
    <t>RepDiv</t>
  </si>
  <si>
    <t>SUMMER TIME SHIFT</t>
  </si>
  <si>
    <t>ZoneSHIFT</t>
  </si>
  <si>
    <t>Now (local time)</t>
  </si>
  <si>
    <t>Today (local date)</t>
  </si>
  <si>
    <t>LOCAL</t>
  </si>
  <si>
    <t>ACTTIME: now-today (local time)</t>
  </si>
  <si>
    <t>Last trade EOAN</t>
  </si>
  <si>
    <t>Now</t>
  </si>
  <si>
    <t>Current CET (now-today)</t>
  </si>
  <si>
    <t>LAST EOAN TRADE EUROPE (1h delay)</t>
  </si>
  <si>
    <t>GMT</t>
  </si>
  <si>
    <t>now-last trade (Day +1)</t>
  </si>
  <si>
    <t>Today is</t>
  </si>
  <si>
    <t>XLON 8am-16:30</t>
  </si>
  <si>
    <t>Open for trade at 8:00 am GMT</t>
  </si>
  <si>
    <t>Since XLON Opens</t>
  </si>
  <si>
    <t>now-today-9h CET</t>
  </si>
  <si>
    <t>Duration</t>
  </si>
  <si>
    <t>CET</t>
  </si>
  <si>
    <t>XFRA 9am-17:30pm</t>
  </si>
  <si>
    <t>Open for trade at 9am CET</t>
  </si>
  <si>
    <t>Since XFRA Opening</t>
  </si>
  <si>
    <t>Hour value to Post Trade session</t>
  </si>
  <si>
    <t>EST TIME zone</t>
  </si>
  <si>
    <t>Pre Trade</t>
  </si>
  <si>
    <t>Post Trade</t>
  </si>
  <si>
    <t>NYSE 4-9:30am, 9:30-4pm, 4-8pm EST</t>
  </si>
  <si>
    <t>Open for trade at (NYC local time)</t>
  </si>
  <si>
    <t>OPEN CET</t>
  </si>
  <si>
    <t>Since NYSE Session Opens</t>
  </si>
  <si>
    <t>now-today-14:30 -Time Zone Shift</t>
  </si>
  <si>
    <t>Real Time CET</t>
  </si>
  <si>
    <t xml:space="preserve">Length of  </t>
  </si>
  <si>
    <t>Trading sessions durations 5:30, 6:30, 4 h</t>
  </si>
  <si>
    <t>CLOSE CET</t>
  </si>
  <si>
    <t>4-9:30am, 9:30-4pm, 4-8pm</t>
  </si>
  <si>
    <t>DURATION</t>
  </si>
  <si>
    <t>Since NYSE Opening</t>
  </si>
  <si>
    <t>NYSE:</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</si>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</sst>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h:mm;@"/>
    <numFmt numFmtId="179" formatCode="[$-409]mmmm\ d\,\ yyyy;@"/>
    <numFmt numFmtId="180" formatCode="0.0%;[Red]\-0.0%"/>
  </numFmts>
  <fonts count="29"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sz val="16"/>
      <color rgb="FF9C5700"/>
      <name val="Aptos Narrow"/>
      <family val="2"/>
      <scheme val="minor"/>
    </font>
    <font>
      <b/>
      <sz val="16"/>
      <color rgb="FFFA7D00"/>
      <name val="Aptos Narrow"/>
      <family val="2"/>
      <scheme val="minor"/>
    </font>
    <font>
      <b/>
      <sz val="12"/>
      <color rgb="FF000000"/>
      <name val="Calibri"/>
      <family val="2"/>
    </font>
  </fonts>
  <fills count="17">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EB9C"/>
      </patternFill>
    </fill>
    <fill>
      <patternFill patternType="solid">
        <fgColor rgb="FFF2F2F2"/>
      </patternFill>
    </fill>
    <fill>
      <patternFill patternType="solid">
        <fgColor theme="4" tint="0.79998168889431442"/>
        <bgColor rgb="FF000000"/>
      </patternFill>
    </fill>
    <fill>
      <patternFill patternType="solid">
        <fgColor theme="4" tint="0.79998168889431442"/>
        <bgColor indexed="64"/>
      </patternFill>
    </fill>
  </fills>
  <borders count="18">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xf numFmtId="0" fontId="26" fillId="13" borderId="0" applyNumberFormat="0" applyBorder="0" applyAlignment="0" applyProtection="0"/>
    <xf numFmtId="0" fontId="27" fillId="14" borderId="1" applyNumberFormat="0" applyAlignment="0" applyProtection="0"/>
  </cellStyleXfs>
  <cellXfs count="156">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178" fontId="0" fillId="8" borderId="10"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179" fontId="0" fillId="0" borderId="0" xfId="0" applyNumberFormat="1"/>
    <xf numFmtId="0" fontId="0" fillId="0" borderId="11" xfId="0" applyBorder="1" applyAlignment="1">
      <alignment horizontal="center"/>
    </xf>
    <xf numFmtId="18" fontId="0" fillId="0" borderId="0" xfId="0" quotePrefix="1" applyNumberFormat="1"/>
    <xf numFmtId="22" fontId="0" fillId="0" borderId="12"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0" fillId="0" borderId="13" xfId="0" applyBorder="1"/>
    <xf numFmtId="0" fontId="0" fillId="0" borderId="4" xfId="0" applyBorder="1"/>
    <xf numFmtId="22" fontId="0" fillId="0" borderId="4" xfId="0" applyNumberFormat="1" applyBorder="1" applyAlignment="1">
      <alignment horizontal="center"/>
    </xf>
    <xf numFmtId="0" fontId="0" fillId="0" borderId="4" xfId="0" applyBorder="1" applyAlignment="1">
      <alignment horizontal="center"/>
    </xf>
    <xf numFmtId="0" fontId="0" fillId="0" borderId="14" xfId="0" applyBorder="1"/>
    <xf numFmtId="178" fontId="26" fillId="0" borderId="0" xfId="6" quotePrefix="1" applyNumberFormat="1" applyFill="1" applyAlignment="1">
      <alignment horizontal="center"/>
    </xf>
    <xf numFmtId="9" fontId="27" fillId="14" borderId="1" xfId="7" quotePrefix="1" applyNumberFormat="1" applyAlignment="1">
      <alignment horizontal="center"/>
    </xf>
    <xf numFmtId="0" fontId="0" fillId="0" borderId="15" xfId="0" applyBorder="1"/>
    <xf numFmtId="0" fontId="0" fillId="0" borderId="6" xfId="0" applyBorder="1"/>
    <xf numFmtId="18" fontId="0" fillId="0" borderId="6" xfId="0" applyNumberFormat="1"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18" fontId="0" fillId="0" borderId="0" xfId="0" quotePrefix="1" applyNumberFormat="1" applyAlignment="1">
      <alignment horizontal="center"/>
    </xf>
    <xf numFmtId="178" fontId="0" fillId="0" borderId="5" xfId="0" applyNumberFormat="1" applyBorder="1" applyAlignment="1">
      <alignment horizontal="center" vertical="center"/>
    </xf>
    <xf numFmtId="178" fontId="0" fillId="0" borderId="11" xfId="0" applyNumberFormat="1" applyBorder="1" applyAlignment="1">
      <alignment horizontal="center" vertical="center"/>
    </xf>
    <xf numFmtId="0" fontId="0" fillId="0" borderId="15" xfId="0" applyBorder="1" applyAlignment="1">
      <alignment horizontal="right"/>
    </xf>
    <xf numFmtId="0" fontId="0" fillId="10" borderId="17" xfId="0" applyFill="1" applyBorder="1" applyAlignment="1">
      <alignment horizontal="center"/>
    </xf>
    <xf numFmtId="18" fontId="0" fillId="0" borderId="12" xfId="0" applyNumberFormat="1" applyBorder="1" applyAlignment="1">
      <alignment horizontal="center"/>
    </xf>
    <xf numFmtId="22" fontId="0" fillId="0" borderId="4" xfId="0" applyNumberFormat="1" applyBorder="1"/>
    <xf numFmtId="178" fontId="0" fillId="0" borderId="0" xfId="0" quotePrefix="1" applyNumberFormat="1" applyAlignment="1">
      <alignment horizontal="center"/>
    </xf>
    <xf numFmtId="178" fontId="0" fillId="0" borderId="0" xfId="0" applyNumberFormat="1" applyAlignment="1">
      <alignment horizontal="center"/>
    </xf>
    <xf numFmtId="9" fontId="0" fillId="0" borderId="0" xfId="2" applyFont="1" applyAlignment="1">
      <alignment horizontal="center"/>
    </xf>
    <xf numFmtId="178" fontId="0" fillId="0" borderId="0" xfId="0" applyNumberFormat="1"/>
    <xf numFmtId="178" fontId="0" fillId="0" borderId="16" xfId="0" applyNumberFormat="1" applyBorder="1" applyAlignment="1">
      <alignment horizontal="center" vertical="center"/>
    </xf>
    <xf numFmtId="169" fontId="0" fillId="11" borderId="0" xfId="0" applyNumberFormat="1" applyFill="1"/>
    <xf numFmtId="9" fontId="12" fillId="0" borderId="0" xfId="2" applyFont="1" applyAlignment="1">
      <alignment horizontal="left"/>
    </xf>
    <xf numFmtId="9" fontId="15" fillId="0" borderId="0" xfId="2" applyFont="1"/>
    <xf numFmtId="9" fontId="0" fillId="12" borderId="0" xfId="2" applyFont="1" applyFill="1"/>
    <xf numFmtId="9" fontId="0" fillId="11" borderId="0" xfId="2" applyFont="1" applyFill="1"/>
    <xf numFmtId="166" fontId="0" fillId="0" borderId="0" xfId="0" applyNumberFormat="1" applyAlignment="1">
      <alignment horizontal="center"/>
    </xf>
    <xf numFmtId="0" fontId="28"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80" fontId="12" fillId="0" borderId="0" xfId="1" applyNumberFormat="1" applyFont="1" applyFill="1" applyAlignment="1">
      <alignment horizontal="center"/>
    </xf>
    <xf numFmtId="177" fontId="21" fillId="15" borderId="2" xfId="0" applyNumberFormat="1" applyFont="1" applyFill="1" applyBorder="1"/>
    <xf numFmtId="10" fontId="25" fillId="15" borderId="9" xfId="2" applyNumberFormat="1" applyFont="1" applyFill="1" applyBorder="1"/>
    <xf numFmtId="10" fontId="25" fillId="15" borderId="0" xfId="2" applyNumberFormat="1" applyFont="1" applyFill="1" applyBorder="1"/>
    <xf numFmtId="10" fontId="0" fillId="16" borderId="0" xfId="0" applyNumberFormat="1" applyFill="1"/>
    <xf numFmtId="180" fontId="23" fillId="16" borderId="0" xfId="1" applyNumberFormat="1" applyFont="1" applyFill="1"/>
    <xf numFmtId="180" fontId="0" fillId="0" borderId="0" xfId="0" applyNumberFormat="1"/>
    <xf numFmtId="22" fontId="5" fillId="0" borderId="0" xfId="0" applyNumberFormat="1" applyFont="1" applyAlignment="1">
      <alignment horizontal="center"/>
    </xf>
  </cellXfs>
  <cellStyles count="8">
    <cellStyle name="Accent1" xfId="5" builtinId="29"/>
    <cellStyle name="Bad" xfId="3" builtinId="27"/>
    <cellStyle name="Calculation" xfId="7" builtinId="22"/>
    <cellStyle name="Comma" xfId="1" builtinId="3"/>
    <cellStyle name="Input" xfId="4" builtinId="20"/>
    <cellStyle name="Neutral" xfId="6" builtinId="28"/>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80" formatCode="0.0%;[Red]\-0.0%"/>
      <fill>
        <patternFill patternType="solid">
          <fgColor indexed="64"/>
          <bgColor theme="4" tint="0.79998168889431442"/>
        </patternFill>
      </fill>
    </dxf>
    <dxf>
      <numFmt numFmtId="180" formatCode="0.0%;[Red]\-0.0%"/>
    </dxf>
    <dxf>
      <font>
        <color rgb="FF00B050"/>
      </font>
      <numFmt numFmtId="180"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0" formatCode="General"/>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1.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easter/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efreshError="1"/>
      <sheetData sheetId="1">
        <row r="2">
          <cell r="E2">
            <v>235.52553</v>
          </cell>
          <cell r="F2">
            <v>45880</v>
          </cell>
          <cell r="G2" t="str">
            <v>Oct 30, 2025</v>
          </cell>
          <cell r="H2">
            <v>4.3E-3</v>
          </cell>
        </row>
        <row r="3">
          <cell r="E3">
            <v>20.66667</v>
          </cell>
          <cell r="F3">
            <v>45895</v>
          </cell>
          <cell r="G3">
            <v>0</v>
          </cell>
          <cell r="H3">
            <v>1.2999999E-2</v>
          </cell>
        </row>
        <row r="4">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F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F38">
            <v>0</v>
          </cell>
          <cell r="G38" t="str">
            <v>Nov 6, 2025</v>
          </cell>
          <cell r="H38">
            <v>0</v>
          </cell>
        </row>
        <row r="39">
          <cell r="E39">
            <v>42.911110000000001</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7">
          <cell r="E57">
            <v>16.88824</v>
          </cell>
          <cell r="F57">
            <v>45793</v>
          </cell>
          <cell r="G57">
            <v>0</v>
          </cell>
          <cell r="H57">
            <v>3.6199997999999997E-2</v>
          </cell>
        </row>
        <row r="59">
          <cell r="E59">
            <v>0</v>
          </cell>
          <cell r="F59">
            <v>45894</v>
          </cell>
          <cell r="G59" t="str">
            <v>Aug 7, 2025</v>
          </cell>
          <cell r="H59">
            <v>0</v>
          </cell>
        </row>
        <row r="62">
          <cell r="E62">
            <v>42.911110000000001</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F73">
            <v>0</v>
          </cell>
          <cell r="G73" t="str">
            <v>Nov 6, 2025</v>
          </cell>
          <cell r="H73">
            <v>0</v>
          </cell>
        </row>
        <row r="74">
          <cell r="F74">
            <v>45922</v>
          </cell>
          <cell r="G74">
            <v>0</v>
          </cell>
          <cell r="H74">
            <v>7.1100003999999994E-2</v>
          </cell>
        </row>
        <row r="75">
          <cell r="F75">
            <v>45708</v>
          </cell>
          <cell r="G75">
            <v>0</v>
          </cell>
          <cell r="H75">
            <v>2.5799999000000001E-2</v>
          </cell>
        </row>
        <row r="76">
          <cell r="F76">
            <v>45880</v>
          </cell>
          <cell r="G76" t="str">
            <v>Oct 29, 2025</v>
          </cell>
          <cell r="H76">
            <v>5.11E-2</v>
          </cell>
        </row>
        <row r="77">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F85">
            <v>45993</v>
          </cell>
          <cell r="H85">
            <v>5.5E-2</v>
          </cell>
        </row>
        <row r="86">
          <cell r="E86">
            <v>50.652169999999998</v>
          </cell>
          <cell r="F86">
            <v>45910</v>
          </cell>
          <cell r="G86" t="str">
            <v>Aug 6, 2025</v>
          </cell>
          <cell r="H86">
            <v>2.0899999999999998E-2</v>
          </cell>
        </row>
        <row r="87">
          <cell r="E87">
            <v>28.857140000000001</v>
          </cell>
          <cell r="F87">
            <v>45863</v>
          </cell>
          <cell r="G87" t="str">
            <v>Nov 4, 2025</v>
          </cell>
          <cell r="H87">
            <v>6.9099999999999995E-2</v>
          </cell>
        </row>
        <row r="88">
          <cell r="F88">
            <v>42237</v>
          </cell>
          <cell r="G88" t="str">
            <v>Nov 3, 2025</v>
          </cell>
          <cell r="H88">
            <v>0</v>
          </cell>
        </row>
        <row r="89">
          <cell r="F89">
            <v>45912</v>
          </cell>
          <cell r="G89" t="str">
            <v>Oct 21, 2025</v>
          </cell>
          <cell r="H89">
            <v>1.04E-2</v>
          </cell>
        </row>
        <row r="90">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4">
          <cell r="E94">
            <v>0</v>
          </cell>
          <cell r="F94">
            <v>0</v>
          </cell>
          <cell r="G94">
            <v>0</v>
          </cell>
          <cell r="H94">
            <v>0</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1.0818000000000001</v>
    <v>-1.81</v>
    <v>-7.5509999999999996E-3</v>
    <v>0.1201</v>
    <v>5.0489999999999997E-4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240.15</v>
    <v>Computers, Phones &amp; Household Electronics</v>
    <v>Stock</v>
    <v>45908.970603633592</v>
    <v>0</v>
    <v>236.34</v>
    <v>3530231973200</v>
    <v>APPLE INC.</v>
    <v>APPLE INC.</v>
    <v>239.3</v>
    <v>32.809699999999999</v>
    <v>239.69</v>
    <v>237.88</v>
    <v>238.0001</v>
    <v>14840390000</v>
    <v>AAPL</v>
    <v>APPLE INC. (XNAS:AAPL)</v>
    <v>48978572</v>
    <v>57241941</v>
    <v>1977</v>
  </rv>
  <rv s="2">
    <v>1</v>
  </rv>
  <rv s="0">
    <v>https://www.bing.com/financeapi/forcetrigger?t=a269vh&amp;q=XNAS%3aXPER&amp;form=skydnc</v>
    <v>Learn more on Bing</v>
  </rv>
  <rv s="1">
    <v>0</v>
    <v>ADEIA INC. (XNAS:ADEA)</v>
    <v>2</v>
    <v>3</v>
    <v>Finance</v>
    <v>4</v>
    <v>en-US</v>
    <v>a269vh</v>
    <v>268435456</v>
    <v>1</v>
    <v>Powered by Refinitiv</v>
    <v>17.46</v>
    <v>10.59</v>
    <v>2.5304000000000002</v>
    <v>-0.06</v>
    <v>-3.8890000000000001E-3</v>
    <v>0.13</v>
    <v>8.4580000000000002E-3</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15.545</v>
    <v>Software &amp; IT Services</v>
    <v>Stock</v>
    <v>45908.961717048434</v>
    <v>3</v>
    <v>15.32</v>
    <v>1680995382</v>
    <v>ADEIA INC.</v>
    <v>ADEIA INC.</v>
    <v>15.54</v>
    <v>20.809699999999999</v>
    <v>15.43</v>
    <v>15.37</v>
    <v>15.5</v>
    <v>109368600</v>
    <v>ADEA</v>
    <v>ADEIA INC. (XNAS:ADEA)</v>
    <v>414959</v>
    <v>543499</v>
    <v>2019</v>
  </rv>
  <rv s="2">
    <v>4</v>
  </rv>
  <rv s="0">
    <v>https://www.bing.com/financeapi/forcetrigger?t=aodfgh&amp;q=XLON%3aAET&amp;form=skydnc</v>
    <v>Learn more on Bing</v>
  </rv>
  <rv s="1">
    <v>0</v>
    <v>AFENTRA PLC (XLON:AET)</v>
    <v>2</v>
    <v>5</v>
    <v>Finance</v>
    <v>6</v>
    <v>en-US</v>
    <v>aodfgh</v>
    <v>268435456</v>
    <v>1</v>
    <v>Powered by Refinitiv</v>
    <v>56.2</v>
    <v>33.064999999999998</v>
    <v>1.1366000000000001</v>
    <v>0.6</v>
    <v>1.1029000000000001E-2</v>
    <v>0</v>
    <v>0</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56.2</v>
    <v>Oil &amp; Gas</v>
    <v>Stock</v>
    <v>45908.651516110935</v>
    <v>6</v>
    <v>54</v>
    <v>122362800</v>
    <v>AFENTRA PLC</v>
    <v>AFENTRA PLC</v>
    <v>55</v>
    <v>2.931</v>
    <v>54.4</v>
    <v>55</v>
    <v>55</v>
    <v>226156000</v>
    <v>AET</v>
    <v>AFENTRA PLC (XLON:AET)</v>
    <v>1322508</v>
    <v>808440</v>
    <v>1983</v>
  </rv>
  <rv s="2">
    <v>7</v>
  </rv>
  <rv s="0">
    <v>https://www.bing.com/financeapi/forcetrigger?t=a1nhlh&amp;q=XNAS%3aAMZN&amp;form=skydnc</v>
    <v>Learn more on Bing</v>
  </rv>
  <rv s="1">
    <v>0</v>
    <v>AMAZON.COM, INC. (XNAS:AMZN)</v>
    <v>2</v>
    <v>3</v>
    <v>Finance</v>
    <v>4</v>
    <v>en-US</v>
    <v>a1nhlh</v>
    <v>268435456</v>
    <v>1</v>
    <v>Powered by Refinitiv</v>
    <v>242.52</v>
    <v>161.38</v>
    <v>1.2955000000000001</v>
    <v>3.51</v>
    <v>1.5108E-2</v>
    <v>0.16</v>
    <v>6.7840000000000001E-4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237.6</v>
    <v>Diversified Retail</v>
    <v>Stock</v>
    <v>45908.970467360938</v>
    <v>9</v>
    <v>233.75</v>
    <v>2515212374400</v>
    <v>AMAZON.COM, INC.</v>
    <v>AMAZON.COM, INC.</v>
    <v>234.94</v>
    <v>35.453000000000003</v>
    <v>232.33</v>
    <v>235.84</v>
    <v>236</v>
    <v>10664910000</v>
    <v>AMZN</v>
    <v>AMAZON.COM, INC. (XNAS:AMZN)</v>
    <v>33934939</v>
    <v>41676334</v>
    <v>1996</v>
  </rv>
  <rv s="2">
    <v>10</v>
  </rv>
  <rv s="0">
    <v>https://www.bing.com/financeapi/forcetrigger?t=b125ww&amp;q=XPAR%3aALDNE&amp;form=skydnc</v>
    <v>Learn more on Bing</v>
  </rv>
  <rv s="3">
    <v>7</v>
    <v>Dont Nod Entertainment SA (XPAR:ALDNE)</v>
    <v>2</v>
    <v>8</v>
    <v>Finance</v>
    <v>9</v>
    <v>en-US</v>
    <v>b125ww</v>
    <v>268435456</v>
    <v>1</v>
    <v>Powered by Refinitiv</v>
    <v>1.91</v>
    <v>0.65</v>
    <v>0.99280000000000002</v>
    <v>-0.02</v>
    <v>-2.1978000000000001E-2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0.90800000000000003</v>
    <v>Software &amp; IT Services</v>
    <v>Stock</v>
    <v>45908.666666666664</v>
    <v>12</v>
    <v>0.89</v>
    <v>11904400</v>
    <v>Dont Nod Entertainment SA</v>
    <v>Dont Nod Entertainment SA</v>
    <v>0.9</v>
    <v>0</v>
    <v>0.91</v>
    <v>0.89</v>
    <v>13081760</v>
    <v>ALDNE</v>
    <v>Dont Nod Entertainment SA (XPAR:ALDNE)</v>
    <v>1964</v>
    <v>4060</v>
    <v>2008</v>
  </rv>
  <rv s="2">
    <v>13</v>
  </rv>
  <rv s="0">
    <v>https://www.bing.com/financeapi/forcetrigger?t=alnz5r&amp;q=XAMS%3aASML&amp;form=skydnc</v>
    <v>Learn more on Bing</v>
  </rv>
  <rv s="3">
    <v>7</v>
    <v>ASML Holding NV (XAMS:ASML)</v>
    <v>2</v>
    <v>8</v>
    <v>Finance</v>
    <v>9</v>
    <v>en-US</v>
    <v>alnz5r</v>
    <v>268435456</v>
    <v>1</v>
    <v>Powered by Refinitiv</v>
    <v>804.6</v>
    <v>508.4</v>
    <v>1.8642000000000001</v>
    <v>16.399999999999999</v>
    <v>2.4841000000000002E-2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677.3</v>
    <v>Semiconductors &amp; Semiconductor Equipment</v>
    <v>Stock</v>
    <v>45908.666666666664</v>
    <v>15</v>
    <v>664.1</v>
    <v>260007000000</v>
    <v>ASML Holding NV</v>
    <v>ASML Holding NV</v>
    <v>667.2</v>
    <v>25.978999999999999</v>
    <v>660.2</v>
    <v>676.6</v>
    <v>393830700</v>
    <v>ASML</v>
    <v>ASML Holding NV (XAMS:ASML)</v>
    <v>514335</v>
    <v>551270</v>
    <v>1994</v>
  </rv>
  <rv s="2">
    <v>16</v>
  </rv>
  <rv s="0">
    <v>https://www.bing.com/financeapi/forcetrigger?t=a1o3qh&amp;q=XNAS%3aAZN&amp;form=skydnc</v>
    <v>Learn more on Bing</v>
  </rv>
  <rv s="1">
    <v>0</v>
    <v>ASTRAZENECA PLC (XNAS:AZN)</v>
    <v>2</v>
    <v>3</v>
    <v>Finance</v>
    <v>10</v>
    <v>en-US</v>
    <v>a1o3qh</v>
    <v>268435456</v>
    <v>1</v>
    <v>Powered by Refinitiv</v>
    <v>83.43</v>
    <v>61.24</v>
    <v>0.37840000000000001</v>
    <v>-0.14000000000000001</v>
    <v>-1.714E-3</v>
    <v>0.99</v>
    <v>1.2137999999999999E-2</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81.605000000000004</v>
    <v>Pharmaceuticals</v>
    <v>Stock</v>
    <v>45908.95915872656</v>
    <v>18</v>
    <v>80.180000000000007</v>
    <v>253209400000</v>
    <v>ASTRAZENECA PLC</v>
    <v>ASTRAZENECA PLC</v>
    <v>80.73</v>
    <v>30.706700000000001</v>
    <v>81.7</v>
    <v>81.56</v>
    <v>82.55</v>
    <v>3101386000</v>
    <v>AZN</v>
    <v>ASTRAZENECA PLC (XNAS:AZN)</v>
    <v>2624012</v>
    <v>3906149</v>
    <v>1992</v>
  </rv>
  <rv s="2">
    <v>19</v>
  </rv>
  <rv s="0">
    <v>https://www.bing.com/financeapi/forcetrigger?t=a1oldm&amp;q=XNAS%3aBLDP&amp;form=skydnc</v>
    <v>Learn more on Bing</v>
  </rv>
  <rv s="1">
    <v>0</v>
    <v>BALLARD POWER SYSTEMS INC. (XNAS:BLDP)</v>
    <v>2</v>
    <v>11</v>
    <v>Finance</v>
    <v>10</v>
    <v>en-US</v>
    <v>a1oldm</v>
    <v>268435456</v>
    <v>1</v>
    <v>Powered by Refinitiv</v>
    <v>2.2799999999999998</v>
    <v>1</v>
    <v>1.7793000000000001</v>
    <v>-0.05</v>
    <v>-2.5125999999999999E-2</v>
    <v>3.9899999999999998E-2</v>
    <v>2.0567000000000002E-2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2.04</v>
    <v>Renewable Energy</v>
    <v>Stock</v>
    <v>45908.950710196092</v>
    <v>21</v>
    <v>1.92</v>
    <v>826588800</v>
    <v>BALLARD POWER SYSTEMS INC.</v>
    <v>BALLARD POWER SYSTEMS INC.</v>
    <v>2.04</v>
    <v>0</v>
    <v>1.99</v>
    <v>1.94</v>
    <v>1.9799</v>
    <v>300577700</v>
    <v>BLDP</v>
    <v>BALLARD POWER SYSTEMS INC. (XNAS:BLDP)</v>
    <v>3360117</v>
    <v>3682306</v>
    <v>2016</v>
  </rv>
  <rv s="2">
    <v>22</v>
  </rv>
  <rv s="0">
    <v>https://www.bing.com/financeapi/forcetrigger?t=a1oo5r&amp;q=XNAS%3aBMRA&amp;form=skydnc</v>
    <v>Learn more on Bing</v>
  </rv>
  <rv s="1">
    <v>0</v>
    <v>BIOMERICA, INC. (XNAS:BMRA)</v>
    <v>2</v>
    <v>3</v>
    <v>Finance</v>
    <v>4</v>
    <v>en-US</v>
    <v>a1oo5r</v>
    <v>268435456</v>
    <v>1</v>
    <v>Powered by Refinitiv</v>
    <v>10.16</v>
    <v>2.08</v>
    <v>0.35589999999999999</v>
    <v>0.16</v>
    <v>5.8181999999999998E-2</v>
    <v>-8.9899999999999994E-2</v>
    <v>-3.0893E-2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3.02</v>
    <v>Healthcare Equipment &amp; Supplies</v>
    <v>Stock</v>
    <v>45908.965841747653</v>
    <v>24</v>
    <v>2.75</v>
    <v>8192843</v>
    <v>BIOMERICA, INC.</v>
    <v>BIOMERICA, INC.</v>
    <v>2.77</v>
    <v>0</v>
    <v>2.75</v>
    <v>2.91</v>
    <v>2.8201000000000001</v>
    <v>2815410</v>
    <v>BMRA</v>
    <v>BIOMERICA, INC. (XNAS:BMRA)</v>
    <v>204574</v>
    <v>1949317</v>
    <v>1971</v>
  </rv>
  <rv s="2">
    <v>25</v>
  </rv>
  <rv s="0">
    <v>https://www.bing.com/financeapi/forcetrigger?t=a1p3ww&amp;q=XNYS%3aC&amp;form=skydnc</v>
    <v>Learn more on Bing</v>
  </rv>
  <rv s="1">
    <v>0</v>
    <v>CITIGROUP INC. (XNYS:C)</v>
    <v>2</v>
    <v>3</v>
    <v>Finance</v>
    <v>4</v>
    <v>en-US</v>
    <v>a1p3ww</v>
    <v>268435456</v>
    <v>1</v>
    <v>Powered by Refinitiv</v>
    <v>97.98</v>
    <v>55.51</v>
    <v>1.3585</v>
    <v>0.51</v>
    <v>5.3460000000000001E-3</v>
    <v>9.9000000000000008E-3</v>
    <v>1.033E-4</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95.965000000000003</v>
    <v>Investment Banking &amp; Investment Services</v>
    <v>Stock</v>
    <v>45908.969378310154</v>
    <v>27</v>
    <v>94.64</v>
    <v>176560527180</v>
    <v>CITIGROUP INC.</v>
    <v>CITIGROUP INC.</v>
    <v>95.86</v>
    <v>14.1784</v>
    <v>95.4</v>
    <v>95.91</v>
    <v>95.879900000000006</v>
    <v>1840898000</v>
    <v>C</v>
    <v>CITIGROUP INC. (XNYS:C)</v>
    <v>11397310</v>
    <v>13682988</v>
    <v>1988</v>
  </rv>
  <rv s="2">
    <v>28</v>
  </rv>
  <rv s="0">
    <v>https://www.bing.com/financeapi/forcetrigger?t=a1qe5r&amp;q=XNAS%3aCSCO&amp;form=skydnc</v>
    <v>Learn more on Bing</v>
  </rv>
  <rv s="1">
    <v>0</v>
    <v>CISCO SYSTEMS, INC. (XNAS:CSCO)</v>
    <v>2</v>
    <v>3</v>
    <v>Finance</v>
    <v>4</v>
    <v>en-US</v>
    <v>a1qe5r</v>
    <v>268435456</v>
    <v>1</v>
    <v>Powered by Refinitiv</v>
    <v>72.55</v>
    <v>47.850099999999998</v>
    <v>0.97709999999999997</v>
    <v>-0.02</v>
    <v>-2.99E-4</v>
    <v>-9.7299999999999998E-2</v>
    <v>-1.4549999999999999E-3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67.004999999999995</v>
    <v>Communications &amp; Networking</v>
    <v>Stock</v>
    <v>45908.969758460153</v>
    <v>30</v>
    <v>66.349999999999994</v>
    <v>264389815359</v>
    <v>CISCO SYSTEMS, INC.</v>
    <v>CISCO SYSTEMS, INC.</v>
    <v>66.72</v>
    <v>28.281300000000002</v>
    <v>66.900000000000006</v>
    <v>66.88</v>
    <v>66.782700000000006</v>
    <v>3953197000</v>
    <v>CSCO</v>
    <v>CISCO SYSTEMS, INC. (XNAS:CSCO)</v>
    <v>14033759</v>
    <v>21492790</v>
    <v>2021</v>
  </rv>
  <rv s="2">
    <v>31</v>
  </rv>
  <rv s="0">
    <v>https://www.bing.com/financeapi/forcetrigger?t=a1qlnm&amp;q=XNYS%3aCVS&amp;form=skydnc</v>
    <v>Learn more on Bing</v>
  </rv>
  <rv s="1">
    <v>0</v>
    <v>CVS HEALTH CORPORATION (XNYS:CVS)</v>
    <v>2</v>
    <v>3</v>
    <v>Finance</v>
    <v>4</v>
    <v>en-US</v>
    <v>a1qlnm</v>
    <v>268435456</v>
    <v>1</v>
    <v>Powered by Refinitiv</v>
    <v>74.53</v>
    <v>43.56</v>
    <v>0.60780000000000001</v>
    <v>-3.52</v>
    <v>-4.7709000000000001E-2</v>
    <v>-0.01</v>
    <v>-1.4229999999999999E-4</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73.994299999999996</v>
    <v>Healthcare Providers &amp; Services</v>
    <v>Stock</v>
    <v>45908.969723008595</v>
    <v>33</v>
    <v>69.599999999999994</v>
    <v>89112584760</v>
    <v>CVS HEALTH CORPORATION</v>
    <v>CVS HEALTH CORPORATION</v>
    <v>73.83</v>
    <v>19.6082</v>
    <v>73.78</v>
    <v>70.260000000000005</v>
    <v>70.25</v>
    <v>1268326000</v>
    <v>CVS</v>
    <v>CVS HEALTH CORPORATION (XNYS:CVS)</v>
    <v>13323159</v>
    <v>6371666</v>
    <v>1996</v>
  </rv>
  <rv s="2">
    <v>34</v>
  </rv>
  <rv s="0">
    <v>https://www.bing.com/financeapi/forcetrigger?t=a1qu2w&amp;q=XNYS%3aDDD&amp;form=skydnc</v>
    <v>Learn more on Bing</v>
  </rv>
  <rv s="1">
    <v>0</v>
    <v>3D SYSTEMS CORPORATION (XNYS:DDD)</v>
    <v>2</v>
    <v>3</v>
    <v>Finance</v>
    <v>4</v>
    <v>en-US</v>
    <v>a1qu2w</v>
    <v>268435456</v>
    <v>1</v>
    <v>Powered by Refinitiv</v>
    <v>4.9991000000000003</v>
    <v>1.32</v>
    <v>2.0886</v>
    <v>0.05</v>
    <v>2.3584999999999998E-2</v>
    <v>0</v>
    <v>0</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2.17</v>
    <v>Electronic Equipment &amp; Parts</v>
    <v>Stock</v>
    <v>45908.966721573437</v>
    <v>36</v>
    <v>2.0499999999999998</v>
    <v>271895400</v>
    <v>3D SYSTEMS CORPORATION</v>
    <v>3D SYSTEMS CORPORATION</v>
    <v>2.13</v>
    <v>0</v>
    <v>2.12</v>
    <v>2.17</v>
    <v>2.17</v>
    <v>128252600</v>
    <v>DDD</v>
    <v>3D SYSTEMS CORPORATION (XNYS:DDD)</v>
    <v>2291476</v>
    <v>4649994</v>
    <v>1993</v>
  </rv>
  <rv s="2">
    <v>37</v>
  </rv>
  <rv s="0">
    <v>http://en.wikipedia.org/wiki/Public_domain</v>
    <v>Public domain</v>
  </rv>
  <rv s="0">
    <v>http://en.wikipedia.org/wiki/The_Walt_Disney_Company</v>
    <v>Wikipedia</v>
  </rv>
  <rv s="4">
    <v>39</v>
    <v>40</v>
  </rv>
  <rv s="5">
    <v>16</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6">
    <v>12</v>
    <v>THE WALT DISNEY COMPANY (XNYS:DIS)</v>
    <v>14</v>
    <v>15</v>
    <v>Finance</v>
    <v>4</v>
    <v>en-US</v>
    <v>a1r2z2</v>
    <v>268435456</v>
    <v>1</v>
    <v>Powered by Refinitiv</v>
    <v>124.69</v>
    <v>80.099999999999994</v>
    <v>1.5549999999999999</v>
    <v>0.93</v>
    <v>7.8869999999999999E-3</v>
    <v>0.05</v>
    <v>4.2070000000000003E-4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118.88</v>
    <v>42</v>
    <v>Media &amp; Publishing</v>
    <v>Stock</v>
    <v>45908.96936598359</v>
    <v>43</v>
    <v>116.74</v>
    <v>213666476560</v>
    <v>THE WALT DISNEY COMPANY</v>
    <v>THE WALT DISNEY COMPANY</v>
    <v>117.96</v>
    <v>18.631599999999999</v>
    <v>117.91</v>
    <v>118.84</v>
    <v>118.89</v>
    <v>1797934000</v>
    <v>DIS</v>
    <v>THE WALT DISNEY COMPANY (XNYS:DIS)</v>
    <v>6450526</v>
    <v>8122087</v>
    <v>2018</v>
  </rv>
  <rv s="2">
    <v>44</v>
  </rv>
  <rv s="0">
    <v>https://www.bing.com/financeapi/forcetrigger?t=ae8e9c&amp;q=XPAR%3aDSY&amp;form=skydnc</v>
    <v>Learn more on Bing</v>
  </rv>
  <rv s="3">
    <v>7</v>
    <v>Dassault Systemes SE (XPAR:DSY)</v>
    <v>2</v>
    <v>8</v>
    <v>Finance</v>
    <v>9</v>
    <v>en-US</v>
    <v>ae8e9c</v>
    <v>268435456</v>
    <v>1</v>
    <v>Powered by Refinitiv</v>
    <v>41.17</v>
    <v>26.25</v>
    <v>0.68440000000000001</v>
    <v>0.57999999999999996</v>
    <v>2.1642000000000002E-2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27.39</v>
    <v>Software &amp; IT Services</v>
    <v>Stock</v>
    <v>45908.666666666664</v>
    <v>46</v>
    <v>26.76</v>
    <v>36029380000</v>
    <v>Dassault Systemes SE</v>
    <v>Dassault Systemes SE</v>
    <v>26.89</v>
    <v>30.794</v>
    <v>26.8</v>
    <v>27.38</v>
    <v>1344380000</v>
    <v>DSY</v>
    <v>Dassault Systemes SE (XPAR:DSY)</v>
    <v>1160764</v>
    <v>1799050</v>
    <v>1981</v>
  </rv>
  <rv s="2">
    <v>47</v>
  </rv>
  <rv s="0">
    <v>https://www.bing.com/financeapi/forcetrigger?t=a1rec7&amp;q=XNYS%3aDVA&amp;form=skydnc</v>
    <v>Learn more on Bing</v>
  </rv>
  <rv s="1">
    <v>0</v>
    <v>DAVITA INC. (XNYS:DVA)</v>
    <v>2</v>
    <v>3</v>
    <v>Finance</v>
    <v>10</v>
    <v>en-US</v>
    <v>a1rec7</v>
    <v>268435456</v>
    <v>1</v>
    <v>Powered by Refinitiv</v>
    <v>179.6</v>
    <v>126.07</v>
    <v>1.1385000000000001</v>
    <v>-3.36</v>
    <v>-2.4371E-2</v>
    <v>-1.01</v>
    <v>-7.509E-3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136.99</v>
    <v>Healthcare Providers &amp; Services</v>
    <v>Stock</v>
    <v>45908.958333344533</v>
    <v>49</v>
    <v>133.57</v>
    <v>9617465000</v>
    <v>DAVITA INC.</v>
    <v>DAVITA INC.</v>
    <v>136.99</v>
    <v>13.216900000000001</v>
    <v>137.87</v>
    <v>134.51</v>
    <v>133.5</v>
    <v>71500000</v>
    <v>DVA</v>
    <v>DAVITA INC. (XNYS:DVA)</v>
    <v>882297</v>
    <v>867674</v>
    <v>1994</v>
  </rv>
  <rv s="2">
    <v>50</v>
  </rv>
  <rv s="0">
    <v>https://www.bing.com/financeapi/forcetrigger?t=a1rgur&amp;q=XNYS%3aDXC&amp;form=skydnc</v>
    <v>Learn more on Bing</v>
  </rv>
  <rv s="1">
    <v>0</v>
    <v>DXC TECHNOLOGY COMPANY (XNYS:DXC)</v>
    <v>2</v>
    <v>3</v>
    <v>Finance</v>
    <v>10</v>
    <v>en-US</v>
    <v>a1rgur</v>
    <v>268435456</v>
    <v>1</v>
    <v>Powered by Refinitiv</v>
    <v>24.83</v>
    <v>12.24</v>
    <v>1.1398999999999999</v>
    <v>-0.14000000000000001</v>
    <v>-9.4660000000000005E-3</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14.74</v>
    <v>Software &amp; IT Services</v>
    <v>Stock</v>
    <v>45908.958333356248</v>
    <v>52</v>
    <v>14.36</v>
    <v>2622330955</v>
    <v>DXC TECHNOLOGY COMPANY</v>
    <v>DXC TECHNOLOGY COMPANY</v>
    <v>14.74</v>
    <v>7.1532999999999998</v>
    <v>14.79</v>
    <v>14.65</v>
    <v>14.65</v>
    <v>178998700</v>
    <v>DXC</v>
    <v>DXC TECHNOLOGY COMPANY (XNYS:DXC)</v>
    <v>1892083</v>
    <v>1777294</v>
    <v>2017</v>
  </rv>
  <rv s="2">
    <v>53</v>
  </rv>
  <rv s="0">
    <v>https://www.bing.com/financeapi/forcetrigger?t=afrlyc&amp;q=XETR%3aEOAN&amp;form=skydnc</v>
    <v>Learn more on Bing</v>
  </rv>
  <rv s="3">
    <v>7</v>
    <v>E.ON SE (XETR:EOAN)</v>
    <v>2</v>
    <v>8</v>
    <v>Finance</v>
    <v>9</v>
    <v>en-US</v>
    <v>afrlyc</v>
    <v>268435456</v>
    <v>1</v>
    <v>Powered by Refinitiv</v>
    <v>16.55</v>
    <v>10.435</v>
    <v>0.71319999999999995</v>
    <v>0.17</v>
    <v>1.1203000000000001E-2</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15.4</v>
    <v>Multiline Utilities</v>
    <v>Stock</v>
    <v>45908.907187500001</v>
    <v>55</v>
    <v>15.205</v>
    <v>40082010000</v>
    <v>E.ON SE</v>
    <v>E.ON SE</v>
    <v>15.244999999999999</v>
    <v>12.567299999999999</v>
    <v>15.175000000000001</v>
    <v>15.345000000000001</v>
    <v>2641319000</v>
    <v>EOAN</v>
    <v>E.ON SE (XETR:EOAN)</v>
    <v>4999432</v>
    <v>4158470</v>
    <v>2017</v>
  </rv>
  <rv s="2">
    <v>56</v>
  </rv>
  <rv s="0">
    <v>https://www.bing.com/financeapi/forcetrigger?t=a1s2zr&amp;q=XNAS%3aEPIX&amp;form=skydnc</v>
    <v>Learn more on Bing</v>
  </rv>
  <rv s="1">
    <v>0</v>
    <v>ESSA Pharma Inc. (XNAS:EPIX)</v>
    <v>2</v>
    <v>3</v>
    <v>Finance</v>
    <v>4</v>
    <v>en-US</v>
    <v>a1s2zr</v>
    <v>268435456</v>
    <v>1</v>
    <v>Powered by Refinitiv</v>
    <v>0.97570000000000001</v>
    <v>0.17330000000000001</v>
    <v>1.6245000000000001</v>
    <v>4.0000000000000001E-3</v>
    <v>1.7174999999999999E-2</v>
    <v>-1.8E-3</v>
    <v>-7.5980000000000006E-3</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0.2399</v>
    <v>Holding Companies</v>
    <v>Stock</v>
    <v>45908.968290763281</v>
    <v>58</v>
    <v>0.23139999999999999</v>
    <v>11018120</v>
    <v>ESSA Pharma Inc.</v>
    <v>ESSA Pharma Inc.</v>
    <v>0.2329</v>
    <v>0</v>
    <v>0.2329</v>
    <v>0.2369</v>
    <v>0.2351</v>
    <v>47308390</v>
    <v>EPIX</v>
    <v>ESSA Pharma Inc. (XNAS:EPIX)</v>
    <v>2408030</v>
    <v>13911904</v>
    <v>2009</v>
  </rv>
  <rv s="2">
    <v>59</v>
  </rv>
  <rv s="0">
    <v>https://www.bing.com/financeapi/forcetrigger?t=a1tyrw&amp;q=XNYS%3aGM&amp;form=skydnc</v>
    <v>Learn more on Bing</v>
  </rv>
  <rv s="1">
    <v>0</v>
    <v>GENERAL MOTORS COMPANY (XNYS:GM)</v>
    <v>2</v>
    <v>3</v>
    <v>Finance</v>
    <v>4</v>
    <v>en-US</v>
    <v>a1tyrw</v>
    <v>268435456</v>
    <v>1</v>
    <v>Powered by Refinitiv</v>
    <v>61.24</v>
    <v>41.6</v>
    <v>1.3385</v>
    <v>-0.03</v>
    <v>-5.1479999999999994E-4</v>
    <v>0.08</v>
    <v>1.3750000000000001E-3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58.255000000000003</v>
    <v>Automobiles &amp; Auto Parts</v>
    <v>Stock</v>
    <v>45908.966986041407</v>
    <v>61</v>
    <v>57.4</v>
    <v>55449011072</v>
    <v>GENERAL MOTORS COMPANY</v>
    <v>GENERAL MOTORS COMPANY</v>
    <v>58.13</v>
    <v>8.3948</v>
    <v>58.27</v>
    <v>58.24</v>
    <v>58.28</v>
    <v>952077800</v>
    <v>GM</v>
    <v>GENERAL MOTORS COMPANY (XNYS:GM)</v>
    <v>6399467</v>
    <v>6616708</v>
    <v>2009</v>
  </rv>
  <rv s="2">
    <v>62</v>
  </rv>
  <rv s="0">
    <v>https://www.bing.com/financeapi/forcetrigger?t=a1utqh&amp;q=XNYS%3aHPE&amp;form=skydnc</v>
    <v>Learn more on Bing</v>
  </rv>
  <rv s="1">
    <v>0</v>
    <v>HEWLETT PACKARD ENTERPRISE COMPANY (XNYS:HPE)</v>
    <v>2</v>
    <v>3</v>
    <v>Finance</v>
    <v>10</v>
    <v>en-US</v>
    <v>a1utqh</v>
    <v>268435456</v>
    <v>1</v>
    <v>Powered by Refinitiv</v>
    <v>24.66</v>
    <v>11.965</v>
    <v>1.4483999999999999</v>
    <v>-0.02</v>
    <v>-8.5029999999999991E-4</v>
    <v>1.9900000000000001E-2</v>
    <v>8.4680000000000009E-4</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23.774999999999999</v>
    <v>Computers, Phones &amp; Household Electronics</v>
    <v>Stock</v>
    <v>45908.960027892972</v>
    <v>64</v>
    <v>23.05</v>
    <v>31007075000</v>
    <v>HEWLETT PACKARD ENTERPRISE COMPANY</v>
    <v>HEWLETT PACKARD ENTERPRISE COMPANY</v>
    <v>23.6</v>
    <v>28.1876</v>
    <v>23.52</v>
    <v>23.5</v>
    <v>23.5199</v>
    <v>1319450000</v>
    <v>HPE</v>
    <v>HEWLETT PACKARD ENTERPRISE COMPANY (XNYS:HPE)</v>
    <v>19155744</v>
    <v>19797168</v>
    <v>2015</v>
  </rv>
  <rv s="2">
    <v>65</v>
  </rv>
  <rv s="0">
    <v>http://en.wikipedia.org/wiki/Hewlett-Packard</v>
    <v>Wikipedia</v>
  </rv>
  <rv s="4">
    <v>39</v>
    <v>67</v>
  </rv>
  <rv s="5">
    <v>16</v>
    <v>https://www.bing.com/th?id=AMMS_98757b1e7b158827481b7c629463c21b&amp;qlt=95</v>
    <v>68</v>
    <v>0</v>
    <v>https://www.bing.com/images/search?form=xlimg&amp;q=hp+company</v>
    <v>Image of HP INC.</v>
  </rv>
  <rv s="0">
    <v>https://www.bing.com/financeapi/forcetrigger?t=a1uu5r&amp;q=XNYS%3aHPQ&amp;form=skydnc</v>
    <v>Learn more on Bing</v>
  </rv>
  <rv s="6">
    <v>12</v>
    <v>HP INC. (XNYS:HPQ)</v>
    <v>14</v>
    <v>15</v>
    <v>Finance</v>
    <v>4</v>
    <v>en-US</v>
    <v>a1uu5r</v>
    <v>268435456</v>
    <v>1</v>
    <v>Powered by Refinitiv</v>
    <v>39.795000000000002</v>
    <v>21.21</v>
    <v>1.3141</v>
    <v>2.5000000000000001E-2</v>
    <v>8.5209999999999995E-4</v>
    <v>0</v>
    <v>0</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29.39</v>
    <v>69</v>
    <v>Computers, Phones &amp; Household Electronics</v>
    <v>Stock</v>
    <v>45908.965046203128</v>
    <v>70</v>
    <v>28.83</v>
    <v>27447518357</v>
    <v>HP INC.</v>
    <v>HP INC.</v>
    <v>29.28</v>
    <v>10.6972</v>
    <v>29.34</v>
    <v>29.364999999999998</v>
    <v>29.35</v>
    <v>934701800</v>
    <v>HPQ</v>
    <v>HP INC. (XNYS:HPQ)</v>
    <v>8064856</v>
    <v>8926543</v>
    <v>1998</v>
  </rv>
  <rv s="2">
    <v>71</v>
  </rv>
  <rv s="0">
    <v>https://www.bing.com/financeapi/forcetrigger?t=ao9wcw&amp;q=XLON%3aIAG&amp;form=skydnc</v>
    <v>Learn more on Bing</v>
  </rv>
  <rv s="3">
    <v>7</v>
    <v>International Consolidated Airlines Group SA (XLON:IAG)</v>
    <v>2</v>
    <v>17</v>
    <v>Finance</v>
    <v>18</v>
    <v>en-US</v>
    <v>ao9wcw</v>
    <v>268435456</v>
    <v>1</v>
    <v>Powered by Refinitiv</v>
    <v>396.7</v>
    <v>187</v>
    <v>2.8026</v>
    <v>3.5</v>
    <v>8.9580000000000007E-3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394.2</v>
    <v>Passenger Transportation Services</v>
    <v>Stock</v>
    <v>45908.585589964845</v>
    <v>73</v>
    <v>389.6</v>
    <v>18073820000</v>
    <v>International Consolidated Airlines Group SA</v>
    <v>International Consolidated Airlines Group SA</v>
    <v>391.4</v>
    <v>7.0221999999999998</v>
    <v>390.7</v>
    <v>394.2</v>
    <v>4624206000</v>
    <v>IAG</v>
    <v>International Consolidated Airlines Group SA (XLON:IAG)</v>
    <v>9111020</v>
    <v>11107170</v>
    <v>2009</v>
  </rv>
  <rv s="2">
    <v>74</v>
  </rv>
  <rv s="0">
    <v>https://www.bing.com/financeapi/forcetrigger?t=a1wmu2&amp;q=XNYS%3aKR&amp;form=skydnc</v>
    <v>Learn more on Bing</v>
  </rv>
  <rv s="1">
    <v>0</v>
    <v>THE KROGER CO. (XNYS:KR)</v>
    <v>2</v>
    <v>3</v>
    <v>Finance</v>
    <v>4</v>
    <v>en-US</v>
    <v>a1wmu2</v>
    <v>268435456</v>
    <v>1</v>
    <v>Powered by Refinitiv</v>
    <v>74.900000000000006</v>
    <v>50.69</v>
    <v>0.57350000000000001</v>
    <v>0.27500000000000002</v>
    <v>4.0590000000000001E-3</v>
    <v>7.0000000000000007E-2</v>
    <v>1.029E-3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68.180000000000007</v>
    <v>Food &amp; Drug Retailing</v>
    <v>Stock</v>
    <v>45908.969932789063</v>
    <v>76</v>
    <v>67.284999999999997</v>
    <v>44975123295</v>
    <v>THE KROGER CO.</v>
    <v>THE KROGER CO.</v>
    <v>67.739999999999995</v>
    <v>18.5062</v>
    <v>67.75</v>
    <v>68.025000000000006</v>
    <v>68.069999999999993</v>
    <v>661155800</v>
    <v>KR</v>
    <v>THE KROGER CO. (XNYS:KR)</v>
    <v>10184432</v>
    <v>6579765</v>
    <v>1902</v>
  </rv>
  <rv s="2">
    <v>77</v>
  </rv>
  <rv s="0">
    <v>https://www.bing.com/financeapi/forcetrigger?t=bvuap2&amp;q=XNAS%3aLNSR&amp;form=skydnc</v>
    <v>Learn more on Bing</v>
  </rv>
  <rv s="1">
    <v>0</v>
    <v>LENSAR, INC. (XNAS:LNSR)</v>
    <v>2</v>
    <v>3</v>
    <v>Finance</v>
    <v>10</v>
    <v>en-US</v>
    <v>bvuap2</v>
    <v>268435456</v>
    <v>1</v>
    <v>Powered by Refinitiv</v>
    <v>17.309999999999999</v>
    <v>3.8001</v>
    <v>0.49559999999999998</v>
    <v>0.17</v>
    <v>1.3969000000000001E-2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12.48</v>
    <v>Healthcare Equipment &amp; Supplies</v>
    <v>Stock</v>
    <v>45908.840323182812</v>
    <v>79</v>
    <v>12.0001</v>
    <v>147275185</v>
    <v>LENSAR, INC.</v>
    <v>LENSAR, INC.</v>
    <v>12.24</v>
    <v>0</v>
    <v>12.17</v>
    <v>12.34</v>
    <v>12.34</v>
    <v>11934780</v>
    <v>LNSR</v>
    <v>LENSAR, INC. (XNAS:LNSR)</v>
    <v>42464</v>
    <v>64714</v>
    <v>2004</v>
  </rv>
  <rv s="2">
    <v>80</v>
  </rv>
  <rv s="0">
    <v>https://www.bing.com/financeapi/forcetrigger?t=a1qgzr&amp;q=XNYS%3aLUMN&amp;form=skydnc</v>
    <v>Learn more on Bing</v>
  </rv>
  <rv s="7">
    <v>19</v>
    <v>LUMEN TECHNOLOGIES, INC. (XNYS:LUMN)</v>
    <v>2</v>
    <v>20</v>
    <v>Finance</v>
    <v>4</v>
    <v>en-US</v>
    <v>a1qgzr</v>
    <v>268435456</v>
    <v>1</v>
    <v>Powered by Refinitiv</v>
    <v>10.33</v>
    <v>3.01</v>
    <v>1.4073</v>
    <v>0.36499999999999999</v>
    <v>7.6841999999999994E-2</v>
    <v>-2.2000000000000001E-3</v>
    <v>-4.2970000000000004E-4</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5.125</v>
    <v>Telecommunications Services</v>
    <v>Stock</v>
    <v>45908.96877135391</v>
    <v>82</v>
    <v>4.5650000000000004</v>
    <v>5248711215</v>
    <v>LUMEN TECHNOLOGIES, INC.</v>
    <v>LUMEN TECHNOLOGIES, INC.</v>
    <v>4.68</v>
    <v>4.75</v>
    <v>5.1150000000000002</v>
    <v>5.1177999999999999</v>
    <v>1026141000</v>
    <v>LUMN</v>
    <v>LUMEN TECHNOLOGIES, INC. (XNYS:LUMN)</v>
    <v>18562499</v>
    <v>14580707</v>
    <v>1968</v>
  </rv>
  <rv s="2">
    <v>83</v>
  </rv>
  <rv s="0">
    <v>https://www.bing.com/financeapi/forcetrigger?t=bo5fpr&amp;q=XNAS%3aMRNA&amp;form=skydnc</v>
    <v>Learn more on Bing</v>
  </rv>
  <rv s="1">
    <v>0</v>
    <v>MODERNA, INC. (XNAS:MRNA)</v>
    <v>2</v>
    <v>3</v>
    <v>Finance</v>
    <v>4</v>
    <v>en-US</v>
    <v>bo5fpr</v>
    <v>268435456</v>
    <v>1</v>
    <v>Powered by Refinitiv</v>
    <v>79.958699999999993</v>
    <v>23.15</v>
    <v>1.9996</v>
    <v>-0.31</v>
    <v>-1.2331000000000002E-2</v>
    <v>-0.01</v>
    <v>-4.0269999999999998E-4</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24.925000000000001</v>
    <v>Pharmaceuticals</v>
    <v>Stock</v>
    <v>45908.969466029688</v>
    <v>85</v>
    <v>23.78</v>
    <v>9660851434</v>
    <v>MODERNA, INC.</v>
    <v>MODERNA, INC.</v>
    <v>24.925000000000001</v>
    <v>0</v>
    <v>25.14</v>
    <v>24.83</v>
    <v>24.82</v>
    <v>389079800</v>
    <v>MRNA</v>
    <v>MODERNA, INC. (XNAS:MRNA)</v>
    <v>13095975</v>
    <v>9710608</v>
    <v>2016</v>
  </rv>
  <rv s="2">
    <v>86</v>
  </rv>
  <rv s="0">
    <v>https://en.wikipedia.org/wiki/Microsoft</v>
    <v>Wikipedia</v>
  </rv>
  <rv s="4">
    <v>39</v>
    <v>88</v>
  </rv>
  <rv s="5">
    <v>16</v>
    <v>https://www.bing.com/th?id=AMMS_e6e837c7bf3a77408619758b7447855a&amp;qlt=95</v>
    <v>89</v>
    <v>0</v>
    <v>https://www.bing.com/images/search?form=xlimg&amp;q=microsoft</v>
    <v>Image of MICROSOFT CORPORATION</v>
  </rv>
  <rv s="0">
    <v>https://www.bing.com/financeapi/forcetrigger?t=a1xzim&amp;q=XNAS%3aMSFT&amp;form=skydnc</v>
    <v>Learn more on Bing</v>
  </rv>
  <rv s="6">
    <v>12</v>
    <v>MICROSOFT CORPORATION (XNAS:MSFT)</v>
    <v>14</v>
    <v>15</v>
    <v>Finance</v>
    <v>4</v>
    <v>en-US</v>
    <v>a1xzim</v>
    <v>268435456</v>
    <v>1</v>
    <v>Powered by Refinitiv</v>
    <v>555.45000000000005</v>
    <v>344.79</v>
    <v>1.0294000000000001</v>
    <v>3.2</v>
    <v>6.4649999999999994E-3</v>
    <v>1.405</v>
    <v>2.8199999999999996E-3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501.19499999999999</v>
    <v>90</v>
    <v>Software &amp; IT Services</v>
    <v>Stock</v>
    <v>45908.970601782028</v>
    <v>91</v>
    <v>495.03</v>
    <v>3703203799400</v>
    <v>MICROSOFT CORPORATION</v>
    <v>MICROSOFT CORPORATION</v>
    <v>498.10500000000002</v>
    <v>36.521999999999998</v>
    <v>495</v>
    <v>498.2</v>
    <v>499.60500000000002</v>
    <v>7433167000</v>
    <v>MSFT</v>
    <v>MICROSOFT CORPORATION (XNAS:MSFT)</v>
    <v>16765988</v>
    <v>21475506</v>
    <v>1993</v>
  </rv>
  <rv s="2">
    <v>92</v>
  </rv>
  <rv s="0">
    <v>https://www.bing.com/financeapi/forcetrigger?t=a1ye2w&amp;q=XNYS%3aNEE&amp;form=skydnc</v>
    <v>Learn more on Bing</v>
  </rv>
  <rv s="1">
    <v>0</v>
    <v>NEXTERA ENERGY, INC. (XNYS:NEE)</v>
    <v>2</v>
    <v>3</v>
    <v>Finance</v>
    <v>4</v>
    <v>en-US</v>
    <v>a1ye2w</v>
    <v>268435456</v>
    <v>1</v>
    <v>Powered by Refinitiv</v>
    <v>86.1</v>
    <v>61.72</v>
    <v>0.64790000000000003</v>
    <v>-1.0900000000000001</v>
    <v>-1.5374000000000001E-2</v>
    <v>0.22989999999999999</v>
    <v>3.2950000000000002E-3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70.84</v>
    <v>Electrical Utilities &amp; IPPs</v>
    <v>Stock</v>
    <v>45908.966365173437</v>
    <v>94</v>
    <v>69.239999999999995</v>
    <v>143759174520</v>
    <v>NEXTERA ENERGY, INC.</v>
    <v>NEXTERA ENERGY, INC.</v>
    <v>70.83</v>
    <v>26.108899999999998</v>
    <v>70.900000000000006</v>
    <v>69.81</v>
    <v>69.999899999999997</v>
    <v>2059292000</v>
    <v>NEE</v>
    <v>NEXTERA ENERGY, INC. (XNYS:NEE)</v>
    <v>12596279</v>
    <v>9468770</v>
    <v>1984</v>
  </rv>
  <rv s="2">
    <v>95</v>
  </rv>
  <rv s="0">
    <v>https://www.bing.com/financeapi/forcetrigger?t=a1yeec&amp;q=XNYS%3aNEM&amp;form=skydnc</v>
    <v>Learn more on Bing</v>
  </rv>
  <rv s="1">
    <v>0</v>
    <v>NEWMONT CORPORATION (XNYS:NEM)</v>
    <v>2</v>
    <v>3</v>
    <v>Finance</v>
    <v>4</v>
    <v>en-US</v>
    <v>a1yeec</v>
    <v>268435456</v>
    <v>1</v>
    <v>Powered by Refinitiv</v>
    <v>77.3</v>
    <v>36.86</v>
    <v>0.33300000000000002</v>
    <v>-0.4</v>
    <v>-5.2510000000000005E-3</v>
    <v>0.02</v>
    <v>2.6400000000000002E-4</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77.179900000000004</v>
    <v>Metals &amp; Mining</v>
    <v>Stock</v>
    <v>45908.967569270309</v>
    <v>97</v>
    <v>75.215000000000003</v>
    <v>83229556500</v>
    <v>NEWMONT CORPORATION</v>
    <v>NEWMONT CORPORATION</v>
    <v>76.69</v>
    <v>13.714499999999999</v>
    <v>76.17</v>
    <v>75.77</v>
    <v>75.77</v>
    <v>1098450000</v>
    <v>NEM</v>
    <v>NEWMONT CORPORATION (XNYS:NEM)</v>
    <v>10104120</v>
    <v>8703205</v>
    <v>2001</v>
  </rv>
  <rv s="2">
    <v>98</v>
  </rv>
  <rv s="0">
    <v>https://www.bing.com/financeapi/forcetrigger?t=a1ygoc&amp;q=XNAS%3aNFLX&amp;form=skydnc</v>
    <v>Learn more on Bing</v>
  </rv>
  <rv s="1">
    <v>0</v>
    <v>NETFLIX, INC. (XNAS:NFLX)</v>
    <v>2</v>
    <v>3</v>
    <v>Finance</v>
    <v>4</v>
    <v>en-US</v>
    <v>a1ygoc</v>
    <v>268435456</v>
    <v>1</v>
    <v>Powered by Refinitiv</v>
    <v>1341.15</v>
    <v>660.8</v>
    <v>1.6045</v>
    <v>0.94</v>
    <v>7.5569999999999999E-4</v>
    <v>0.86499999999999999</v>
    <v>6.9489999999999992E-4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1252.0405000000001</v>
    <v>Software &amp; IT Services</v>
    <v>Stock</v>
    <v>45908.970593830469</v>
    <v>100</v>
    <v>1232</v>
    <v>528931385664</v>
    <v>NETFLIX, INC.</v>
    <v>NETFLIX, INC.</v>
    <v>1248.54</v>
    <v>53.002299999999998</v>
    <v>1243.82</v>
    <v>1244.76</v>
    <v>1245.625</v>
    <v>424926400</v>
    <v>NFLX</v>
    <v>NETFLIX, INC. (XNAS:NFLX)</v>
    <v>1914468</v>
    <v>2720222</v>
    <v>1997</v>
  </rv>
  <rv s="2">
    <v>101</v>
  </rv>
  <rv s="0">
    <v>https://www.bing.com/financeapi/forcetrigger?t=bwxx4c&amp;q=XNAS%3aDSAC&amp;form=skydnc</v>
    <v>Learn more on Bing</v>
  </rv>
  <rv s="7">
    <v>19</v>
    <v>FISCALNOTE HOLDINGS, INC. (XNYS:NOTE)</v>
    <v>2</v>
    <v>20</v>
    <v>Finance</v>
    <v>10</v>
    <v>en-US</v>
    <v>bwxx4c</v>
    <v>268435456</v>
    <v>1</v>
    <v>Powered by Refinitiv</v>
    <v>24.36</v>
    <v>3.8</v>
    <v>0.57679999999999998</v>
    <v>0.36</v>
    <v>8.8020000000000001E-2</v>
    <v>0.08</v>
    <v>1.7978000000000001E-2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4.54</v>
    <v>Software &amp; IT Services</v>
    <v>Stock</v>
    <v>45908.958333356248</v>
    <v>103</v>
    <v>4.05</v>
    <v>63857500</v>
    <v>FISCALNOTE HOLDINGS, INC.</v>
    <v>FISCALNOTE HOLDINGS, INC.</v>
    <v>4.0599999999999996</v>
    <v>4.09</v>
    <v>4.45</v>
    <v>4.53</v>
    <v>14350000</v>
    <v>NOTE</v>
    <v>FISCALNOTE HOLDINGS, INC. (XNYS:NOTE)</v>
    <v>353458</v>
    <v>270464</v>
    <v>2022</v>
  </rv>
  <rv s="2">
    <v>104</v>
  </rv>
  <rv s="0">
    <v>https://www.bing.com/financeapi/forcetrigger?t=a1zfec&amp;q=XNAS%3aPAAS&amp;form=skydnc</v>
    <v>Learn more on Bing</v>
  </rv>
  <rv s="1">
    <v>0</v>
    <v>Pan American Silver Corp. (XNYS:PAAS)</v>
    <v>2</v>
    <v>11</v>
    <v>Finance</v>
    <v>4</v>
    <v>en-US</v>
    <v>a1zfec</v>
    <v>268435456</v>
    <v>1</v>
    <v>Powered by Refinitiv</v>
    <v>36.14</v>
    <v>18.5</v>
    <v>0.83379999999999999</v>
    <v>1.17</v>
    <v>3.3814999999999998E-2</v>
    <v>0</v>
    <v>0</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36.14</v>
    <v>Metals &amp; Mining</v>
    <v>Stock</v>
    <v>45908.96946314766</v>
    <v>106</v>
    <v>35.020000000000003</v>
    <v>20216870000</v>
    <v>Pan American Silver Corp.</v>
    <v>Pan American Silver Corp.</v>
    <v>35.81</v>
    <v>24.835100000000001</v>
    <v>34.6</v>
    <v>35.770000000000003</v>
    <v>35.75</v>
    <v>421976000</v>
    <v>PAAS</v>
    <v>Pan American Silver Corp. (XNYS:PAAS)</v>
    <v>9241696</v>
    <v>5107695</v>
    <v>1979</v>
  </rv>
  <rv s="2">
    <v>107</v>
  </rv>
  <rv s="0">
    <v>https://www.bing.com/financeapi/forcetrigger?t=a2sqhw&amp;q=XNAS%3aPROF&amp;form=skydnc</v>
    <v>Learn more on Bing</v>
  </rv>
  <rv s="1">
    <v>0</v>
    <v>Profound Medical Corp. (XNAS:PROF)</v>
    <v>2</v>
    <v>11</v>
    <v>Finance</v>
    <v>10</v>
    <v>en-US</v>
    <v>a2sqhw</v>
    <v>268435456</v>
    <v>1</v>
    <v>Powered by Refinitiv</v>
    <v>9.17</v>
    <v>3.895</v>
    <v>0.31080000000000002</v>
    <v>-0.01</v>
    <v>-2.4269999999999999E-3</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4.2350000000000003</v>
    <v>Healthcare Equipment &amp; Supplies</v>
    <v>Stock</v>
    <v>45908.840323796096</v>
    <v>109</v>
    <v>4.0199999999999996</v>
    <v>172805600</v>
    <v>Profound Medical Corp.</v>
    <v>Profound Medical Corp.</v>
    <v>4.18</v>
    <v>0</v>
    <v>4.12</v>
    <v>4.1100000000000003</v>
    <v>4.1100000000000003</v>
    <v>30053140</v>
    <v>PROF</v>
    <v>Profound Medical Corp. (XNAS:PROF)</v>
    <v>86551</v>
    <v>137498</v>
    <v>2014</v>
  </rv>
  <rv s="2">
    <v>110</v>
  </rv>
  <rv s="0">
    <v>https://www.bing.com/financeapi/forcetrigger?t=a2si9c&amp;q=XNAS%3aPOET&amp;form=skydnc</v>
    <v>Learn more on Bing</v>
  </rv>
  <rv s="1">
    <v>0</v>
    <v>POET Technologies Inc. (XNAS:POET)</v>
    <v>2</v>
    <v>3</v>
    <v>Finance</v>
    <v>4</v>
    <v>en-US</v>
    <v>a2si9c</v>
    <v>268435456</v>
    <v>1</v>
    <v>Powered by Refinitiv</v>
    <v>7.79</v>
    <v>2.7501000000000002</v>
    <v>0.38179999999999997</v>
    <v>7.0000000000000007E-2</v>
    <v>1.3258000000000001E-2</v>
    <v>-0.01</v>
    <v>-1.869E-3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5.46</v>
    <v>Semiconductors &amp; Semiconductor Equipment</v>
    <v>Stock</v>
    <v>45908.968776376561</v>
    <v>112</v>
    <v>5.2813999999999997</v>
    <v>485445357</v>
    <v>POET Technologies Inc.</v>
    <v>POET Technologies Inc.</v>
    <v>5.32</v>
    <v>0</v>
    <v>5.28</v>
    <v>5.35</v>
    <v>5.34</v>
    <v>90737450</v>
    <v>POET</v>
    <v>POET Technologies Inc. (XNAS:POET)</v>
    <v>917646</v>
    <v>1370149</v>
    <v>2010</v>
  </rv>
  <rv s="2">
    <v>113</v>
  </rv>
  <rv s="0">
    <v>https://www.bing.com/financeapi/forcetrigger?t=a21g2w&amp;q=XNYS%3aPW&amp;form=skydnc</v>
    <v>Learn more on Bing</v>
  </rv>
  <rv s="1">
    <v>0</v>
    <v>POWER REIT (XNYS:PW)</v>
    <v>2</v>
    <v>3</v>
    <v>Finance</v>
    <v>4</v>
    <v>en-US</v>
    <v>a21g2w</v>
    <v>268435456</v>
    <v>1</v>
    <v>Powered by Refinitiv</v>
    <v>2.75</v>
    <v>0.63</v>
    <v>1.5354000000000001</v>
    <v>-3.0700000000000002E-2</v>
    <v>-3.0699999999999998E-2</v>
    <v>-1.9900000000000001E-2</v>
    <v>-2.0306000000000001E-2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1.0101</v>
    <v>Residential &amp; Commercial REIT</v>
    <v>Stock</v>
    <v>45908.970198529685</v>
    <v>115</v>
    <v>0.96</v>
    <v>3285597</v>
    <v>POWER REIT</v>
    <v>POWER REIT</v>
    <v>1</v>
    <v>0</v>
    <v>1</v>
    <v>0.96930000000000005</v>
    <v>0.96009999999999995</v>
    <v>3389660</v>
    <v>PW</v>
    <v>POWER REIT (XNYS:PW)</v>
    <v>40955</v>
    <v>156169</v>
    <v>2011</v>
  </rv>
  <rv s="2">
    <v>116</v>
  </rv>
  <rv s="0">
    <v>https://www.bing.com/financeapi/forcetrigger?t=a2218m&amp;q=XNAS%3aRIGL&amp;form=skydnc</v>
    <v>Learn more on Bing</v>
  </rv>
  <rv s="1">
    <v>0</v>
    <v>RIGEL PHARMACEUTICALS, INC. (XNAS:RIGL)</v>
    <v>2</v>
    <v>3</v>
    <v>Finance</v>
    <v>10</v>
    <v>en-US</v>
    <v>a2218m</v>
    <v>268435456</v>
    <v>1</v>
    <v>Powered by Refinitiv</v>
    <v>43.7181</v>
    <v>12.66</v>
    <v>1.2593000000000001</v>
    <v>-0.47</v>
    <v>-1.1369000000000001E-2</v>
    <v>0.08</v>
    <v>1.957E-3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42.65</v>
    <v>Pharmaceuticals</v>
    <v>Stock</v>
    <v>45908.95455002266</v>
    <v>118</v>
    <v>40.67</v>
    <v>733099085</v>
    <v>RIGEL PHARMACEUTICALS, INC.</v>
    <v>RIGEL PHARMACEUTICALS, INC.</v>
    <v>41.5</v>
    <v>7.5476000000000001</v>
    <v>41.34</v>
    <v>40.869999999999997</v>
    <v>40.950000000000003</v>
    <v>17937340</v>
    <v>RIGL</v>
    <v>RIGEL PHARMACEUTICALS, INC. (XNAS:RIGL)</v>
    <v>841428</v>
    <v>894035</v>
    <v>1996</v>
  </rv>
  <rv s="2">
    <v>119</v>
  </rv>
  <rv s="0">
    <v>https://www.bing.com/financeapi/forcetrigger?t=aftkm7&amp;q=XETR%3aRWE&amp;form=skydnc</v>
    <v>Learn more on Bing</v>
  </rv>
  <rv s="3">
    <v>7</v>
    <v>RWE AG (XETR:RWE)</v>
    <v>2</v>
    <v>8</v>
    <v>Finance</v>
    <v>9</v>
    <v>en-US</v>
    <v>aftkm7</v>
    <v>268435456</v>
    <v>1</v>
    <v>Powered by Refinitiv</v>
    <v>37.78</v>
    <v>27.76</v>
    <v>0.48559999999999998</v>
    <v>0.8</v>
    <v>2.2844000000000003E-2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35.93</v>
    <v>Multiline Utilities</v>
    <v>Stock</v>
    <v>45908.907222222224</v>
    <v>121</v>
    <v>35.340000000000003</v>
    <v>26049320000</v>
    <v>RWE AG</v>
    <v>RWE AG</v>
    <v>35.53</v>
    <v>10.0223</v>
    <v>35.020000000000003</v>
    <v>35.82</v>
    <v>743841200</v>
    <v>RWE</v>
    <v>RWE AG (XETR:RWE)</v>
    <v>2035799</v>
    <v>1284620</v>
    <v>2000</v>
  </rv>
  <rv s="2">
    <v>122</v>
  </rv>
  <rv s="0">
    <v>https://www.bing.com/financeapi/forcetrigger?t=aftlr7&amp;q=XETR%3aSAP&amp;form=skydnc</v>
    <v>Learn more on Bing</v>
  </rv>
  <rv s="3">
    <v>7</v>
    <v>Sap Se (XETR:SAP)</v>
    <v>2</v>
    <v>8</v>
    <v>Finance</v>
    <v>9</v>
    <v>en-US</v>
    <v>aftlr7</v>
    <v>268435456</v>
    <v>1</v>
    <v>Powered by Refinitiv</v>
    <v>283.5</v>
    <v>191.54</v>
    <v>1.1692</v>
    <v>2.2000000000000002</v>
    <v>9.639E-3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231.45</v>
    <v>Software &amp; IT Services</v>
    <v>Stock</v>
    <v>45908.907222222224</v>
    <v>124</v>
    <v>228.2</v>
    <v>280406100000</v>
    <v>Sap Se</v>
    <v>Sap Se</v>
    <v>229.45</v>
    <v>40.753100000000003</v>
    <v>228.25</v>
    <v>230.45</v>
    <v>1228504000</v>
    <v>SAP</v>
    <v>Sap Se (XETR:SAP)</v>
    <v>1277894</v>
    <v>1127920</v>
    <v>2014</v>
  </rv>
  <rv s="2">
    <v>125</v>
  </rv>
  <rv s="0">
    <v>https://www.bing.com/financeapi/forcetrigger?t=a2vkww&amp;q=OTCM%3aSHECY&amp;form=skydnc</v>
    <v>Learn more on Bing</v>
  </rv>
  <rv s="1">
    <v>0</v>
    <v>Shin-Etsu Chemical Co., Ltd. (OTCM:SHECY)</v>
    <v>2</v>
    <v>21</v>
    <v>Finance</v>
    <v>22</v>
    <v>en-US</v>
    <v>a2vkww</v>
    <v>268435456</v>
    <v>1</v>
    <v>Powered by Refinitiv</v>
    <v>21.74</v>
    <v>11.88</v>
    <v>1.4826999999999999</v>
    <v>0.28000000000000003</v>
    <v>1.8880999999999998E-2</v>
    <v>0.03</v>
    <v>1.9850000000000002E-3</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15.15</v>
    <v>Chemicals</v>
    <v>Stock</v>
    <v>45908.888888888891</v>
    <v>127</v>
    <v>14.945</v>
    <v>8739937000000</v>
    <v>Shin-Etsu Chemical Co., Ltd.</v>
    <v>Shin-Etsu Chemical Co., Ltd.</v>
    <v>14.945</v>
    <v>0</v>
    <v>14.83</v>
    <v>15.11</v>
    <v>15.14</v>
    <v>1984996000</v>
    <v>SHECY</v>
    <v>Shin-Etsu Chemical Co., Ltd. (OTCM:SHECY)</v>
    <v>454474</v>
    <v>6904330</v>
    <v>1926</v>
  </rv>
  <rv s="2">
    <v>128</v>
  </rv>
  <rv s="0">
    <v>https://www.bing.com/financeapi/forcetrigger?t=a23myc&amp;q=XNAS%3aSSYS&amp;form=skydnc</v>
    <v>Learn more on Bing</v>
  </rv>
  <rv s="1">
    <v>0</v>
    <v>STRATASYS LTD (XNAS:SSYS)</v>
    <v>2</v>
    <v>3</v>
    <v>Finance</v>
    <v>10</v>
    <v>en-US</v>
    <v>a23myc</v>
    <v>268435456</v>
    <v>1</v>
    <v>Powered by Refinitiv</v>
    <v>12.88</v>
    <v>6.1</v>
    <v>1.5936999999999999</v>
    <v>0.06</v>
    <v>5.8589999999999996E-3</v>
    <v>0.05</v>
    <v>4.8539999999999998E-3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10.37</v>
    <v>Electronic Equipment &amp; Parts</v>
    <v>Stock</v>
    <v>45908.954929085157</v>
    <v>130</v>
    <v>10.17</v>
    <v>876460784</v>
    <v>STRATASYS LTD</v>
    <v>STRATASYS LTD</v>
    <v>10.24</v>
    <v>0</v>
    <v>10.24</v>
    <v>10.3</v>
    <v>10.35</v>
    <v>85093280</v>
    <v>SSYS</v>
    <v>STRATASYS LTD (XNAS:SSYS)</v>
    <v>553683</v>
    <v>1123180</v>
    <v>1998</v>
  </rv>
  <rv s="2">
    <v>131</v>
  </rv>
  <rv s="0">
    <v>https://www.bing.com/financeapi/forcetrigger?t=a24kar&amp;q=XNAS%3aTSLA&amp;form=skydnc</v>
    <v>Learn more on Bing</v>
  </rv>
  <rv s="1">
    <v>0</v>
    <v>TESLA, INC. (XNAS:TSLA)</v>
    <v>2</v>
    <v>3</v>
    <v>Finance</v>
    <v>4</v>
    <v>en-US</v>
    <v>a24kar</v>
    <v>268435456</v>
    <v>1</v>
    <v>Powered by Refinitiv</v>
    <v>488.53989999999999</v>
    <v>212.11</v>
    <v>2.0363000000000002</v>
    <v>-4.4400000000000004</v>
    <v>-1.2655000000000001E-2</v>
    <v>-0.48</v>
    <v>-1.3860000000000001E-3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358.44</v>
    <v>Automobiles &amp; Auto Parts</v>
    <v>Stock</v>
    <v>45908.970529027341</v>
    <v>133</v>
    <v>344.84</v>
    <v>1131617000000</v>
    <v>TESLA, INC.</v>
    <v>TESLA, INC.</v>
    <v>354.64</v>
    <v>195.5129</v>
    <v>350.84</v>
    <v>346.4</v>
    <v>345.92</v>
    <v>3225449000</v>
    <v>TSLA</v>
    <v>TESLA, INC. (XNAS:TSLA)</v>
    <v>75096155</v>
    <v>76807579</v>
    <v>2024</v>
  </rv>
  <rv s="2">
    <v>134</v>
  </rv>
  <rv s="0">
    <v>https://www.bing.com/financeapi/forcetrigger?t=a24kjc&amp;q=XNYS%3aTSM&amp;form=skydnc</v>
    <v>Learn more on Bing</v>
  </rv>
  <rv s="1">
    <v>0</v>
    <v>Taiwan Semiconductor Manufacturing Co., Ltd. (XNYS:TSM)</v>
    <v>2</v>
    <v>3</v>
    <v>Finance</v>
    <v>4</v>
    <v>en-US</v>
    <v>a24kjc</v>
    <v>268435456</v>
    <v>1</v>
    <v>Powered by Refinitiv</v>
    <v>248.28</v>
    <v>134.25</v>
    <v>1.2579</v>
    <v>3.77</v>
    <v>1.5488E-2</v>
    <v>-0.45</v>
    <v>-1.82E-3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247.88</v>
    <v>Semiconductors &amp; Semiconductor Equipment</v>
    <v>Stock</v>
    <v>45908.970651712501</v>
    <v>136</v>
    <v>241.62</v>
    <v>996823400000</v>
    <v>Taiwan Semiconductor Manufacturing Co., Ltd.</v>
    <v>Taiwan Semiconductor Manufacturing Co., Ltd.</v>
    <v>241.99</v>
    <v>25.6235</v>
    <v>243.41</v>
    <v>247.18</v>
    <v>246.74</v>
    <v>5186523000</v>
    <v>TSM</v>
    <v>Taiwan Semiconductor Manufacturing Co., Ltd. (XNYS:TSM)</v>
    <v>12981288</v>
    <v>10446785</v>
    <v>1987</v>
  </rv>
  <rv s="2">
    <v>137</v>
  </rv>
  <rv s="0">
    <v>https://www.bing.com/financeapi/forcetrigger?t=afn5ec&amp;q=XFRA%3aUN01&amp;form=skydnc</v>
    <v>Learn more on Bing</v>
  </rv>
  <rv s="8">
    <v>23</v>
    <v>Uniper SE (XFRA:UN0)</v>
    <v>2</v>
    <v>24</v>
    <v>Finance</v>
    <v>9</v>
    <v>en-US</v>
    <v>afn5ec</v>
    <v>268435456</v>
    <v>1</v>
    <v>Powered by Refinitiv</v>
    <v>73.5</v>
    <v>2.1</v>
    <v>1.0089999999999999</v>
    <v>-0.25</v>
    <v>-7.0520000000000001E-3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35.65</v>
    <v>Multiline Utilities</v>
    <v>Stock</v>
    <v>45908.836805555555</v>
    <v>139</v>
    <v>35.200000000000003</v>
    <v>14784870000</v>
    <v>Uniper SE</v>
    <v>Uniper SE</v>
    <v>35.5</v>
    <v>35.450000000000003</v>
    <v>35.200000000000003</v>
    <v>416475300</v>
    <v>UN0</v>
    <v>Uniper SE (XFRA:UN0)</v>
    <v>79</v>
    <v>1510</v>
    <v>2016</v>
  </rv>
  <rv s="2">
    <v>140</v>
  </rv>
  <rv s="0">
    <v>https://www.bing.com/financeapi/forcetrigger?t=a24xoc&amp;q=XNAS%3aUNIT&amp;form=skydnc</v>
    <v>Learn more on Bing</v>
  </rv>
  <rv s="1">
    <v>0</v>
    <v>UNITI GROUP INC. (XNAS:UNIT)</v>
    <v>2</v>
    <v>3</v>
    <v>Finance</v>
    <v>4</v>
    <v>en-US</v>
    <v>a24xoc</v>
    <v>268435456</v>
    <v>1</v>
    <v>Powered by Refinitiv</v>
    <v>10.466100000000001</v>
    <v>5.6849999999999996</v>
    <v>1.5765</v>
    <v>0.80500000000000005</v>
    <v>0.125</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7.48</v>
    <v>Telecommunications Services</v>
    <v>Stock</v>
    <v>45908.961518089847</v>
    <v>142</v>
    <v>6.4649999999999999</v>
    <v>1072143355</v>
    <v>UNITI GROUP INC.</v>
    <v>UNITI GROUP INC.</v>
    <v>6.48</v>
    <v>30.454000000000001</v>
    <v>6.44</v>
    <v>7.2450000000000001</v>
    <v>7.26</v>
    <v>147983900</v>
    <v>UNIT</v>
    <v>UNITI GROUP INC. (XNAS:UNIT)</v>
    <v>9158005</v>
    <v>3046379</v>
    <v>2024</v>
  </rv>
  <rv s="2">
    <v>143</v>
  </rv>
  <rv s="0">
    <v>https://www.bing.com/financeapi/forcetrigger?t=a1nz8m&amp;q=XNAS%3aAVGO&amp;form=skydnc</v>
    <v>Learn more on Bing</v>
  </rv>
  <rv s="1">
    <v>0</v>
    <v>BROADCOM INC. (XNAS:AVGO)</v>
    <v>2</v>
    <v>3</v>
    <v>Finance</v>
    <v>4</v>
    <v>en-US</v>
    <v>a1nz8m</v>
    <v>268435456</v>
    <v>1</v>
    <v>Powered by Refinitiv</v>
    <v>356.34</v>
    <v>134.9</v>
    <v>1.1936</v>
    <v>10.76</v>
    <v>3.2129999999999999E-2</v>
    <v>0.625</v>
    <v>1.8079999999999999E-3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354.16559999999998</v>
    <v>Semiconductors &amp; Semiconductor Equipment</v>
    <v>Stock</v>
    <v>45908.970584860937</v>
    <v>145</v>
    <v>341.25009999999997</v>
    <v>1625754751150</v>
    <v>BROADCOM INC.</v>
    <v>BROADCOM INC.</v>
    <v>342.75</v>
    <v>88.605500000000006</v>
    <v>334.89</v>
    <v>345.65</v>
    <v>346.27499999999998</v>
    <v>4703471000</v>
    <v>AVGO</v>
    <v>BROADCOM INC. (XNAS:AVGO)</v>
    <v>43509873</v>
    <v>20875428</v>
    <v>2018</v>
  </rv>
  <rv s="2">
    <v>146</v>
  </rv>
  <rv s="0">
    <v>http://tr.wikipedia.org/wiki/Volvo</v>
    <v>Wikipedia</v>
  </rv>
  <rv s="4">
    <v>39</v>
    <v>148</v>
  </rv>
  <rv s="5">
    <v>16</v>
    <v>https://www.bing.com/th?id=AMMS_a85eaa33bec7c64e52ade4c230f05d74&amp;qlt=95</v>
    <v>149</v>
    <v>0</v>
    <v>https://www.bing.com/images/search?form=xlimg&amp;q=ab+volvo</v>
    <v>Image of Volvo AB</v>
  </rv>
  <rv s="0">
    <v>https://www.bing.com/financeapi/forcetrigger?t=a31af2&amp;q=OTCM%3aVLVLY&amp;form=skydnc</v>
    <v>Learn more on Bing</v>
  </rv>
  <rv s="6">
    <v>12</v>
    <v>Volvo AB (OTCM:VLVLY)</v>
    <v>14</v>
    <v>25</v>
    <v>Finance</v>
    <v>22</v>
    <v>en-US</v>
    <v>a31af2</v>
    <v>268435456</v>
    <v>1</v>
    <v>Powered by Refinitiv</v>
    <v>33.33</v>
    <v>22.55</v>
    <v>0.90749999999999997</v>
    <v>-0.33</v>
    <v>-1.1183E-2</v>
    <v>0.09</v>
    <v>3.0839999999999999E-3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29.38</v>
    <v>150</v>
    <v>Machinery, Equipment &amp; Components</v>
    <v>Stock</v>
    <v>45908.888888888891</v>
    <v>151</v>
    <v>28.809000000000001</v>
    <v>562840500000</v>
    <v>Volvo AB</v>
    <v>Volvo AB</v>
    <v>28.93</v>
    <v>0</v>
    <v>29.51</v>
    <v>29.18</v>
    <v>29.27</v>
    <v>2033452000</v>
    <v>VLVLY</v>
    <v>Volvo AB (OTCM:VLVLY)</v>
    <v>39399</v>
    <v>2325820</v>
    <v>1915</v>
  </rv>
  <rv s="2">
    <v>152</v>
  </rv>
  <rv s="0">
    <v>https://www.bing.com/financeapi/forcetrigger?t=an41hw&amp;q=XSWX%3aVONN&amp;form=skydnc</v>
    <v>Learn more on Bing</v>
  </rv>
  <rv s="3">
    <v>7</v>
    <v>Vontobel Holding Ltd (XSWX:VONN)</v>
    <v>2</v>
    <v>26</v>
    <v>Finance</v>
    <v>9</v>
    <v>en-US</v>
    <v>an41hw</v>
    <v>268435456</v>
    <v>1</v>
    <v>Powered by Refinitiv</v>
    <v>69.5</v>
    <v>51.1</v>
    <v>1.0319</v>
    <v>0.3</v>
    <v>4.8780000000000004E-3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61.9</v>
    <v>Investment Banking &amp; Investment Services</v>
    <v>Stock</v>
    <v>45908.652777777781</v>
    <v>154</v>
    <v>61.3</v>
    <v>3497813000</v>
    <v>Vontobel Holding Ltd</v>
    <v>Vontobel Holding Ltd</v>
    <v>61.5</v>
    <v>13.8826</v>
    <v>61.5</v>
    <v>61.8</v>
    <v>56875000</v>
    <v>VONN</v>
    <v>Vontobel Holding Ltd (XSWX:VONN)</v>
    <v>33569</v>
    <v>26770</v>
    <v>1936</v>
  </rv>
  <rv s="2">
    <v>155</v>
  </rv>
  <rv s="0">
    <v>https://www.bing.com/financeapi/forcetrigger?t=a1y7rw&amp;q=XNAS%3aVTRS&amp;form=skydnc</v>
    <v>Learn more on Bing</v>
  </rv>
  <rv s="1">
    <v>0</v>
    <v>VIATRIS INC. (XNAS:VTRS)</v>
    <v>2</v>
    <v>3</v>
    <v>Finance</v>
    <v>4</v>
    <v>en-US</v>
    <v>a1y7rw</v>
    <v>268435456</v>
    <v>1</v>
    <v>Powered by Refinitiv</v>
    <v>13.55</v>
    <v>6.85</v>
    <v>0.90439999999999998</v>
    <v>-0.02</v>
    <v>-1.905E-3</v>
    <v>0.09</v>
    <v>8.5880000000000001E-3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10.5099</v>
    <v>Pharmaceuticals</v>
    <v>Stock</v>
    <v>45908.960415173438</v>
    <v>157</v>
    <v>10.33</v>
    <v>12218338560</v>
    <v>VIATRIS INC.</v>
    <v>VIATRIS INC.</v>
    <v>10.46</v>
    <v>0</v>
    <v>10.5</v>
    <v>10.48</v>
    <v>10.57</v>
    <v>1165872000</v>
    <v>VTRS</v>
    <v>VIATRIS INC. (XNAS:VTRS)</v>
    <v>8808495</v>
    <v>9144667</v>
    <v>2019</v>
  </rv>
  <rv s="2">
    <v>158</v>
  </rv>
  <rv s="0">
    <v>https://www.bing.com/financeapi/forcetrigger?t=a25pm7&amp;q=XNAS%3aWBA&amp;form=skydnc</v>
    <v>Learn more on Bing</v>
  </rv>
  <rv s="3">
    <v>7</v>
    <v>WALGREENS BOOTS ALLIANCE, INC. (XNAS:WBA)</v>
    <v>2</v>
    <v>27</v>
    <v>Finance</v>
    <v>28</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0.4975</v>
    <v>0.67</v>
    <v>6.1339999999999997E-3</v>
    <v>0.15</v>
    <v>1.3650000000000001E-3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110.045</v>
    <v>Oil &amp; Gas</v>
    <v>Stock</v>
    <v>45908.968587128904</v>
    <v>163</v>
    <v>108.35</v>
    <v>468530845300</v>
    <v>EXXON MOBIL CORPORATION</v>
    <v>EXXON MOBIL CORPORATION</v>
    <v>109.73</v>
    <v>15.594200000000001</v>
    <v>109.23</v>
    <v>109.9</v>
    <v>110</v>
    <v>4263247000</v>
    <v>XOM</v>
    <v>EXXON MOBIL CORPORATION (XNYS:XOM)</v>
    <v>15439930</v>
    <v>15502136</v>
    <v>1882</v>
  </rv>
  <rv s="2">
    <v>164</v>
  </rv>
  <rv s="9">
    <v>29</v>
    <v>XPERI INC. (XNYS:XPER)</v>
    <v>30</v>
    <v>20</v>
    <v>Finance</v>
    <v>10</v>
    <v>en-US</v>
    <v>c7dbfr</v>
    <v>268435456</v>
    <v>1</v>
    <v>Powered by Refinitiv</v>
    <v>11.074999999999999</v>
    <v>5.6849999999999996</v>
    <v>1.149</v>
    <v>0</v>
    <v>0</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6.1802999999999999</v>
    <v>Software &amp; IT Services</v>
    <v>Stock</v>
    <v>45908.958333356248</v>
    <v>6.06</v>
    <v>283574780</v>
    <v>XPERI INC.</v>
    <v>XPERI INC.</v>
    <v>6.15</v>
    <v>6.13</v>
    <v>6.13</v>
    <v>6.13</v>
    <v>46260160</v>
    <v>XPER</v>
    <v>XPERI INC. (XNYS:XPER)</v>
    <v>355173</v>
    <v>552111</v>
    <v>2019</v>
  </rv>
  <rv s="2">
    <v>166</v>
  </rv>
  <rv s="0">
    <v>https://www.bing.com/financeapi/forcetrigger?t=ajezf2&amp;q=XMIL%3aENI&amp;form=skydnc</v>
    <v>Learn more on Bing</v>
  </rv>
  <rv s="10">
    <v>31</v>
    <v>Eni SpA (XMIL:ENI)</v>
    <v>2</v>
    <v>32</v>
    <v>Finance</v>
    <v>33</v>
    <v>en-US</v>
    <v>ajezf2</v>
    <v>268435456</v>
    <v>1</v>
    <v>Powered by Refinitiv</v>
    <v>15.39</v>
    <v>11.01</v>
    <v>1.1044</v>
    <v>6.2E-2</v>
    <v>4.2389999999999997E-3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14.78</v>
    <v>Oil &amp; Gas</v>
    <v>Stock</v>
    <v>45908.666666666664</v>
    <v>168</v>
    <v>14.644</v>
    <v>46024590000</v>
    <v>Eni SpA</v>
    <v>Eni SpA</v>
    <v>14.74</v>
    <v>18.273399999999999</v>
    <v>14.625999999999999</v>
    <v>14.688000000000001</v>
    <v>3146765000</v>
    <v>ENI</v>
    <v>Eni SpA (XMIL:ENI)</v>
    <v>7965752</v>
    <v>10934450</v>
  </rv>
  <rv s="2">
    <v>169</v>
  </rv>
  <rv s="0">
    <v>https://www.bing.com/financeapi/forcetrigger?t=ae8t4c&amp;q=XPAR%3aGLE&amp;form=skydnc</v>
    <v>Learn more on Bing</v>
  </rv>
  <rv s="10">
    <v>31</v>
    <v>Societe Generale SA (XPAR:GLE)</v>
    <v>2</v>
    <v>32</v>
    <v>Finance</v>
    <v>9</v>
    <v>en-US</v>
    <v>ae8t4c</v>
    <v>268435456</v>
    <v>1</v>
    <v>Powered by Refinitiv</v>
    <v>59.42</v>
    <v>21.55</v>
    <v>1.5658000000000001</v>
    <v>0.72</v>
    <v>1.3574999999999999E-2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53.78</v>
    <v>Banking Services</v>
    <v>Stock</v>
    <v>45908.666666666664</v>
    <v>171</v>
    <v>52.88</v>
    <v>41645960000</v>
    <v>Societe Generale SA</v>
    <v>Societe Generale SA</v>
    <v>53.26</v>
    <v>8.8834</v>
    <v>53.04</v>
    <v>53.76</v>
    <v>785180400</v>
    <v>GLE</v>
    <v>Societe Generale SA (XPAR:GLE)</v>
    <v>2302225</v>
    <v>3182130</v>
  </rv>
  <rv s="2">
    <v>172</v>
  </rv>
  <rv s="0">
    <v>https://www.bing.com/financeapi/forcetrigger?t=ae9qlh&amp;q=XPAR%3aORA&amp;form=skydnc</v>
    <v>Learn more on Bing</v>
  </rv>
  <rv s="3">
    <v>7</v>
    <v>Orange SA (XPAR:ORA)</v>
    <v>2</v>
    <v>8</v>
    <v>Finance</v>
    <v>9</v>
    <v>en-US</v>
    <v>ae9qlh</v>
    <v>268435456</v>
    <v>1</v>
    <v>Powered by Refinitiv</v>
    <v>14.56</v>
    <v>9.3699999999999992</v>
    <v>0.27610000000000001</v>
    <v>-0.1</v>
    <v>-7.339E-3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13.615</v>
    <v>Telecommunications Services</v>
    <v>Stock</v>
    <v>45908.666666666664</v>
    <v>174</v>
    <v>13.465</v>
    <v>36243270000</v>
    <v>Orange SA</v>
    <v>Orange SA</v>
    <v>13.615</v>
    <v>43.035400000000003</v>
    <v>13.625</v>
    <v>13.525</v>
    <v>2660057000</v>
    <v>ORA</v>
    <v>Orange SA (XPAR:ORA)</v>
    <v>3572600</v>
    <v>5804800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3.4922</v>
    <v>0.08</v>
    <v>7.8431000000000001E-2</v>
    <v>1.9800000000000002E-2</v>
    <v>1.8000000000000002E-2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1.1299999999999999</v>
    <v>Electrical Utilities &amp; IPPs</v>
    <v>Stock</v>
    <v>45908.970314606253</v>
    <v>177</v>
    <v>1.05</v>
    <v>115185730</v>
    <v>BLINK CHARGING CO.</v>
    <v>BLINK CHARGING CO.</v>
    <v>1.1299999999999999</v>
    <v>0</v>
    <v>1.02</v>
    <v>1.1000000000000001</v>
    <v>1.1197999999999999</v>
    <v>104714300</v>
    <v>BLNK</v>
    <v>BLINK CHARGING CO. (XNAS:BLNK)</v>
    <v>2802192</v>
    <v>2810407</v>
    <v>2006</v>
  </rv>
  <rv s="2">
    <v>178</v>
  </rv>
  <rv s="0">
    <v>https://www.bing.com/financeapi/forcetrigger?t=ao8g3m&amp;q=XLON%3aEZJ&amp;form=skydnc</v>
    <v>Learn more on Bing</v>
  </rv>
  <rv s="3">
    <v>7</v>
    <v>EASYJET PLC (XLON:EZJ)</v>
    <v>2</v>
    <v>17</v>
    <v>Finance</v>
    <v>18</v>
    <v>en-US</v>
    <v>ao8g3m</v>
    <v>268435456</v>
    <v>1</v>
    <v>Powered by Refinitiv</v>
    <v>594</v>
    <v>401.05</v>
    <v>2.7930000000000001</v>
    <v>-1</v>
    <v>-2.1290000000000002E-3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473.1</v>
    <v>Passenger Transportation Services</v>
    <v>Stock</v>
    <v>45908.579336539064</v>
    <v>180</v>
    <v>466.4</v>
    <v>3561131000</v>
    <v>EASYJET PLC</v>
    <v>EASYJET PLC</v>
    <v>468</v>
    <v>8.4481999999999999</v>
    <v>469.8</v>
    <v>468.8</v>
    <v>758010000</v>
    <v>EZJ</v>
    <v>EASYJET PLC (XLON:EZJ)</v>
    <v>2173083</v>
    <v>3314380</v>
    <v>2000</v>
  </rv>
  <rv s="2">
    <v>181</v>
  </rv>
  <rv s="0">
    <v>http://en.wikipedia.org/wiki/Ford_Motor_Company</v>
    <v>Wikipedia</v>
  </rv>
  <rv s="4">
    <v>39</v>
    <v>183</v>
  </rv>
  <rv s="5">
    <v>16</v>
    <v>https://www.bing.com/th?id=AMMS_cf0311a5f2d2dcb3110aca1404330618&amp;qlt=95</v>
    <v>184</v>
    <v>0</v>
    <v>https://www.bing.com/images/search?form=xlimg&amp;q=ford+motor+company</v>
    <v>Image of FORD MOTOR COMPANY</v>
  </rv>
  <rv s="0">
    <v>https://www.bing.com/financeapi/forcetrigger?t=a1sjw7&amp;q=XNYS%3aF&amp;form=skydnc</v>
    <v>Learn more on Bing</v>
  </rv>
  <rv s="6">
    <v>12</v>
    <v>FORD MOTOR COMPANY (XNYS:F)</v>
    <v>14</v>
    <v>15</v>
    <v>Finance</v>
    <v>4</v>
    <v>en-US</v>
    <v>a1sjw7</v>
    <v>268435456</v>
    <v>1</v>
    <v>Powered by Refinitiv</v>
    <v>11.99</v>
    <v>8.4405999999999999</v>
    <v>1.5407999999999999</v>
    <v>-6.5000000000000002E-2</v>
    <v>-5.5369999999999994E-3</v>
    <v>-0.01</v>
    <v>-8.5540000000000008E-4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11.75</v>
    <v>185</v>
    <v>Automobiles &amp; Auto Parts</v>
    <v>Stock</v>
    <v>45908.970549941405</v>
    <v>186</v>
    <v>11.58</v>
    <v>46464865500</v>
    <v>FORD MOTOR COMPANY</v>
    <v>FORD MOTOR COMPANY</v>
    <v>11.75</v>
    <v>14.9297</v>
    <v>11.74</v>
    <v>11.675000000000001</v>
    <v>11.68</v>
    <v>3979860000</v>
    <v>F</v>
    <v>FORD MOTOR COMPANY (XNYS:F)</v>
    <v>39716108</v>
    <v>53740669</v>
    <v>1919</v>
  </rv>
  <rv s="2">
    <v>187</v>
  </rv>
  <rv s="0">
    <v>https://www.bing.com/financeapi/forcetrigger?t=a1u1z2&amp;q=XNYS%3aGNRC&amp;form=skydnc</v>
    <v>Learn more on Bing</v>
  </rv>
  <rv s="1">
    <v>0</v>
    <v>GENERAC HOLDINGS INC. (XNYS:GNRC)</v>
    <v>2</v>
    <v>3</v>
    <v>Finance</v>
    <v>10</v>
    <v>en-US</v>
    <v>a1u1z2</v>
    <v>268435456</v>
    <v>1</v>
    <v>Powered by Refinitiv</v>
    <v>203.2499</v>
    <v>99.5</v>
    <v>1.6718999999999999</v>
    <v>2.67</v>
    <v>1.4726999999999999E-2</v>
    <v>-0.34</v>
    <v>-1.8479999999999998E-3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185.37</v>
    <v>Machinery, Equipment &amp; Components</v>
    <v>Stock</v>
    <v>45908.958333344533</v>
    <v>189</v>
    <v>179.8</v>
    <v>10794614521</v>
    <v>GENERAC HOLDINGS INC.</v>
    <v>GENERAC HOLDINGS INC.</v>
    <v>181.22</v>
    <v>30.5486</v>
    <v>181.3</v>
    <v>183.97</v>
    <v>183.63</v>
    <v>58675950</v>
    <v>GNRC</v>
    <v>GENERAC HOLDINGS INC. (XNYS:GNRC)</v>
    <v>894458</v>
    <v>891449</v>
    <v>2006</v>
  </rv>
  <rv s="2">
    <v>190</v>
  </rv>
  <rv s="0">
    <v>https://www.bing.com/financeapi/forcetrigger?t=a1u7xm&amp;q=XNYS%3aGS&amp;form=skydnc</v>
    <v>Learn more on Bing</v>
  </rv>
  <rv s="1">
    <v>0</v>
    <v>THE GOLDMAN SACHS GROUP, INC. (XNYS:GS)</v>
    <v>2</v>
    <v>3</v>
    <v>Finance</v>
    <v>4</v>
    <v>en-US</v>
    <v>a1u7xm</v>
    <v>268435456</v>
    <v>1</v>
    <v>Powered by Refinitiv</v>
    <v>757.35</v>
    <v>439.38</v>
    <v>1.4151</v>
    <v>3.36</v>
    <v>4.5519999999999996E-3</v>
    <v>0</v>
    <v>0</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743.54319999999996</v>
    <v>Investment Banking &amp; Investment Services</v>
    <v>Stock</v>
    <v>45908.967670578124</v>
    <v>192</v>
    <v>733.57</v>
    <v>224488886127</v>
    <v>THE GOLDMAN SACHS GROUP, INC.</v>
    <v>THE GOLDMAN SACHS GROUP, INC.</v>
    <v>739.42</v>
    <v>16.342400000000001</v>
    <v>738.21</v>
    <v>741.57</v>
    <v>741.85</v>
    <v>302721100</v>
    <v>GS</v>
    <v>THE GOLDMAN SACHS GROUP, INC. (XNYS:GS)</v>
    <v>1399513</v>
    <v>1685748</v>
    <v>1998</v>
  </rv>
  <rv s="2">
    <v>193</v>
  </rv>
  <rv s="0">
    <v>https://www.bing.com/financeapi/forcetrigger?t=bplbur&amp;q=XNAS%3aLAZR&amp;form=skydnc</v>
    <v>Learn more on Bing</v>
  </rv>
  <rv s="1">
    <v>0</v>
    <v>LUMINAR TECHNOLOGIES, INC. (XNAS:LAZR)</v>
    <v>2</v>
    <v>3</v>
    <v>Finance</v>
    <v>10</v>
    <v>en-US</v>
    <v>bplbur</v>
    <v>268435456</v>
    <v>1</v>
    <v>Powered by Refinitiv</v>
    <v>18.600000000000001</v>
    <v>1.58</v>
    <v>2.0221</v>
    <v>0.05</v>
    <v>3.0120000000000001E-2</v>
    <v>0.01</v>
    <v>5.8479999999999999E-3</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1.72</v>
    <v>Automobiles &amp; Auto Parts</v>
    <v>Stock</v>
    <v>45908.957967117967</v>
    <v>195</v>
    <v>1.62</v>
    <v>117587226</v>
    <v>LUMINAR TECHNOLOGIES, INC.</v>
    <v>LUMINAR TECHNOLOGIES, INC.</v>
    <v>1.69</v>
    <v>0</v>
    <v>1.66</v>
    <v>1.71</v>
    <v>1.72</v>
    <v>68764460</v>
    <v>LAZR</v>
    <v>LUMINAR TECHNOLOGIES, INC. (XNAS:LAZR)</v>
    <v>2550440</v>
    <v>3940716</v>
    <v>2018</v>
  </rv>
  <rv s="2">
    <v>196</v>
  </rv>
  <rv s="0">
    <v>https://www.bing.com/financeapi/forcetrigger?t=a1x6rw&amp;q=XNYS%3aLUV&amp;form=skydnc</v>
    <v>Learn more on Bing</v>
  </rv>
  <rv s="1">
    <v>0</v>
    <v>SOUTHWEST AIRLINES CO. (XNYS:LUV)</v>
    <v>2</v>
    <v>3</v>
    <v>Finance</v>
    <v>4</v>
    <v>en-US</v>
    <v>a1x6rw</v>
    <v>268435456</v>
    <v>1</v>
    <v>Powered by Refinitiv</v>
    <v>37.96</v>
    <v>23.815000000000001</v>
    <v>1.2143999999999999</v>
    <v>0.33</v>
    <v>1.0513E-2</v>
    <v>-9.9900000000000003E-2</v>
    <v>-3.15E-3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31.855</v>
    <v>Passenger Transportation Services</v>
    <v>Stock</v>
    <v>45908.966567060153</v>
    <v>198</v>
    <v>31.195</v>
    <v>16658953844</v>
    <v>SOUTHWEST AIRLINES CO.</v>
    <v>SOUTHWEST AIRLINES CO.</v>
    <v>31.27</v>
    <v>38.0792</v>
    <v>31.39</v>
    <v>31.72</v>
    <v>31.610099999999999</v>
    <v>525187700</v>
    <v>LUV</v>
    <v>SOUTHWEST AIRLINES CO. (XNYS:LUV)</v>
    <v>9330088</v>
    <v>7400347</v>
    <v>1967</v>
  </rv>
  <rv s="2">
    <v>199</v>
  </rv>
  <rv s="0">
    <v>https://www.bing.com/financeapi/forcetrigger?t=a1x8w7&amp;q=XNYS%3aMA&amp;form=skydnc</v>
    <v>Learn more on Bing</v>
  </rv>
  <rv s="1">
    <v>0</v>
    <v>MASTERCARD INCORPORATED. (XNYS:MA)</v>
    <v>2</v>
    <v>3</v>
    <v>Finance</v>
    <v>4</v>
    <v>en-US</v>
    <v>a1x8w7</v>
    <v>268435456</v>
    <v>1</v>
    <v>Powered by Refinitiv</v>
    <v>601.77</v>
    <v>465.59</v>
    <v>0.98370000000000002</v>
    <v>2.69</v>
    <v>4.6039999999999996E-3</v>
    <v>1.4</v>
    <v>2.3869999999999998E-3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589.79399999999998</v>
    <v>Software &amp; IT Services</v>
    <v>Stock</v>
    <v>45908.965864536716</v>
    <v>201</v>
    <v>580.70000000000005</v>
    <v>530573565538</v>
    <v>MASTERCARD INCORPORATED.</v>
    <v>MASTERCARD INCORPORATED.</v>
    <v>582.62</v>
    <v>39.5807</v>
    <v>584.22</v>
    <v>586.91</v>
    <v>588</v>
    <v>904011800</v>
    <v>MA</v>
    <v>MASTERCARD INCORPORATED. (XNYS:MA)</v>
    <v>1948268</v>
    <v>2475956</v>
    <v>2001</v>
  </rv>
  <rv s="2">
    <v>202</v>
  </rv>
  <rv s="0">
    <v>https://www.bing.com/financeapi/forcetrigger?t=a1yuvh&amp;q=XNAS%3aNVAX&amp;form=skydnc</v>
    <v>Learn more on Bing</v>
  </rv>
  <rv s="1">
    <v>0</v>
    <v>NOVAVAX, INC. (XNAS:NVAX)</v>
    <v>2</v>
    <v>3</v>
    <v>Finance</v>
    <v>4</v>
    <v>en-US</v>
    <v>a1yuvh</v>
    <v>268435456</v>
    <v>1</v>
    <v>Powered by Refinitiv</v>
    <v>15.22</v>
    <v>5.01</v>
    <v>2.7240000000000002</v>
    <v>-0.17</v>
    <v>-2.1519E-2</v>
    <v>0</v>
    <v>0</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7.86</v>
    <v>Biotechnology &amp; Medical Research</v>
    <v>Stock</v>
    <v>45908.965243321094</v>
    <v>204</v>
    <v>7.63</v>
    <v>1255518968</v>
    <v>NOVAVAX, INC.</v>
    <v>NOVAVAX, INC.</v>
    <v>7.86</v>
    <v>3.3797000000000001</v>
    <v>7.9</v>
    <v>7.73</v>
    <v>7.73</v>
    <v>162421600</v>
    <v>NVAX</v>
    <v>NOVAVAX, INC. (XNAS:NVAX)</v>
    <v>3491310</v>
    <v>8669477</v>
    <v>1987</v>
  </rv>
  <rv s="2">
    <v>205</v>
  </rv>
  <rv s="0">
    <v>http://en.wikipedia.org/wiki/Novartis</v>
    <v>Wikipedia</v>
  </rv>
  <rv s="4">
    <v>39</v>
    <v>207</v>
  </rv>
  <rv s="5">
    <v>16</v>
    <v>https://www.bing.com/th?id=AMMS_3a4201ed5d487670c98d0ce5663b2ca7&amp;qlt=95</v>
    <v>208</v>
    <v>0</v>
    <v>https://www.bing.com/images/search?form=xlimg&amp;q=novartis</v>
    <v>Image of Novartis Inc.</v>
  </rv>
  <rv s="0">
    <v>https://www.bing.com/financeapi/forcetrigger?t=a1yw77&amp;q=XNYS%3aNVS&amp;form=skydnc</v>
    <v>Learn more on Bing</v>
  </rv>
  <rv s="6">
    <v>12</v>
    <v>Novartis Inc. (XNYS:NVS)</v>
    <v>14</v>
    <v>15</v>
    <v>Finance</v>
    <v>10</v>
    <v>en-US</v>
    <v>a1yw77</v>
    <v>268435456</v>
    <v>1</v>
    <v>Powered by Refinitiv</v>
    <v>130.46</v>
    <v>96.061999999999998</v>
    <v>0.63300000000000001</v>
    <v>-1.02</v>
    <v>-7.8620000000000009E-3</v>
    <v>-7.0000000000000007E-2</v>
    <v>-5.4390000000000005E-4</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129.07</v>
    <v>209</v>
    <v>Pharmaceuticals</v>
    <v>Stock</v>
    <v>45908.958333344533</v>
    <v>210</v>
    <v>127.83</v>
    <v>275215700000</v>
    <v>Novartis Inc.</v>
    <v>Novartis Inc.</v>
    <v>128.55000000000001</v>
    <v>18.760999999999999</v>
    <v>129.72999999999999</v>
    <v>128.71</v>
    <v>128.63999999999999</v>
    <v>2112422000</v>
    <v>NVS</v>
    <v>Novartis Inc. (XNYS:NVS)</v>
    <v>1034275</v>
    <v>1310208</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0.96750000000000003</v>
    <v>-0.51</v>
    <v>-1.1109000000000001E-2</v>
    <v>6.9500000000000006E-2</v>
    <v>1.5319999999999999E-3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46.225000000000001</v>
    <v>Oil &amp; Gas</v>
    <v>Stock</v>
    <v>45908.966569003904</v>
    <v>213</v>
    <v>44.77</v>
    <v>44693566920</v>
    <v>OCCIDENTAL PETROLEUM CORPORATION</v>
    <v>OCCIDENTAL PETROLEUM CORPORATION</v>
    <v>46.15</v>
    <v>26.742100000000001</v>
    <v>45.91</v>
    <v>45.4</v>
    <v>45.4495</v>
    <v>984439800</v>
    <v>OXY</v>
    <v>OCCIDENTAL PETROLEUM CORPORATION (XNYS:OXY)</v>
    <v>7569411</v>
    <v>9615934</v>
    <v>1986</v>
  </rv>
  <rv s="2">
    <v>214</v>
  </rv>
  <rv s="0">
    <v>https://www.bing.com/financeapi/forcetrigger?t=a1zqnm&amp;q=XNYS%3aPFE&amp;form=skydnc</v>
    <v>Learn more on Bing</v>
  </rv>
  <rv s="1">
    <v>0</v>
    <v>PFIZER INC. (XNYS:PFE)</v>
    <v>2</v>
    <v>3</v>
    <v>Finance</v>
    <v>4</v>
    <v>en-US</v>
    <v>a1zqnm</v>
    <v>268435456</v>
    <v>1</v>
    <v>Powered by Refinitiv</v>
    <v>30.43</v>
    <v>20.914999999999999</v>
    <v>0.50639999999999996</v>
    <v>-0.315</v>
    <v>-1.2661E-2</v>
    <v>-9.9000000000000008E-3</v>
    <v>-4.0329999999999999E-4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24.965</v>
    <v>Pharmaceuticals</v>
    <v>Stock</v>
    <v>45908.970502510936</v>
    <v>216</v>
    <v>24.31</v>
    <v>139665535750</v>
    <v>PFIZER INC.</v>
    <v>PFIZER INC.</v>
    <v>24.9</v>
    <v>17.813600000000001</v>
    <v>24.88</v>
    <v>24.565000000000001</v>
    <v>24.540099999999999</v>
    <v>5685550000</v>
    <v>PFE</v>
    <v>PFIZER INC. (XNYS:PFE)</v>
    <v>49232599</v>
    <v>42529897</v>
    <v>1942</v>
  </rv>
  <rv s="2">
    <v>217</v>
  </rv>
  <rv s="0">
    <v>https://www.bing.com/financeapi/forcetrigger?t=a2215r&amp;q=XNYS%3aRIG&amp;form=skydnc</v>
    <v>Learn more on Bing</v>
  </rv>
  <rv s="7">
    <v>19</v>
    <v>Transocean Ltd (XNYS:RIG)</v>
    <v>2</v>
    <v>20</v>
    <v>Finance</v>
    <v>10</v>
    <v>en-US</v>
    <v>a2215r</v>
    <v>268435456</v>
    <v>1</v>
    <v>Powered by Refinitiv</v>
    <v>4.76</v>
    <v>1.97</v>
    <v>2.6911</v>
    <v>0.09</v>
    <v>2.9315999999999998E-2</v>
    <v>-0.02</v>
    <v>-6.3290000000000004E-3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3.22</v>
    <v>Oil &amp; Gas Related Equipment and Services</v>
    <v>Stock</v>
    <v>45908.958333344533</v>
    <v>219</v>
    <v>3.0146999999999999</v>
    <v>2980275000</v>
    <v>Transocean Ltd</v>
    <v>Transocean Ltd</v>
    <v>3.11</v>
    <v>3.07</v>
    <v>3.16</v>
    <v>3.14</v>
    <v>943125000</v>
    <v>RIG</v>
    <v>Transocean Ltd (XNYS:RIG)</v>
    <v>28131519</v>
    <v>22702995</v>
    <v>2008</v>
  </rv>
  <rv s="2">
    <v>220</v>
  </rv>
  <rv s="0">
    <v>https://www.bing.com/financeapi/forcetrigger?t=a228w7&amp;q=XNYS%3aRRC&amp;form=skydnc</v>
    <v>Learn more on Bing</v>
  </rv>
  <rv s="1">
    <v>0</v>
    <v>RANGE RESOURCES CORPORATION (XNYS:RRC)</v>
    <v>2</v>
    <v>3</v>
    <v>Finance</v>
    <v>10</v>
    <v>en-US</v>
    <v>a228w7</v>
    <v>268435456</v>
    <v>1</v>
    <v>Powered by Refinitiv</v>
    <v>43.5</v>
    <v>27.55</v>
    <v>0.50629999999999997</v>
    <v>-0.64</v>
    <v>-1.8444000000000002E-2</v>
    <v>-0.12</v>
    <v>-3.5230000000000001E-3</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35.270000000000003</v>
    <v>Oil &amp; Gas</v>
    <v>Stock</v>
    <v>45908.958333344533</v>
    <v>222</v>
    <v>33.94</v>
    <v>8112788866</v>
    <v>RANGE RESOURCES CORPORATION</v>
    <v>RANGE RESOURCES CORPORATION</v>
    <v>35.19</v>
    <v>30.5443</v>
    <v>34.700000000000003</v>
    <v>34.06</v>
    <v>33.94</v>
    <v>238191100</v>
    <v>RRC</v>
    <v>RANGE RESOURCES CORPORATION (XNYS:RRC)</v>
    <v>4135614</v>
    <v>2409146</v>
    <v>1980</v>
  </rv>
  <rv s="2">
    <v>223</v>
  </rv>
  <rv s="0">
    <v>https://www.bing.com/financeapi/forcetrigger?t=a23i8m&amp;q=XNYS%3aSQ&amp;form=skydnc</v>
    <v>Learn more on Bing</v>
  </rv>
  <rv s="1">
    <v>0</v>
    <v>BLOCK, INC. (XNYS:XYZ)</v>
    <v>2</v>
    <v>3</v>
    <v>Finance</v>
    <v>4</v>
    <v>en-US</v>
    <v>a23i8m</v>
    <v>268435456</v>
    <v>1</v>
    <v>Powered by Refinitiv</v>
    <v>99.26</v>
    <v>44.27</v>
    <v>2.7463000000000002</v>
    <v>0.88</v>
    <v>1.1742999999999998E-2</v>
    <v>0.17</v>
    <v>2.2420000000000001E-3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75.98</v>
    <v>Professional &amp; Commercial Services</v>
    <v>Stock</v>
    <v>45908.964925057815</v>
    <v>225</v>
    <v>74.885000000000005</v>
    <v>46218658879</v>
    <v>BLOCK, INC.</v>
    <v>BLOCK, INC.</v>
    <v>75.05</v>
    <v>44.773800000000001</v>
    <v>74.94</v>
    <v>75.819999999999993</v>
    <v>75.989999999999995</v>
    <v>609584000</v>
    <v>XYZ</v>
    <v>BLOCK, INC. (XNYS:XYZ)</v>
    <v>5188877</v>
    <v>7636834</v>
    <v>2009</v>
  </rv>
  <rv s="2">
    <v>226</v>
  </rv>
  <rv s="0">
    <v>https://www.bing.com/financeapi/forcetrigger?t=a2475r&amp;q=XNYS%3aTHC&amp;form=skydnc</v>
    <v>Learn more on Bing</v>
  </rv>
  <rv s="1">
    <v>0</v>
    <v>TENET HEALTHCARE CORPORATION (XNYS:THC)</v>
    <v>2</v>
    <v>3</v>
    <v>Finance</v>
    <v>10</v>
    <v>en-US</v>
    <v>a2475r</v>
    <v>268435456</v>
    <v>1</v>
    <v>Powered by Refinitiv</v>
    <v>196.73</v>
    <v>109.82389999999999</v>
    <v>1.5163</v>
    <v>-3.71</v>
    <v>-1.8911000000000001E-2</v>
    <v>-1.47</v>
    <v>-7.6380000000000007E-3</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196.25</v>
    <v>Healthcare Providers &amp; Services</v>
    <v>Stock</v>
    <v>45908.958333344533</v>
    <v>228</v>
    <v>190.08359999999999</v>
    <v>17004916970</v>
    <v>TENET HEALTHCARE CORPORATION</v>
    <v>TENET HEALTHCARE CORPORATION</v>
    <v>195.59</v>
    <v>12.7258</v>
    <v>196.18</v>
    <v>192.47</v>
    <v>191</v>
    <v>88351000</v>
    <v>THC</v>
    <v>TENET HEALTHCARE CORPORATION (XNYS:THC)</v>
    <v>1014358</v>
    <v>934083</v>
    <v>1975</v>
  </rv>
  <rv s="2">
    <v>229</v>
  </rv>
  <rv s="0">
    <v>https://www.bing.com/financeapi/forcetrigger?t=a265bh&amp;q=XNYS%3aX&amp;form=skydnc</v>
    <v>Learn more on Bing</v>
  </rv>
  <rv s="3">
    <v>7</v>
    <v>UNITED STATES STEEL CORPORATION (XNYS:X)</v>
    <v>2</v>
    <v>27</v>
    <v>Finance</v>
    <v>28</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1">
    <v>34</v>
    <v>iShs Digtl Sec UCITS ETF USD A (XLON:LOCK)</v>
    <v>35</v>
    <v>36</v>
    <v>Finance</v>
    <v>37</v>
    <v>en-US</v>
    <v>bhz7hw</v>
    <v>268435456</v>
    <v>1</v>
    <v>Powered by Refinitiv</v>
    <v>10.178000000000001</v>
    <v>7.351</v>
    <v>0.61380000000000001</v>
    <v>0.14000000000000001</v>
    <v>1.3955E-2</v>
    <v>USD</v>
    <v>London Stock Exchange</v>
    <v>XLON</v>
    <v>4.0000000000000001E-3</v>
    <v>10.178000000000001</v>
    <v>ETF</v>
    <v>45908.652645080467</v>
    <v>234</v>
    <v>10.119999999999999</v>
    <v>1635100744.3800001</v>
    <v>iShs Digtl Sec UCITS ETF USD A</v>
    <v>10.141999999999999</v>
    <v>10.032</v>
    <v>10.172000000000001</v>
    <v>LOCK</v>
    <v>iShs Digtl Sec UCITS ETF USD A (XLON:LOCK)</v>
    <v>47801</v>
  </rv>
  <rv s="2">
    <v>235</v>
  </rv>
  <rv s="12">
    <v>12</v>
    <v>Volume average</v>
    <v>0</v>
  </rv>
  <rv s="13">
    <v>12</v>
    <v>1</v>
  </rv>
  <rv s="14">
    <v>38</v>
    <v>EUR/USD</v>
    <v>39</v>
    <v>40</v>
    <v>Finance</v>
    <v>41</v>
    <v>en-US</v>
    <v>av932w</v>
    <v>268435456</v>
    <v>1</v>
    <v>Powered by Refinitiv</v>
    <v>1.1829000000000001</v>
    <v>1.0176000000000001</v>
    <v>4.0000000000000002E-4</v>
    <v>3.4009999999999997E-4</v>
    <v>USD</v>
    <v>EUR</v>
    <v>1.1768000000000001</v>
    <v>Currency Pair</v>
    <v>45908.970555555556</v>
    <v>1.1759999999999999</v>
    <v>Euro/US Dollar FX Spot Rate</v>
    <v>1.1761999999999999</v>
    <v>1.1761999999999999</v>
    <v>1.1766000000000001</v>
    <v>EURUSD</v>
    <v>EUR/USD</v>
  </rv>
  <rv s="2">
    <v>239</v>
  </rv>
  <rv s="14">
    <v>38</v>
    <v>EUR/CHF</v>
    <v>39</v>
    <v>42</v>
    <v>Finance</v>
    <v>41</v>
    <v>en-US</v>
    <v>av923m</v>
    <v>268435456</v>
    <v>1</v>
    <v>Powered by Refinitiv</v>
    <v>0.96609999999999996</v>
    <v>0.92</v>
    <v>2.0000000000000001E-4</v>
    <v>2.1450000000000001E-4</v>
    <v>CHF</v>
    <v>EUR</v>
    <v>0.93359999999999999</v>
    <v>Currency Pair</v>
    <v>45908.970555555556</v>
    <v>0.93289999999999995</v>
    <v>Euro/Swiss Franc FX Cross Rate</v>
    <v>0.93259999999999998</v>
    <v>0.93259999999999998</v>
    <v>0.93279999999999996</v>
    <v>EURCHF</v>
    <v>EUR/CHF</v>
  </rv>
  <rv s="2">
    <v>241</v>
  </rv>
  <rv s="14">
    <v>38</v>
    <v>EUR/GBP</v>
    <v>39</v>
    <v>43</v>
    <v>Finance</v>
    <v>41</v>
    <v>en-US</v>
    <v>av92z2</v>
    <v>268435456</v>
    <v>1</v>
    <v>Powered by Refinitiv</v>
    <v>0.87629999999999997</v>
    <v>0.82189999999999996</v>
    <v>-2.0000000000000001E-4</v>
    <v>-2.3029999999999999E-4</v>
    <v>GBP</v>
    <v>EUR</v>
    <v>0.86829999999999996</v>
    <v>Currency Pair</v>
    <v>45908.970590277779</v>
    <v>0.86799999999999999</v>
    <v>Euro/UK Pound Sterling FX Cross Rate</v>
    <v>0.86819999999999997</v>
    <v>0.86829999999999996</v>
    <v>0.86809999999999998</v>
    <v>EURGBP</v>
    <v>EUR/GBP</v>
  </rv>
  <rv s="2">
    <v>243</v>
  </rv>
  <rv s="14">
    <v>38</v>
    <v>EUR/AUD</v>
    <v>39</v>
    <v>44</v>
    <v>Finance</v>
    <v>41</v>
    <v>en-US</v>
    <v>av8sfr</v>
    <v>268435456</v>
    <v>1</v>
    <v>Powered by Refinitiv</v>
    <v>1.8554999999999999</v>
    <v>1.5899000000000001</v>
    <v>-4.0000000000000002E-4</v>
    <v>-2.2429999999999998E-4</v>
    <v>AUD</v>
    <v>EUR</v>
    <v>1.7850999999999999</v>
    <v>Currency Pair</v>
    <v>45908.970555555556</v>
    <v>1.7836000000000001</v>
    <v>Euro/Australian Dollar FX Cross Rate</v>
    <v>1.7843</v>
    <v>1.7837000000000001</v>
    <v>1.7833000000000001</v>
    <v>EURAUD</v>
    <v>EUR/AUD</v>
  </rv>
  <rv s="2">
    <v>245</v>
  </rv>
  <rv s="14">
    <v>38</v>
    <v>EUR/CAD</v>
    <v>39</v>
    <v>45</v>
    <v>Finance</v>
    <v>41</v>
    <v>en-US</v>
    <v>av8ttc</v>
    <v>268435456</v>
    <v>1</v>
    <v>Powered by Refinitiv</v>
    <v>1.6256999999999999</v>
    <v>1.4484999999999999</v>
    <v>4.0000000000000002E-4</v>
    <v>2.4639999999999997E-4</v>
    <v>CAD</v>
    <v>EUR</v>
    <v>1.6236999999999999</v>
    <v>Currency Pair</v>
    <v>45908.970601851855</v>
    <v>1.6231</v>
    <v>Euro/Canadian Dollar FX Cross Rate</v>
    <v>1.6232</v>
    <v>1.6232</v>
    <v>1.6235999999999999</v>
    <v>EURCAD</v>
    <v>EUR/CAD</v>
  </rv>
  <rv s="2">
    <v>247</v>
  </rv>
  <rv s="14">
    <v>38</v>
    <v>USD/JPY</v>
    <v>39</v>
    <v>46</v>
    <v>Finance</v>
    <v>41</v>
    <v>en-US</v>
    <v>avyomw</v>
    <v>268435456</v>
    <v>1</v>
    <v>Powered by Refinitiv</v>
    <v>158.87</v>
    <v>139.56</v>
    <v>-0.16</v>
    <v>-1.085E-3</v>
    <v>JPY</v>
    <v>USD</v>
    <v>147.53</v>
    <v>Currency Pair</v>
    <v>45908.970555555556</v>
    <v>147.36000000000001</v>
    <v>US Dollar/Japanese Yen FX Spot Rate</v>
    <v>147.51</v>
    <v>147.51</v>
    <v>147.35</v>
    <v>USDJPY</v>
    <v>USD/JPY</v>
  </rv>
  <rv s="2">
    <v>249</v>
  </rv>
  <rv s="14">
    <v>38</v>
    <v>USD/CHF</v>
    <v>39</v>
    <v>42</v>
    <v>Finance</v>
    <v>41</v>
    <v>en-US</v>
    <v>avyt7w</v>
    <v>268435456</v>
    <v>1</v>
    <v>Powered by Refinitiv</v>
    <v>0.92</v>
    <v>0.78690000000000004</v>
    <v>-1E-4</v>
    <v>-1.261E-4</v>
    <v>CHF</v>
    <v>USD</v>
    <v>0.79390000000000005</v>
    <v>Currency Pair</v>
    <v>45908.970543981479</v>
    <v>0.79310000000000003</v>
    <v>US Dollar/Swiss Franc FX Spot Rate</v>
    <v>0.79339999999999999</v>
    <v>0.79290000000000005</v>
    <v>0.79279999999999995</v>
    <v>USDCHF</v>
    <v>USD/CHF</v>
  </rv>
  <rv s="2">
    <v>251</v>
  </rv>
  <rv s="14">
    <v>38</v>
    <v>USD/GBP</v>
    <v>39</v>
    <v>43</v>
    <v>Finance</v>
    <v>41</v>
    <v>en-US</v>
    <v>avyu4c</v>
    <v>268435456</v>
    <v>1</v>
    <v>Powered by Refinitiv</v>
    <v>0.82650000000000001</v>
    <v>0.72509999999999997</v>
    <v>-5.44E-4</v>
    <v>-7.3690000000000008E-4</v>
    <v>GBP</v>
    <v>USD</v>
    <v>0.73819999999999997</v>
    <v>Currency Pair</v>
    <v>45908.970567129632</v>
    <v>0.73780000000000001</v>
    <v>US Dollar/UK Pound Sterling FX Cross Rate</v>
    <v>0.73809999999999998</v>
    <v>0.73819999999999997</v>
    <v>0.73770000000000002</v>
    <v>USDGBP</v>
    <v>USD/GBP</v>
  </rv>
  <rv s="2">
    <v>253</v>
  </rv>
  <rv s="0">
    <v>https://www.bing.com/financeapi/forcetrigger?t=a6qja2&amp;q=DOW+JONES+INDU+AVERAGE+NDX&amp;form=skydnc</v>
    <v>Learn more on Bing</v>
  </rv>
  <rv s="15">
    <v>47</v>
    <v>DOW JONES INDU AVERAGE NDX</v>
    <v>35</v>
    <v>48</v>
    <v>Finance</v>
    <v>49</v>
    <v>en-US</v>
    <v>a6qja2</v>
    <v>268435456</v>
    <v>1</v>
    <v>Powered by Refinitiv</v>
    <v>45770.2</v>
    <v>36611.78</v>
    <v>114.09</v>
    <v>2.513E-3</v>
    <v>US</v>
    <v>45542.559999999998</v>
    <v>Index</v>
    <v>255</v>
    <v>45277.73</v>
    <v>DOW JONES INDU AVERAGE NDX</v>
    <v>45430.61</v>
    <v>45400.86</v>
    <v>45514.95</v>
    <v>DJI</v>
    <v>DOW JONES INDU AVERAGE NDX</v>
  </rv>
  <rv s="2">
    <v>256</v>
  </rv>
  <rv s="0">
    <v>https://www.bing.com/financeapi/forcetrigger?t=bxjpp2&amp;q=XLON%3aXNAS&amp;form=skydnc</v>
    <v>Learn more on Bing</v>
  </rv>
  <rv s="11">
    <v>34</v>
    <v>X NASDAQ 100 UCITS ETF 1C (XLON:XNAS)</v>
    <v>35</v>
    <v>36</v>
    <v>Finance</v>
    <v>37</v>
    <v>en-US</v>
    <v>bxjpp2</v>
    <v>268435456</v>
    <v>1</v>
    <v>Powered by Refinitiv</v>
    <v>55.46</v>
    <v>37.74</v>
    <v>1.123</v>
    <v>0.54</v>
    <v>9.8899999999999995E-3</v>
    <v>USD</v>
    <v>London Stock Exchange</v>
    <v>XLON</v>
    <v>2E-3</v>
    <v>55.15</v>
    <v>ETF</v>
    <v>45908.649619120311</v>
    <v>258</v>
    <v>54.88</v>
    <v>1555078296.0899999</v>
    <v>X NASDAQ 100 UCITS ETF 1C</v>
    <v>54.89</v>
    <v>54.6</v>
    <v>55.14</v>
    <v>XNAS</v>
    <v>X NASDAQ 100 UCITS ETF 1C (XLON:XNAS)</v>
    <v>13566</v>
  </rv>
  <rv s="2">
    <v>259</v>
  </rv>
  <rv s="12">
    <v>12</v>
    <v>Instrument type</v>
    <v>0</v>
  </rv>
  <rv s="0">
    <v>https://www.bing.com/financeapi/forcetrigger?t=a1qqvh&amp;q=XNAS%3aDAX&amp;form=skydnc</v>
    <v>Learn more on Bing</v>
  </rv>
  <rv s="16">
    <v>50</v>
    <v>Glbl X DAX Germany (XNAS:DAX)</v>
    <v>35</v>
    <v>51</v>
    <v>Finance</v>
    <v>52</v>
    <v>en-US</v>
    <v>a1qqvh</v>
    <v>268435456</v>
    <v>1</v>
    <v>Powered by Refinitiv</v>
    <v>46.088799999999999</v>
    <v>32.33</v>
    <v>1.0944</v>
    <v>0.4904</v>
    <v>1.1120000000000001E-2</v>
    <v>0.01</v>
    <v>2.2429999999999998E-4</v>
    <v>USD</v>
    <v>Nasdaq Stock Market</v>
    <v>XNAS</v>
    <v>2E-3</v>
    <v>44.6</v>
    <v>ETF</v>
    <v>45908.940988147653</v>
    <v>262</v>
    <v>44.26</v>
    <v>305665362.13999999</v>
    <v>Glbl X DAX Germany</v>
    <v>44.44</v>
    <v>44.099600000000002</v>
    <v>44.59</v>
    <v>44.6</v>
    <v>DAX</v>
    <v>Glbl X DAX Germany (XNAS:DAX)</v>
    <v>48524</v>
    <v>74611</v>
  </rv>
  <rv s="2">
    <v>263</v>
  </rv>
</rvData>
</file>

<file path=xl/richData/rdrichvaluestructure.xml><?xml version="1.0" encoding="utf-8"?>
<rvStructures xmlns="http://schemas.microsoft.com/office/spreadsheetml/2017/richdata" count="17">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1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53">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3">
      <v>10</v>
      <v>2</v>
      <v>2</v>
      <v>10</v>
      <v>3</v>
      <v>10</v>
      <v>10</v>
      <v>10</v>
      <v>4</v>
      <v>4</v>
      <v>5</v>
      <v>11</v>
      <v>10</v>
      <v>10</v>
      <v>10</v>
      <v>4</v>
      <v>7</v>
      <v>8</v>
      <v>9</v>
      <v>4</v>
      <v>10</v>
      <v>10</v>
      <v>5</v>
    </spb>
    <spb s="4">
      <v>at close</v>
      <v>from previous close</v>
      <v>from previous close</v>
      <v>LSE</v>
      <v>GMT</v>
      <v>Delayed 15 minutes</v>
      <v>from close</v>
      <v>from close</v>
    </spb>
    <spb s="0">
      <v>1</v>
      <v>Name</v>
      <v>LearnMoreOnLink</v>
    </spb>
    <spb s="5">
      <v>12</v>
      <v>2</v>
      <v>2</v>
      <v>12</v>
      <v>3</v>
      <v>12</v>
      <v>12</v>
      <v>12</v>
      <v>4</v>
      <v>4</v>
      <v>5</v>
      <v>13</v>
      <v>12</v>
      <v>12</v>
      <v>12</v>
      <v>4</v>
      <v>7</v>
      <v>8</v>
      <v>9</v>
      <v>4</v>
    </spb>
    <spb s="6">
      <v>Delayed 15 minutes</v>
      <v>from previous close</v>
      <v>from previous close</v>
      <v>GMT</v>
    </spb>
    <spb s="4">
      <v>at close</v>
      <v>from previous close</v>
      <v>from previous close</v>
      <v>Source: Nasdaq</v>
      <v>GMT</v>
      <v>Delayed 15 minutes</v>
      <v>from close</v>
      <v>from close</v>
    </spb>
    <spb s="3">
      <v>1</v>
      <v>2</v>
      <v>2</v>
      <v>1</v>
      <v>3</v>
      <v>1</v>
      <v>1</v>
      <v>1</v>
      <v>4</v>
      <v>4</v>
      <v>5</v>
      <v>14</v>
      <v>1</v>
      <v>1</v>
      <v>1</v>
      <v>4</v>
      <v>7</v>
      <v>8</v>
      <v>9</v>
      <v>4</v>
      <v>1</v>
      <v>1</v>
      <v>5</v>
    </spb>
    <spb s="0">
      <v>2</v>
      <v>Name</v>
      <v>LearnMoreOnLink</v>
    </spb>
    <spb s="7">
      <v>0</v>
      <v>0</v>
    </spb>
    <spb s="8">
      <v>13</v>
      <v>1</v>
      <v>1</v>
      <v>1</v>
      <v>1</v>
    </spb>
    <spb s="9">
      <v>1</v>
      <v>2</v>
      <v>2</v>
      <v>1</v>
      <v>3</v>
      <v>1</v>
      <v>15</v>
      <v>1</v>
      <v>1</v>
      <v>4</v>
      <v>4</v>
      <v>5</v>
      <v>6</v>
      <v>1</v>
      <v>1</v>
      <v>1</v>
      <v>4</v>
      <v>7</v>
      <v>8</v>
      <v>9</v>
      <v>4</v>
      <v>1</v>
      <v>1</v>
      <v>5</v>
    </spb>
    <spb s="10">
      <v>Powered by Refinitiv</v>
    </spb>
    <spb s="5">
      <v>10</v>
      <v>2</v>
      <v>2</v>
      <v>10</v>
      <v>3</v>
      <v>10</v>
      <v>10</v>
      <v>10</v>
      <v>4</v>
      <v>4</v>
      <v>5</v>
      <v>11</v>
      <v>10</v>
      <v>10</v>
      <v>10</v>
      <v>4</v>
      <v>7</v>
      <v>8</v>
      <v>9</v>
      <v>4</v>
    </spb>
    <spb s="11">
      <v>Delayed 15 minutes</v>
      <v>from previous close</v>
      <v>from previous close</v>
      <v>LSE</v>
      <v>GMT</v>
    </spb>
    <spb s="0">
      <v>3</v>
      <v>Name</v>
      <v>LearnMoreOnLink</v>
    </spb>
    <spb s="12">
      <v>1</v>
      <v>2</v>
      <v>1</v>
      <v>3</v>
      <v>1</v>
      <v>1</v>
      <v>1</v>
      <v>4</v>
      <v>4</v>
      <v>5</v>
      <v>6</v>
      <v>1</v>
      <v>1</v>
      <v>1</v>
      <v>4</v>
      <v>7</v>
      <v>8</v>
      <v>9</v>
      <v>4</v>
      <v>1</v>
      <v>1</v>
      <v>5</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9">
      <v>1</v>
      <v>2</v>
      <v>2</v>
      <v>1</v>
      <v>3</v>
      <v>1</v>
      <v>15</v>
      <v>1</v>
      <v>1</v>
      <v>4</v>
      <v>4</v>
      <v>5</v>
      <v>17</v>
      <v>1</v>
      <v>1</v>
      <v>1</v>
      <v>4</v>
      <v>7</v>
      <v>8</v>
      <v>9</v>
      <v>4</v>
      <v>1</v>
      <v>1</v>
      <v>5</v>
    </spb>
    <spb s="5">
      <v>18</v>
      <v>2</v>
      <v>2</v>
      <v>18</v>
      <v>3</v>
      <v>18</v>
      <v>18</v>
      <v>18</v>
      <v>4</v>
      <v>4</v>
      <v>5</v>
      <v>19</v>
      <v>18</v>
      <v>18</v>
      <v>18</v>
      <v>4</v>
      <v>7</v>
      <v>8</v>
      <v>9</v>
      <v>4</v>
    </spb>
    <spb s="5">
      <v>1</v>
      <v>2</v>
      <v>2</v>
      <v>1</v>
      <v>3</v>
      <v>1</v>
      <v>1</v>
      <v>1</v>
      <v>4</v>
      <v>4</v>
      <v>5</v>
      <v>6</v>
      <v>1</v>
      <v>1</v>
      <v>1</v>
      <v>4</v>
      <v>7</v>
      <v>8</v>
      <v>9</v>
      <v>4</v>
    </spb>
    <spb s="11">
      <v>Delayed 15 minutes</v>
      <v>from previous close</v>
      <v>from previous close</v>
      <v>Source: Nasdaq</v>
      <v>GMT</v>
    </spb>
    <spb s="15">
      <v>5</v>
      <v>Name</v>
    </spb>
    <spb s="16">
      <v>1</v>
      <v>1</v>
      <v>1</v>
    </spb>
    <spb s="0">
      <v>6</v>
      <v>Name</v>
      <v>LearnMoreOnLink</v>
    </spb>
    <spb s="17">
      <v>12</v>
      <v>2</v>
      <v>2</v>
      <v>12</v>
      <v>3</v>
      <v>12</v>
      <v>12</v>
      <v>12</v>
      <v>4</v>
      <v>4</v>
      <v>5</v>
      <v>13</v>
      <v>12</v>
      <v>12</v>
      <v>12</v>
      <v>4</v>
      <v>7</v>
      <v>9</v>
      <v>4</v>
    </spb>
    <spb s="11">
      <v>Delayed 15 minutes</v>
      <v>from previous close</v>
      <v>from previous close</v>
      <v>Borsa Italia</v>
      <v>GMT</v>
    </spb>
    <spb s="0">
      <v>7</v>
      <v>Name</v>
      <v>LearnMoreOnLink</v>
    </spb>
    <spb s="18">
      <v>1</v>
      <v>1</v>
      <v>1</v>
    </spb>
    <spb s="19">
      <v>1</v>
      <v>2</v>
      <v>1</v>
      <v>3</v>
      <v>1</v>
      <v>1</v>
      <v>1</v>
      <v>4</v>
      <v>5</v>
      <v>6</v>
      <v>1</v>
      <v>1</v>
      <v>5</v>
      <v>1</v>
      <v>7</v>
      <v>9</v>
    </spb>
    <spb s="20">
      <v>Delayed 15 minutes</v>
      <v>from previous close</v>
      <v>LSE</v>
      <v>from previous close</v>
      <v>GMT</v>
    </spb>
    <spb s="15">
      <v>8</v>
      <v>Name</v>
    </spb>
    <spb s="21">
      <v>1</v>
      <v>1</v>
    </spb>
    <spb s="22">
      <v>1</v>
      <v>1</v>
      <v>3</v>
      <v>1</v>
      <v>1</v>
      <v>1</v>
      <v>5</v>
      <v>1</v>
      <v>1</v>
      <v>1</v>
      <v>7</v>
      <v>9</v>
    </spb>
    <spb s="23">
      <v>GMT</v>
    </spb>
    <spb s="22">
      <v>18</v>
      <v>18</v>
      <v>3</v>
      <v>18</v>
      <v>18</v>
      <v>18</v>
      <v>5</v>
      <v>18</v>
      <v>18</v>
      <v>18</v>
      <v>7</v>
      <v>9</v>
    </spb>
    <spb s="22">
      <v>20</v>
      <v>20</v>
      <v>3</v>
      <v>20</v>
      <v>20</v>
      <v>20</v>
      <v>5</v>
      <v>20</v>
      <v>20</v>
      <v>20</v>
      <v>7</v>
      <v>9</v>
    </spb>
    <spb s="22">
      <v>21</v>
      <v>21</v>
      <v>3</v>
      <v>21</v>
      <v>21</v>
      <v>21</v>
      <v>5</v>
      <v>21</v>
      <v>21</v>
      <v>21</v>
      <v>7</v>
      <v>9</v>
    </spb>
    <spb s="22">
      <v>22</v>
      <v>22</v>
      <v>3</v>
      <v>22</v>
      <v>22</v>
      <v>22</v>
      <v>5</v>
      <v>22</v>
      <v>22</v>
      <v>22</v>
      <v>7</v>
      <v>9</v>
    </spb>
    <spb s="22">
      <v>23</v>
      <v>23</v>
      <v>3</v>
      <v>23</v>
      <v>23</v>
      <v>23</v>
      <v>5</v>
      <v>23</v>
      <v>23</v>
      <v>23</v>
      <v>7</v>
      <v>9</v>
    </spb>
    <spb s="0">
      <v>9</v>
      <v>Name</v>
      <v>LearnMoreOnLink</v>
    </spb>
    <spb s="24">
      <v>1</v>
      <v>1</v>
      <v>3</v>
      <v>1</v>
      <v>1</v>
      <v>1</v>
      <v>5</v>
      <v>1</v>
      <v>1</v>
      <v>1</v>
      <v>9</v>
    </spb>
    <spb s="25">
      <v>from previous close</v>
      <v>from previous close</v>
    </spb>
    <spb s="0">
      <v>10</v>
      <v>Name</v>
      <v>LearnMoreOnLink</v>
    </spb>
    <spb s="26">
      <v>1</v>
      <v>2</v>
      <v>1</v>
      <v>3</v>
      <v>1</v>
      <v>1</v>
      <v>1</v>
      <v>4</v>
      <v>5</v>
      <v>6</v>
      <v>1</v>
      <v>1</v>
      <v>5</v>
      <v>1</v>
      <v>4</v>
      <v>7</v>
      <v>9</v>
      <v>1</v>
      <v>1</v>
      <v>5</v>
    </spb>
    <spb s="27">
      <v>at close</v>
      <v>from previous close</v>
      <v>Source: Nasdaq</v>
      <v>from previous close</v>
      <v>GMT</v>
      <v>Delayed 15 minutes</v>
      <v>from close</v>
      <v>from close</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ExchangeID"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6"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calculatedColumnFormula>[1]Sheet2!$E2</calculatedColumnFormula>
    </tableColumn>
    <tableColumn id="9" xr3:uid="{82656052-4D5E-8C41-9A70-30228A467DE8}" name="Ddate" dataDxfId="13" totalsRowDxfId="12">
      <calculatedColumnFormula>[1]Sheet2!$F2</calculatedColumnFormula>
    </tableColumn>
    <tableColumn id="15" xr3:uid="{FA897C27-6E9E-4C44-A46F-4D6AD99895C6}" name="EarningDate" dataDxfId="11" totalsRowDxfId="10">
      <calculatedColumnFormula>[1]Sheet2!$G2</calculatedColumnFormula>
    </tableColumn>
    <tableColumn id="1" xr3:uid="{4849786B-34A5-AF4F-84A7-3D73882815FC}" name="RepDiv" dataDxfId="9">
      <calculatedColumnFormula>[1]Sheet2!$H2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7:D105" totalsRowShown="0">
  <autoFilter ref="A97:D105" xr:uid="{3605F8B5-2207-9B4F-A466-559E80FF7EC6}"/>
  <tableColumns count="4">
    <tableColumn id="1" xr3:uid="{A71352C5-FD21-8240-941E-5FF443623FCB}" name="Couple"/>
    <tableColumn id="2" xr3:uid="{62EEFA6A-9E09-4D45-B65F-80226F75071B}" name="RT" dataDxfId="2">
      <calculatedColumnFormula array="1">_FV(A98,"Price")</calculatedColumnFormula>
    </tableColumn>
    <tableColumn id="3" xr3:uid="{7735EDB4-8F6C-2B4F-9D87-70384666EE29}" name="52 W High" dataDxfId="1">
      <calculatedColumnFormula array="1">_FV(A98,"52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4-01-23T00:59:20.01" personId="{88C89EF0-7557-4E46-A245-51121A75A417}" id="{1C72EA6F-D623-9847-8416-04F702FD2A15}">
    <text xml:space="preserve">Today-1 added
</text>
  </threadedComment>
  <threadedComment ref="D17" dT="2024-01-23T01:00:13.84" personId="{88C89EF0-7557-4E46-A245-51121A75A417}" id="{D46CC32C-10AF-CD46-836B-7F71BB83075E}">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3"/>
  <sheetViews>
    <sheetView tabSelected="1" workbookViewId="0">
      <pane xSplit="1" ySplit="2" topLeftCell="C3" activePane="bottomRight" state="frozen"/>
      <selection pane="topRight" activeCell="B1" sqref="B1"/>
      <selection pane="bottomLeft" activeCell="A3" sqref="A3"/>
      <selection pane="bottomRight"/>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7" customWidth="1"/>
    <col min="23" max="23" width="11.125" style="85" customWidth="1"/>
    <col min="24" max="24" width="11.625" style="55" customWidth="1"/>
    <col min="30" max="30" width="16.875" customWidth="1"/>
    <col min="32" max="32" width="27.5" bestFit="1" customWidth="1"/>
  </cols>
  <sheetData>
    <row r="1" spans="1:32" s="1" customFormat="1" ht="27" thickBot="1" x14ac:dyDescent="0.35">
      <c r="A1" s="155">
        <f ca="1">MAX(E3:E95)</f>
        <v>45908.970651712501</v>
      </c>
      <c r="B1" s="2" t="s">
        <v>0</v>
      </c>
      <c r="C1" s="2"/>
      <c r="D1" s="3"/>
      <c r="E1" s="4" t="s">
        <v>0</v>
      </c>
      <c r="F1" s="5">
        <f ca="1">NOW()</f>
        <v>45909.054190625</v>
      </c>
      <c r="G1" s="6"/>
      <c r="H1" s="7"/>
      <c r="I1" s="8"/>
      <c r="J1" s="9"/>
      <c r="K1" s="10"/>
      <c r="L1" s="11"/>
      <c r="M1" s="8"/>
      <c r="N1" s="8"/>
      <c r="O1" s="12"/>
      <c r="P1" s="12">
        <v>58505147</v>
      </c>
      <c r="Q1" s="8"/>
      <c r="R1" s="13"/>
      <c r="V1" s="86"/>
      <c r="W1" s="82"/>
      <c r="X1" s="14" t="s">
        <v>99</v>
      </c>
    </row>
    <row r="2" spans="1:32" s="100" customFormat="1" ht="27" thickBot="1" x14ac:dyDescent="0.35">
      <c r="A2" s="89" t="s">
        <v>1</v>
      </c>
      <c r="B2" s="90" t="s">
        <v>76</v>
      </c>
      <c r="C2" s="91" t="s">
        <v>2</v>
      </c>
      <c r="D2" s="92" t="s">
        <v>3</v>
      </c>
      <c r="E2" s="92" t="s">
        <v>4</v>
      </c>
      <c r="F2" s="93" t="s">
        <v>5</v>
      </c>
      <c r="G2" s="92" t="s">
        <v>6</v>
      </c>
      <c r="H2" s="92" t="s">
        <v>7</v>
      </c>
      <c r="I2" s="92" t="s">
        <v>8</v>
      </c>
      <c r="J2" s="92" t="s">
        <v>9</v>
      </c>
      <c r="K2" s="94" t="s">
        <v>10</v>
      </c>
      <c r="L2" s="95" t="s">
        <v>11</v>
      </c>
      <c r="M2" s="96" t="s">
        <v>12</v>
      </c>
      <c r="N2" s="97" t="s">
        <v>13</v>
      </c>
      <c r="O2" s="97" t="s">
        <v>14</v>
      </c>
      <c r="P2" s="98" t="s">
        <v>15</v>
      </c>
      <c r="Q2" s="98" t="s">
        <v>16</v>
      </c>
      <c r="R2" s="99" t="s">
        <v>17</v>
      </c>
      <c r="S2" s="92" t="s">
        <v>18</v>
      </c>
      <c r="T2" s="92" t="s">
        <v>31</v>
      </c>
      <c r="U2" s="97" t="s">
        <v>19</v>
      </c>
      <c r="V2" s="139" t="s">
        <v>78</v>
      </c>
      <c r="W2" s="139" t="s">
        <v>77</v>
      </c>
      <c r="X2" s="101" t="s">
        <v>34</v>
      </c>
      <c r="Y2" s="101" t="s">
        <v>35</v>
      </c>
      <c r="Z2" s="101" t="s">
        <v>87</v>
      </c>
      <c r="AA2" s="102" t="s">
        <v>36</v>
      </c>
      <c r="AB2" s="102" t="s">
        <v>82</v>
      </c>
      <c r="AC2" s="144" t="s">
        <v>81</v>
      </c>
      <c r="AD2" s="92" t="s">
        <v>94</v>
      </c>
      <c r="AE2" s="148" t="s">
        <v>93</v>
      </c>
      <c r="AF2" s="148" t="s">
        <v>103</v>
      </c>
    </row>
    <row r="3" spans="1:32" x14ac:dyDescent="0.3">
      <c r="A3" s="15" t="str" cm="1">
        <f t="array" aca="1" ref="A3" ca="1">_xlfn.SINGLE(RTData[suffix])&amp;_FV(RTData[[#This Row],[Company Name]],"Ticker symbol",TRUE)</f>
        <v>AAPL</v>
      </c>
      <c r="B3" s="15">
        <f ca="1">D98</f>
        <v>0.84990651028386865</v>
      </c>
      <c r="C3" s="16" t="e" vm="1">
        <v>#VALUE!</v>
      </c>
      <c r="D3" s="17" t="str" cm="1">
        <f t="array" aca="1" ref="D3" ca="1">_FV(RTData[[#This Row],[Company Name]],"Currency")</f>
        <v>USD</v>
      </c>
      <c r="E3" s="18" cm="1">
        <f t="array" aca="1" ref="E3" ca="1">_FV(RTData[[#This Row],[Company Name]],"Last trade time",TRUE)</f>
        <v>45908.970603633592</v>
      </c>
      <c r="F3" s="19" cm="1">
        <f t="array" aca="1" ref="F3" ca="1">_FV(RTData[[#This Row],[Company Name]],"Previous close",TRUE)</f>
        <v>239.69</v>
      </c>
      <c r="G3" s="19" cm="1">
        <f t="array" aca="1" ref="G3" ca="1">_FV(RTData[[#This Row],[Company Name]],"Open")</f>
        <v>239.3</v>
      </c>
      <c r="H3" s="19" cm="1">
        <f t="array" aca="1" ref="H3" ca="1">_FV(RTData[[#This Row],[Company Name]],"Price")</f>
        <v>237.88</v>
      </c>
      <c r="I3" s="19" cm="1">
        <f t="array" aca="1" ref="I3" ca="1">_FV(RTData[[#This Row],[Company Name]],"Low")</f>
        <v>236.34</v>
      </c>
      <c r="J3" s="19" cm="1">
        <f t="array" aca="1" ref="J3" ca="1">_FV(RTData[[#This Row],[Company Name]],"High")</f>
        <v>240.15</v>
      </c>
      <c r="K3" s="20" cm="1">
        <f t="array" aca="1" ref="K3" ca="1">IFERROR(_FV(RTData[[#This Row],[Company Name]],"P/E",TRUE),99)</f>
        <v>32.809699999999999</v>
      </c>
      <c r="L3" s="21" cm="1">
        <f t="array" aca="1" ref="L3" ca="1">_FV(RTData[[#This Row],[Company Name]],"Change")</f>
        <v>-1.81</v>
      </c>
      <c r="M3" s="22" cm="1">
        <f t="array" aca="1" ref="M3" ca="1">_FV(RTData[[#This Row],[Company Name]],"Change (%)",TRUE)</f>
        <v>-7.5509999999999996E-3</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48978572</v>
      </c>
      <c r="Q3" s="23" cm="1">
        <f t="array" aca="1" ref="Q3" ca="1">_FV(RTData[[#This Row],[Company Name]],"Volume average",TRUE)</f>
        <v>57241941</v>
      </c>
      <c r="R3" s="19" cm="1">
        <f t="array" aca="1" ref="R3" ca="1">_FV(RTData[[#This Row],[Company Name]],"Beta")</f>
        <v>1.0818000000000001</v>
      </c>
      <c r="T3" t="s">
        <v>20</v>
      </c>
      <c r="U3" t="str" cm="1">
        <f t="array" aca="1" ref="U3" ca="1">_FV(RTData[[#This Row],[Company Name]],"Exchange abbreviation",TRUE)</f>
        <v>XNAS</v>
      </c>
      <c r="V3" s="24">
        <f ca="1">IFERROR(RTData[[#This Row],[Volume]]/RTData[[#This Row],[Volume average]],1)</f>
        <v>0.8556413556975645</v>
      </c>
      <c r="W3" s="24"/>
      <c r="X3" s="103">
        <f>[1]Sheet2!$E2</f>
        <v>235.52553</v>
      </c>
      <c r="Y3" s="149">
        <f>[1]Sheet2!$F2</f>
        <v>45880</v>
      </c>
      <c r="Z3" s="149" t="str">
        <f>[1]Sheet2!$G2</f>
        <v>Oct 30, 2025</v>
      </c>
      <c r="AA3" s="150">
        <f>[1]Sheet2!$H2</f>
        <v>4.3E-3</v>
      </c>
      <c r="AB3" s="151">
        <v>1E-4</v>
      </c>
      <c r="AC3" s="152">
        <v>3.0000000000000001E-3</v>
      </c>
      <c r="AD3" s="103">
        <v>245.31</v>
      </c>
      <c r="AE3" s="153">
        <f>_xlfn.LET(_xlpm.New1YT,RTData[[#This Row],[1YT]],        _xlpm.Old1YT,IF(ISNUMBER(RTData[[#This Row],[Old1YT]]),RTData[[#This Row],[Old1YT]],VALUE(LEFT(RTData[[#This Row],[Old1YT]],FIND("/",RTData[[#This Row],[Old1YT]],1)-1))),       IF(OR(RTData[[#This Row],[1YT]]=0,_xlpm.Old1YT=0),0,(_xlpm.New1YT-_xlpm.Old1YT)/_xlpm.Old1YT))</f>
        <v>-3.9886144062614648E-2</v>
      </c>
      <c r="AF3" s="153" t="str">
        <f>TEXT(RTData[[#This Row],[1YT]],"#,#0.00")&amp;" &lt; "&amp;RTData[[#This Row],[Old1YT]]</f>
        <v>235.53 &lt; 245.31</v>
      </c>
    </row>
    <row r="4" spans="1:32" x14ac:dyDescent="0.3">
      <c r="A4" s="15" t="str" cm="1">
        <f t="array" aca="1" ref="A4" ca="1">_xlfn.SINGLE(RTData[suffix])&amp;_FV(RTData[[#This Row],[Company Name]],"Ticker symbol",TRUE)</f>
        <v>ADEA</v>
      </c>
      <c r="B4" s="15">
        <f ca="1">D98</f>
        <v>0.84990651028386865</v>
      </c>
      <c r="C4" s="25" t="e" vm="2">
        <v>#VALUE!</v>
      </c>
      <c r="D4" s="17" t="str" cm="1">
        <f t="array" aca="1" ref="D4" ca="1">_FV(RTData[[#This Row],[Company Name]],"Currency")</f>
        <v>USD</v>
      </c>
      <c r="E4" s="18" cm="1">
        <f t="array" aca="1" ref="E4" ca="1">_FV(RTData[[#This Row],[Company Name]],"Last trade time",TRUE)</f>
        <v>45908.961717048434</v>
      </c>
      <c r="F4" s="19" cm="1">
        <f t="array" aca="1" ref="F4" ca="1">_FV(RTData[[#This Row],[Company Name]],"Previous close",TRUE)</f>
        <v>15.43</v>
      </c>
      <c r="G4" s="19" cm="1">
        <f t="array" aca="1" ref="G4" ca="1">_FV(RTData[[#This Row],[Company Name]],"Open")</f>
        <v>15.54</v>
      </c>
      <c r="H4" s="19" cm="1">
        <f t="array" aca="1" ref="H4" ca="1">_FV(RTData[[#This Row],[Company Name]],"Price")</f>
        <v>15.37</v>
      </c>
      <c r="I4" s="19" cm="1">
        <f t="array" aca="1" ref="I4" ca="1">_FV(RTData[[#This Row],[Company Name]],"Low")</f>
        <v>15.32</v>
      </c>
      <c r="J4" s="19" cm="1">
        <f t="array" aca="1" ref="J4" ca="1">_FV(RTData[[#This Row],[Company Name]],"High")</f>
        <v>15.545</v>
      </c>
      <c r="K4" s="20" cm="1">
        <f t="array" aca="1" ref="K4" ca="1">IFERROR(_FV(RTData[[#This Row],[Company Name]],"P/E",TRUE),99)</f>
        <v>20.809699999999999</v>
      </c>
      <c r="L4" s="21" cm="1">
        <f t="array" aca="1" ref="L4" ca="1">_FV(RTData[[#This Row],[Company Name]],"Change")</f>
        <v>-0.06</v>
      </c>
      <c r="M4" s="22" cm="1">
        <f t="array" aca="1" ref="M4" ca="1">_FV(RTData[[#This Row],[Company Name]],"Change (%)",TRUE)</f>
        <v>-3.8890000000000001E-3</v>
      </c>
      <c r="N4" s="19" cm="1">
        <f t="array" aca="1" ref="N4" ca="1">_FV(RTData[[#This Row],[Company Name]],"52 week low",TRUE)</f>
        <v>10.59</v>
      </c>
      <c r="O4" s="19" cm="1">
        <f t="array" aca="1" ref="O4" ca="1">_FV(RTData[[#This Row],[Company Name]],"52 week high",TRUE)</f>
        <v>17.46</v>
      </c>
      <c r="P4" s="23" cm="1">
        <f t="array" aca="1" ref="P4" ca="1">_FV(RTData[[#This Row],[Company Name]],"Volume")</f>
        <v>414959</v>
      </c>
      <c r="Q4" s="23" cm="1">
        <f t="array" aca="1" ref="Q4" ca="1">_FV(RTData[[#This Row],[Company Name]],"Volume average",TRUE)</f>
        <v>543499</v>
      </c>
      <c r="R4" s="19" cm="1">
        <f t="array" aca="1" ref="R4" ca="1">_FV(RTData[[#This Row],[Company Name]],"Beta")</f>
        <v>2.5304000000000002</v>
      </c>
      <c r="T4" t="s">
        <v>20</v>
      </c>
      <c r="U4" t="str" cm="1">
        <f t="array" aca="1" ref="U4" ca="1">_FV(RTData[[#This Row],[Company Name]],"Exchange abbreviation",TRUE)</f>
        <v>XNAS</v>
      </c>
      <c r="V4" s="24">
        <f ca="1">IFERROR(RTData[[#This Row],[Volume]]/RTData[[#This Row],[Volume average]],1)</f>
        <v>0.76349542501458145</v>
      </c>
      <c r="W4" s="24"/>
      <c r="X4" s="103">
        <f>[1]Sheet2!$E3</f>
        <v>20.66667</v>
      </c>
      <c r="Y4" s="149">
        <f>[1]Sheet2!$F3</f>
        <v>45895</v>
      </c>
      <c r="Z4" s="149">
        <f>[1]Sheet2!$G3</f>
        <v>0</v>
      </c>
      <c r="AA4" s="150">
        <f>[1]Sheet2!$H3</f>
        <v>1.2999999E-2</v>
      </c>
      <c r="AB4" s="151">
        <v>1E-4</v>
      </c>
      <c r="AC4" s="152">
        <v>3.0000000000000001E-3</v>
      </c>
      <c r="AD4" s="103">
        <v>15.33</v>
      </c>
      <c r="AE4" s="153">
        <f>_xlfn.LET(_xlpm.New1YT,RTData[[#This Row],[1YT]],        _xlpm.Old1YT,IF(ISNUMBER(RTData[[#This Row],[Old1YT]]),RTData[[#This Row],[Old1YT]],VALUE(LEFT(RTData[[#This Row],[Old1YT]],FIND("/",RTData[[#This Row],[Old1YT]],1)-1))),       IF(OR(RTData[[#This Row],[1YT]]=0,_xlpm.Old1YT=0),0,(_xlpm.New1YT-_xlpm.Old1YT)/_xlpm.Old1YT))</f>
        <v>0.34811937377690799</v>
      </c>
      <c r="AF4" s="153" t="str">
        <f>TEXT(RTData[[#This Row],[1YT]],"#,#0.00")&amp;" &lt; "&amp;RTData[[#This Row],[Old1YT]]</f>
        <v>20.67 &lt; 15.33</v>
      </c>
    </row>
    <row r="5" spans="1:32" ht="23" customHeight="1" x14ac:dyDescent="0.3">
      <c r="A5" s="15" t="str" cm="1">
        <f t="array" aca="1" ref="A5" ca="1">_xlfn.SINGLE(RTData[suffix])&amp;_FV(RTData[[#This Row],[Company Name]],"Ticker symbol",TRUE)</f>
        <v>AET</v>
      </c>
      <c r="B5" s="15">
        <f ca="1">D100/100</f>
        <v>1.1519410206197442E-2</v>
      </c>
      <c r="C5" s="25" t="e" vm="3">
        <v>#VALUE!</v>
      </c>
      <c r="D5" s="17" t="str" cm="1">
        <f t="array" aca="1" ref="D5" ca="1">_FV(RTData[[#This Row],[Company Name]],"Currency")</f>
        <v>GBp</v>
      </c>
      <c r="E5" s="18" cm="1">
        <f t="array" aca="1" ref="E5" ca="1">_FV(RTData[[#This Row],[Company Name]],"Last trade time",TRUE)</f>
        <v>45908.651516110935</v>
      </c>
      <c r="F5" s="19" cm="1">
        <f t="array" aca="1" ref="F5" ca="1">_FV(RTData[[#This Row],[Company Name]],"Previous close",TRUE)</f>
        <v>54.4</v>
      </c>
      <c r="G5" s="19" cm="1">
        <f t="array" aca="1" ref="G5" ca="1">_FV(RTData[[#This Row],[Company Name]],"Open")</f>
        <v>55</v>
      </c>
      <c r="H5" s="19" cm="1">
        <f t="array" aca="1" ref="H5" ca="1">_FV(RTData[[#This Row],[Company Name]],"Price")</f>
        <v>55</v>
      </c>
      <c r="I5" s="19" cm="1">
        <f t="array" aca="1" ref="I5" ca="1">_FV(RTData[[#This Row],[Company Name]],"Low")</f>
        <v>54</v>
      </c>
      <c r="J5" s="19" cm="1">
        <f t="array" aca="1" ref="J5" ca="1">_FV(RTData[[#This Row],[Company Name]],"High")</f>
        <v>56.2</v>
      </c>
      <c r="K5" s="20" cm="1">
        <f t="array" aca="1" ref="K5" ca="1">IFERROR(_FV(RTData[[#This Row],[Company Name]],"P/E",TRUE),99)</f>
        <v>2.931</v>
      </c>
      <c r="L5" s="21" cm="1">
        <f t="array" aca="1" ref="L5" ca="1">_FV(RTData[[#This Row],[Company Name]],"Change")</f>
        <v>0.6</v>
      </c>
      <c r="M5" s="22" cm="1">
        <f t="array" aca="1" ref="M5" ca="1">_FV(RTData[[#This Row],[Company Name]],"Change (%)",TRUE)</f>
        <v>1.1029000000000001E-2</v>
      </c>
      <c r="N5" s="26" cm="1">
        <f t="array" aca="1" ref="N5" ca="1">_FV(RTData[[#This Row],[Company Name]],"52 week low",TRUE)</f>
        <v>33.064999999999998</v>
      </c>
      <c r="O5" s="26" cm="1">
        <f t="array" aca="1" ref="O5" ca="1">_FV(RTData[[#This Row],[Company Name]],"52 week high",TRUE)</f>
        <v>56.2</v>
      </c>
      <c r="P5" s="23" cm="1">
        <f t="array" aca="1" ref="P5" ca="1">_FV(RTData[[#This Row],[Company Name]],"Volume")</f>
        <v>1322508</v>
      </c>
      <c r="Q5" s="23" cm="1">
        <f t="array" aca="1" ref="Q5" ca="1">_FV(RTData[[#This Row],[Company Name]],"Volume average",TRUE)</f>
        <v>808440</v>
      </c>
      <c r="R5" s="19" cm="1">
        <f t="array" aca="1" ref="R5" ca="1">_FV(RTData[[#This Row],[Company Name]],"Beta")</f>
        <v>1.1366000000000001</v>
      </c>
      <c r="T5" t="s">
        <v>20</v>
      </c>
      <c r="U5" t="str" cm="1">
        <f t="array" aca="1" ref="U5" ca="1">_FV(RTData[[#This Row],[Company Name]],"Exchange abbreviation",TRUE)</f>
        <v>XLON</v>
      </c>
      <c r="V5" s="24">
        <f ca="1">IFERROR(RTData[[#This Row],[Volume]]/RTData[[#This Row],[Volume average]],1)</f>
        <v>1.6358765028944635</v>
      </c>
      <c r="W5" s="24"/>
      <c r="X5" s="103">
        <v>95.06</v>
      </c>
      <c r="Y5" s="149">
        <f>[1]Sheet2!$F4</f>
        <v>0</v>
      </c>
      <c r="Z5" s="149">
        <f>[1]Sheet2!$G4</f>
        <v>0</v>
      </c>
      <c r="AA5" s="150">
        <f>[1]Sheet2!$H4</f>
        <v>0</v>
      </c>
      <c r="AB5" s="151"/>
      <c r="AC5" s="152">
        <v>3.0000000000000001E-3</v>
      </c>
      <c r="AD5" s="103" t="s">
        <v>97</v>
      </c>
      <c r="AE5" s="153">
        <f>_xlfn.LET(_xlpm.New1YT,RTData[[#This Row],[1YT]],        _xlpm.Old1YT,IF(ISNUMBER(RTData[[#This Row],[Old1YT]]),RTData[[#This Row],[Old1YT]],VALUE(LEFT(RTData[[#This Row],[Old1YT]],FIND("/",RTData[[#This Row],[Old1YT]],1)-1))),       IF(OR(RTData[[#This Row],[1YT]]=0,_xlpm.Old1YT=0),0,(_xlpm.New1YT-_xlpm.Old1YT)/_xlpm.Old1YT))</f>
        <v>3.371030882992615E-2</v>
      </c>
      <c r="AF5" s="153" t="str">
        <f>TEXT(RTData[[#This Row],[1YT]],"#,#0.00")&amp;" &lt; "&amp;RTData[[#This Row],[Old1YT]]</f>
        <v>95.06 &lt; 91.96/86.78</v>
      </c>
    </row>
    <row r="6" spans="1:32" x14ac:dyDescent="0.3">
      <c r="A6" s="15" t="str" cm="1">
        <f t="array" aca="1" ref="A6" ca="1">_xlfn.SINGLE(RTData[suffix])&amp;_FV(RTData[[#This Row],[Company Name]],"Ticker symbol",TRUE)</f>
        <v>AMZN</v>
      </c>
      <c r="B6" s="15">
        <f ca="1">D98</f>
        <v>0.84990651028386865</v>
      </c>
      <c r="C6" s="25" t="e" vm="4">
        <v>#VALUE!</v>
      </c>
      <c r="D6" s="17" t="str" cm="1">
        <f t="array" aca="1" ref="D6" ca="1">_FV(RTData[[#This Row],[Company Name]],"Currency")</f>
        <v>USD</v>
      </c>
      <c r="E6" s="18" cm="1">
        <f t="array" aca="1" ref="E6" ca="1">_FV(RTData[[#This Row],[Company Name]],"Last trade time",TRUE)</f>
        <v>45908.970467360938</v>
      </c>
      <c r="F6" s="19" cm="1">
        <f t="array" aca="1" ref="F6" ca="1">_FV(RTData[[#This Row],[Company Name]],"Previous close",TRUE)</f>
        <v>232.33</v>
      </c>
      <c r="G6" s="19" cm="1">
        <f t="array" aca="1" ref="G6" ca="1">_FV(RTData[[#This Row],[Company Name]],"Open")</f>
        <v>234.94</v>
      </c>
      <c r="H6" s="19" cm="1">
        <f t="array" aca="1" ref="H6" ca="1">_FV(RTData[[#This Row],[Company Name]],"Price")</f>
        <v>235.84</v>
      </c>
      <c r="I6" s="19" cm="1">
        <f t="array" aca="1" ref="I6" ca="1">_FV(RTData[[#This Row],[Company Name]],"Low")</f>
        <v>233.75</v>
      </c>
      <c r="J6" s="19" cm="1">
        <f t="array" aca="1" ref="J6" ca="1">_FV(RTData[[#This Row],[Company Name]],"High")</f>
        <v>237.6</v>
      </c>
      <c r="K6" s="20" cm="1">
        <f t="array" aca="1" ref="K6" ca="1">IFERROR(_FV(RTData[[#This Row],[Company Name]],"P/E",TRUE),99)</f>
        <v>35.453000000000003</v>
      </c>
      <c r="L6" s="21" cm="1">
        <f t="array" aca="1" ref="L6" ca="1">_FV(RTData[[#This Row],[Company Name]],"Change")</f>
        <v>3.51</v>
      </c>
      <c r="M6" s="22" cm="1">
        <f t="array" aca="1" ref="M6" ca="1">_FV(RTData[[#This Row],[Company Name]],"Change (%)",TRUE)</f>
        <v>1.5108E-2</v>
      </c>
      <c r="N6" s="19" cm="1">
        <f t="array" aca="1" ref="N6" ca="1">_FV(RTData[[#This Row],[Company Name]],"52 week low",TRUE)</f>
        <v>161.38</v>
      </c>
      <c r="O6" s="19" cm="1">
        <f t="array" aca="1" ref="O6" ca="1">_FV(RTData[[#This Row],[Company Name]],"52 week high",TRUE)</f>
        <v>242.52</v>
      </c>
      <c r="P6" s="23" cm="1">
        <f t="array" aca="1" ref="P6" ca="1">_FV(RTData[[#This Row],[Company Name]],"Volume")</f>
        <v>33934939</v>
      </c>
      <c r="Q6" s="23" cm="1">
        <f t="array" aca="1" ref="Q6" ca="1">_FV(RTData[[#This Row],[Company Name]],"Volume average",TRUE)</f>
        <v>41676334</v>
      </c>
      <c r="R6" s="19" cm="1">
        <f t="array" aca="1" ref="R6" ca="1">_FV(RTData[[#This Row],[Company Name]],"Beta")</f>
        <v>1.2955000000000001</v>
      </c>
      <c r="T6" t="s">
        <v>20</v>
      </c>
      <c r="U6" t="str" cm="1">
        <f t="array" aca="1" ref="U6" ca="1">_FV(RTData[[#This Row],[Company Name]],"Exchange abbreviation",TRUE)</f>
        <v>XNAS</v>
      </c>
      <c r="V6" s="24">
        <f ca="1">IFERROR(RTData[[#This Row],[Volume]]/RTData[[#This Row],[Volume average]],1)</f>
        <v>0.81424961706084797</v>
      </c>
      <c r="W6" s="24"/>
      <c r="X6" s="103">
        <f>[1]Sheet2!$E5</f>
        <v>263.18033000000003</v>
      </c>
      <c r="Y6" s="149">
        <f>[1]Sheet2!$F5</f>
        <v>0</v>
      </c>
      <c r="Z6" s="149" t="str">
        <f>[1]Sheet2!$G5</f>
        <v>Oct 30, 2025</v>
      </c>
      <c r="AA6" s="150">
        <f>[1]Sheet2!$H5</f>
        <v>0</v>
      </c>
      <c r="AB6" s="151">
        <v>1E-4</v>
      </c>
      <c r="AC6" s="152">
        <v>3.0000000000000001E-3</v>
      </c>
      <c r="AD6" s="103" t="s">
        <v>89</v>
      </c>
      <c r="AE6" s="153">
        <f>_xlfn.LET(_xlpm.New1YT,RTData[[#This Row],[1YT]],        _xlpm.Old1YT,IF(ISNUMBER(RTData[[#This Row],[Old1YT]]),RTData[[#This Row],[Old1YT]],VALUE(LEFT(RTData[[#This Row],[Old1YT]],FIND("/",RTData[[#This Row],[Old1YT]],1)-1))),       IF(OR(RTData[[#This Row],[1YT]]=0,_xlpm.Old1YT=0),0,(_xlpm.New1YT-_xlpm.Old1YT)/_xlpm.Old1YT))</f>
        <v>0.10135725644459331</v>
      </c>
      <c r="AF6" s="153"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45908.666666666664</v>
      </c>
      <c r="F7" s="29" cm="1">
        <f t="array" aca="1" ref="F7" ca="1">_FV(RTData[[#This Row],[Company Name]],"Previous close",TRUE)</f>
        <v>0.91</v>
      </c>
      <c r="G7" s="19" cm="1">
        <f t="array" aca="1" ref="G7" ca="1">_FV(RTData[[#This Row],[Company Name]],"Open")</f>
        <v>0.9</v>
      </c>
      <c r="H7" s="29" cm="1">
        <f t="array" aca="1" ref="H7" ca="1">_FV(RTData[[#This Row],[Company Name]],"Price")</f>
        <v>0.89</v>
      </c>
      <c r="I7" s="29" cm="1">
        <f t="array" aca="1" ref="I7" ca="1">_FV(RTData[[#This Row],[Company Name]],"Low")</f>
        <v>0.89</v>
      </c>
      <c r="J7" s="29" cm="1">
        <f t="array" aca="1" ref="J7" ca="1">_FV(RTData[[#This Row],[Company Name]],"High")</f>
        <v>0.90800000000000003</v>
      </c>
      <c r="K7" s="20" cm="1">
        <f t="array" aca="1" ref="K7" ca="1">IFERROR(_FV(RTData[[#This Row],[Company Name]],"P/E",TRUE),99)</f>
        <v>0</v>
      </c>
      <c r="L7" s="21" cm="1">
        <f t="array" aca="1" ref="L7" ca="1">_FV(RTData[[#This Row],[Company Name]],"Change")</f>
        <v>-0.02</v>
      </c>
      <c r="M7" s="22" cm="1">
        <f t="array" aca="1" ref="M7" ca="1">_FV(RTData[[#This Row],[Company Name]],"Change (%)",TRUE)</f>
        <v>-2.1978000000000001E-2</v>
      </c>
      <c r="N7" s="29" cm="1">
        <f t="array" aca="1" ref="N7" ca="1">_FV(RTData[[#This Row],[Company Name]],"52 week low",TRUE)</f>
        <v>0.65</v>
      </c>
      <c r="O7" s="29" cm="1">
        <f t="array" aca="1" ref="O7" ca="1">_FV(RTData[[#This Row],[Company Name]],"52 week high",TRUE)</f>
        <v>1.91</v>
      </c>
      <c r="P7" s="23" cm="1">
        <f t="array" aca="1" ref="P7" ca="1">_FV(RTData[[#This Row],[Company Name]],"Volume")</f>
        <v>1964</v>
      </c>
      <c r="Q7" s="23" cm="1">
        <f t="array" aca="1" ref="Q7" ca="1">_FV(RTData[[#This Row],[Company Name]],"Volume average",TRUE)</f>
        <v>4060</v>
      </c>
      <c r="R7" s="19" cm="1">
        <f t="array" aca="1" ref="R7" ca="1">_FV(RTData[[#This Row],[Company Name]],"Beta")</f>
        <v>0.99280000000000002</v>
      </c>
      <c r="T7" t="s">
        <v>20</v>
      </c>
      <c r="U7" t="str" cm="1">
        <f t="array" aca="1" ref="U7" ca="1">_FV(RTData[[#This Row],[Company Name]],"Exchange abbreviation",TRUE)</f>
        <v>XPAR</v>
      </c>
      <c r="V7" s="24">
        <f ca="1">IFERROR(RTData[[#This Row],[Volume]]/RTData[[#This Row],[Volume average]],1)</f>
        <v>0.483743842364532</v>
      </c>
      <c r="W7" s="24"/>
      <c r="X7" s="103">
        <f>[1]Sheet2!$E6</f>
        <v>1.5333300000000001</v>
      </c>
      <c r="Y7" s="149">
        <f>[1]Sheet2!$F6</f>
        <v>0</v>
      </c>
      <c r="Z7" s="149">
        <f>[1]Sheet2!$G6</f>
        <v>0</v>
      </c>
      <c r="AA7" s="150">
        <f>[1]Sheet2!$H6</f>
        <v>0</v>
      </c>
      <c r="AB7" s="151"/>
      <c r="AC7" s="152">
        <v>3.0000000000000001E-3</v>
      </c>
      <c r="AD7" s="103">
        <v>3.87</v>
      </c>
      <c r="AE7" s="153">
        <f>_xlfn.LET(_xlpm.New1YT,RTData[[#This Row],[1YT]],        _xlpm.Old1YT,IF(ISNUMBER(RTData[[#This Row],[Old1YT]]),RTData[[#This Row],[Old1YT]],VALUE(LEFT(RTData[[#This Row],[Old1YT]],FIND("/",RTData[[#This Row],[Old1YT]],1)-1))),       IF(OR(RTData[[#This Row],[1YT]]=0,_xlpm.Old1YT=0),0,(_xlpm.New1YT-_xlpm.Old1YT)/_xlpm.Old1YT))</f>
        <v>-0.60379069767441851</v>
      </c>
      <c r="AF7" s="153"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45908.666666666664</v>
      </c>
      <c r="F8" s="29" cm="1">
        <f t="array" aca="1" ref="F8" ca="1">_FV(RTData[[#This Row],[Company Name]],"Previous close",TRUE)</f>
        <v>660.2</v>
      </c>
      <c r="G8" s="29" cm="1">
        <f t="array" aca="1" ref="G8" ca="1">_FV(RTData[[#This Row],[Company Name]],"Open")</f>
        <v>667.2</v>
      </c>
      <c r="H8" s="29" cm="1">
        <f t="array" aca="1" ref="H8" ca="1">_FV(RTData[[#This Row],[Company Name]],"Price")</f>
        <v>676.6</v>
      </c>
      <c r="I8" s="29" cm="1">
        <f t="array" aca="1" ref="I8" ca="1">_FV(RTData[[#This Row],[Company Name]],"Low")</f>
        <v>664.1</v>
      </c>
      <c r="J8" s="29" cm="1">
        <f t="array" aca="1" ref="J8" ca="1">_FV(RTData[[#This Row],[Company Name]],"High")</f>
        <v>677.3</v>
      </c>
      <c r="K8" s="20" cm="1">
        <f t="array" aca="1" ref="K8" ca="1">IFERROR(_FV(RTData[[#This Row],[Company Name]],"P/E",TRUE),99)</f>
        <v>25.978999999999999</v>
      </c>
      <c r="L8" s="21" cm="1">
        <f t="array" aca="1" ref="L8" ca="1">_FV(RTData[[#This Row],[Company Name]],"Change")</f>
        <v>16.399999999999999</v>
      </c>
      <c r="M8" s="22" cm="1">
        <f t="array" aca="1" ref="M8" ca="1">_FV(RTData[[#This Row],[Company Name]],"Change (%)",TRUE)</f>
        <v>2.4841000000000002E-2</v>
      </c>
      <c r="N8" s="29" cm="1">
        <f t="array" aca="1" ref="N8" ca="1">_FV(RTData[[#This Row],[Company Name]],"52 week low",TRUE)</f>
        <v>508.4</v>
      </c>
      <c r="O8" s="29" cm="1">
        <f t="array" aca="1" ref="O8" ca="1">_FV(RTData[[#This Row],[Company Name]],"52 week high",TRUE)</f>
        <v>804.6</v>
      </c>
      <c r="P8" s="23" cm="1">
        <f t="array" aca="1" ref="P8" ca="1">_FV(RTData[[#This Row],[Company Name]],"Volume")</f>
        <v>514335</v>
      </c>
      <c r="Q8" s="23" cm="1">
        <f t="array" aca="1" ref="Q8" ca="1">_FV(RTData[[#This Row],[Company Name]],"Volume average",TRUE)</f>
        <v>551270</v>
      </c>
      <c r="R8" s="19" cm="1">
        <f t="array" aca="1" ref="R8" ca="1">_FV(RTData[[#This Row],[Company Name]],"Beta")</f>
        <v>1.8642000000000001</v>
      </c>
      <c r="T8" t="s">
        <v>20</v>
      </c>
      <c r="U8" t="str" cm="1">
        <f t="array" aca="1" ref="U8" ca="1">_FV(RTData[[#This Row],[Company Name]],"Exchange abbreviation",TRUE)</f>
        <v>XAMS</v>
      </c>
      <c r="V8" s="24">
        <f ca="1">IFERROR(RTData[[#This Row],[Volume]]/RTData[[#This Row],[Volume average]],1)</f>
        <v>0.93300016325938284</v>
      </c>
      <c r="W8" s="24"/>
      <c r="X8" s="103">
        <f>[1]Sheet2!$E7</f>
        <v>758</v>
      </c>
      <c r="Y8" s="149">
        <f>[1]Sheet2!$F7</f>
        <v>45866</v>
      </c>
      <c r="Z8" s="149">
        <f>[1]Sheet2!$G7</f>
        <v>0</v>
      </c>
      <c r="AA8" s="150">
        <f>[1]Sheet2!$H7</f>
        <v>9.7999999999999997E-3</v>
      </c>
      <c r="AB8" s="151"/>
      <c r="AC8" s="152">
        <v>3.0000000000000001E-3</v>
      </c>
      <c r="AD8" s="103">
        <v>847.58</v>
      </c>
      <c r="AE8" s="153">
        <f>_xlfn.LET(_xlpm.New1YT,RTData[[#This Row],[1YT]],        _xlpm.Old1YT,IF(ISNUMBER(RTData[[#This Row],[Old1YT]]),RTData[[#This Row],[Old1YT]],VALUE(LEFT(RTData[[#This Row],[Old1YT]],FIND("/",RTData[[#This Row],[Old1YT]],1)-1))),       IF(OR(RTData[[#This Row],[1YT]]=0,_xlpm.Old1YT=0),0,(_xlpm.New1YT-_xlpm.Old1YT)/_xlpm.Old1YT))</f>
        <v>-0.10568913848840232</v>
      </c>
      <c r="AF8" s="153" t="str">
        <f>TEXT(RTData[[#This Row],[1YT]],"#,#0.00")&amp;" &lt; "&amp;RTData[[#This Row],[Old1YT]]</f>
        <v>758.00 &lt; 847.58</v>
      </c>
    </row>
    <row r="9" spans="1:32" s="36" customFormat="1" x14ac:dyDescent="0.3">
      <c r="A9" s="15" t="str" cm="1">
        <f t="array" aca="1" ref="A9" ca="1">_xlfn.SINGLE(RTData[suffix])&amp;_FV(RTData[[#This Row],[Company Name]],"Ticker symbol",TRUE)</f>
        <v>AZN</v>
      </c>
      <c r="B9" s="15">
        <f ca="1">D98</f>
        <v>0.84990651028386865</v>
      </c>
      <c r="C9" s="25" t="e" vm="7">
        <v>#VALUE!</v>
      </c>
      <c r="D9" s="30" t="str" cm="1">
        <f t="array" aca="1" ref="D9" ca="1">_FV(RTData[[#This Row],[Company Name]],"Currency")</f>
        <v>USD</v>
      </c>
      <c r="E9" s="31" cm="1">
        <f t="array" aca="1" ref="E9" ca="1">_FV(RTData[[#This Row],[Company Name]],"Last trade time",TRUE)</f>
        <v>45908.95915872656</v>
      </c>
      <c r="F9" s="19" cm="1">
        <f t="array" aca="1" ref="F9" ca="1">_FV(RTData[[#This Row],[Company Name]],"Previous close",TRUE)</f>
        <v>81.7</v>
      </c>
      <c r="G9" s="19" cm="1">
        <f t="array" aca="1" ref="G9" ca="1">_FV(RTData[[#This Row],[Company Name]],"Open")</f>
        <v>80.73</v>
      </c>
      <c r="H9" s="19" cm="1">
        <f t="array" aca="1" ref="H9" ca="1">_FV(RTData[[#This Row],[Company Name]],"Price")</f>
        <v>81.56</v>
      </c>
      <c r="I9" s="32" cm="1">
        <f t="array" aca="1" ref="I9" ca="1">_FV(RTData[[#This Row],[Company Name]],"Low")</f>
        <v>80.180000000000007</v>
      </c>
      <c r="J9" s="32" cm="1">
        <f t="array" aca="1" ref="J9" ca="1">_FV(RTData[[#This Row],[Company Name]],"High")</f>
        <v>81.605000000000004</v>
      </c>
      <c r="K9" s="20" cm="1">
        <f t="array" aca="1" ref="K9" ca="1">IFERROR(_FV(RTData[[#This Row],[Company Name]],"P/E",TRUE),99)</f>
        <v>30.706700000000001</v>
      </c>
      <c r="L9" s="33" cm="1">
        <f t="array" aca="1" ref="L9" ca="1">_FV(RTData[[#This Row],[Company Name]],"Change")</f>
        <v>-0.14000000000000001</v>
      </c>
      <c r="M9" s="34" cm="1">
        <f t="array" aca="1" ref="M9" ca="1">_FV(RTData[[#This Row],[Company Name]],"Change (%)",TRUE)</f>
        <v>-1.714E-3</v>
      </c>
      <c r="N9" s="32" cm="1">
        <f t="array" aca="1" ref="N9" ca="1">_FV(RTData[[#This Row],[Company Name]],"52 week low",TRUE)</f>
        <v>61.24</v>
      </c>
      <c r="O9" s="32" cm="1">
        <f t="array" aca="1" ref="O9" ca="1">_FV(RTData[[#This Row],[Company Name]],"52 week high",TRUE)</f>
        <v>83.43</v>
      </c>
      <c r="P9" s="35" cm="1">
        <f t="array" aca="1" ref="P9" ca="1">_FV(RTData[[#This Row],[Company Name]],"Volume")</f>
        <v>2624012</v>
      </c>
      <c r="Q9" s="35" cm="1">
        <f t="array" aca="1" ref="Q9" ca="1">_FV(RTData[[#This Row],[Company Name]],"Volume average",TRUE)</f>
        <v>3906149</v>
      </c>
      <c r="R9" s="32" cm="1">
        <f t="array" aca="1" ref="R9" ca="1">_FV(RTData[[#This Row],[Company Name]],"Beta")</f>
        <v>0.37840000000000001</v>
      </c>
      <c r="T9" t="s">
        <v>20</v>
      </c>
      <c r="U9" s="36" t="str" cm="1">
        <f t="array" aca="1" ref="U9" ca="1">_FV(RTData[[#This Row],[Company Name]],"Exchange abbreviation",TRUE)</f>
        <v>XNAS</v>
      </c>
      <c r="V9" s="140">
        <f ca="1">IFERROR(RTData[[#This Row],[Volume]]/RTData[[#This Row],[Volume average]],1)</f>
        <v>0.67176444114139011</v>
      </c>
      <c r="W9" s="140"/>
      <c r="X9" s="103">
        <f>[1]Sheet2!$E8</f>
        <v>87.27</v>
      </c>
      <c r="Y9" s="149">
        <f>[1]Sheet2!$F8</f>
        <v>45877</v>
      </c>
      <c r="Z9" s="149" t="str">
        <f>[1]Sheet2!$G8</f>
        <v>Jul 29, 2025</v>
      </c>
      <c r="AA9" s="150">
        <f>[1]Sheet2!$H8</f>
        <v>1.9199998999999999E-2</v>
      </c>
      <c r="AB9" s="151">
        <v>1E-4</v>
      </c>
      <c r="AC9" s="152">
        <v>3.0000000000000001E-3</v>
      </c>
      <c r="AD9" s="103">
        <v>90.46</v>
      </c>
      <c r="AE9" s="153">
        <f>_xlfn.LET(_xlpm.New1YT,RTData[[#This Row],[1YT]],        _xlpm.Old1YT,IF(ISNUMBER(RTData[[#This Row],[Old1YT]]),RTData[[#This Row],[Old1YT]],VALUE(LEFT(RTData[[#This Row],[Old1YT]],FIND("/",RTData[[#This Row],[Old1YT]],1)-1))),       IF(OR(RTData[[#This Row],[1YT]]=0,_xlpm.Old1YT=0),0,(_xlpm.New1YT-_xlpm.Old1YT)/_xlpm.Old1YT))</f>
        <v>-3.5264205173557349E-2</v>
      </c>
      <c r="AF9" s="153" t="str">
        <f>TEXT(RTData[[#This Row],[1YT]],"#,#0.00")&amp;" &lt; "&amp;RTData[[#This Row],[Old1YT]]</f>
        <v>87.27 &lt; 90.46</v>
      </c>
    </row>
    <row r="10" spans="1:32" x14ac:dyDescent="0.3">
      <c r="A10" s="15" t="str" cm="1">
        <f t="array" aca="1" ref="A10" ca="1">_xlfn.SINGLE(RTData[suffix])&amp;_FV(RTData[[#This Row],[Company Name]],"Ticker symbol",TRUE)</f>
        <v>BLDP</v>
      </c>
      <c r="B10" s="15">
        <f ca="1">D98</f>
        <v>0.84990651028386865</v>
      </c>
      <c r="C10" s="25" t="e" vm="8">
        <v>#VALUE!</v>
      </c>
      <c r="D10" s="17" t="str" cm="1">
        <f t="array" aca="1" ref="D10" ca="1">_FV(RTData[[#This Row],[Company Name]],"Currency")</f>
        <v>USD</v>
      </c>
      <c r="E10" s="18" cm="1">
        <f t="array" aca="1" ref="E10" ca="1">_FV(RTData[[#This Row],[Company Name]],"Last trade time",TRUE)</f>
        <v>45908.950710196092</v>
      </c>
      <c r="F10" s="19" cm="1">
        <f t="array" aca="1" ref="F10" ca="1">_FV(RTData[[#This Row],[Company Name]],"Previous close",TRUE)</f>
        <v>1.99</v>
      </c>
      <c r="G10" s="19" cm="1">
        <f t="array" aca="1" ref="G10" ca="1">_FV(RTData[[#This Row],[Company Name]],"Open")</f>
        <v>2.04</v>
      </c>
      <c r="H10" s="19" cm="1">
        <f t="array" aca="1" ref="H10" ca="1">_FV(RTData[[#This Row],[Company Name]],"Price")</f>
        <v>1.94</v>
      </c>
      <c r="I10" s="19" cm="1">
        <f t="array" aca="1" ref="I10" ca="1">_FV(RTData[[#This Row],[Company Name]],"Low")</f>
        <v>1.92</v>
      </c>
      <c r="J10" s="19" cm="1">
        <f t="array" aca="1" ref="J10" ca="1">_FV(RTData[[#This Row],[Company Name]],"High")</f>
        <v>2.04</v>
      </c>
      <c r="K10" s="20" cm="1">
        <f t="array" aca="1" ref="K10" ca="1">IFERROR(_FV(RTData[[#This Row],[Company Name]],"P/E",TRUE),99)</f>
        <v>0</v>
      </c>
      <c r="L10" s="21" cm="1">
        <f t="array" aca="1" ref="L10" ca="1">_FV(RTData[[#This Row],[Company Name]],"Change")</f>
        <v>-0.05</v>
      </c>
      <c r="M10" s="22" cm="1">
        <f t="array" aca="1" ref="M10" ca="1">_FV(RTData[[#This Row],[Company Name]],"Change (%)",TRUE)</f>
        <v>-2.5125999999999999E-2</v>
      </c>
      <c r="N10" s="19" cm="1">
        <f t="array" aca="1" ref="N10" ca="1">_FV(RTData[[#This Row],[Company Name]],"52 week low",TRUE)</f>
        <v>1</v>
      </c>
      <c r="O10" s="19" cm="1">
        <f t="array" aca="1" ref="O10" ca="1">_FV(RTData[[#This Row],[Company Name]],"52 week high",TRUE)</f>
        <v>2.2799999999999998</v>
      </c>
      <c r="P10" s="23" cm="1">
        <f t="array" aca="1" ref="P10" ca="1">_FV(RTData[[#This Row],[Company Name]],"Volume")</f>
        <v>3360117</v>
      </c>
      <c r="Q10" s="23" cm="1">
        <f t="array" aca="1" ref="Q10" ca="1">_FV(RTData[[#This Row],[Company Name]],"Volume average",TRUE)</f>
        <v>3682306</v>
      </c>
      <c r="R10" s="19" cm="1">
        <f t="array" aca="1" ref="R10" ca="1">_FV(RTData[[#This Row],[Company Name]],"Beta")</f>
        <v>1.7793000000000001</v>
      </c>
      <c r="T10" t="s">
        <v>20</v>
      </c>
      <c r="U10" t="str" cm="1">
        <f t="array" aca="1" ref="U10" ca="1">_FV(RTData[[#This Row],[Company Name]],"Exchange abbreviation",TRUE)</f>
        <v>XNAS</v>
      </c>
      <c r="V10" s="24">
        <f ca="1">IFERROR(RTData[[#This Row],[Volume]]/RTData[[#This Row],[Volume average]],1)</f>
        <v>0.91250346929342641</v>
      </c>
      <c r="W10" s="24"/>
      <c r="X10" s="103">
        <f>[1]Sheet2!$E9</f>
        <v>2.3158300000000001</v>
      </c>
      <c r="Y10" s="149">
        <f>[1]Sheet2!$F9</f>
        <v>0</v>
      </c>
      <c r="Z10" s="149" t="str">
        <f>[1]Sheet2!$G9</f>
        <v>Nov 4, 2025</v>
      </c>
      <c r="AA10" s="150">
        <f>[1]Sheet2!$H9</f>
        <v>0</v>
      </c>
      <c r="AB10" s="151">
        <v>1E-4</v>
      </c>
      <c r="AC10" s="152">
        <v>3.0000000000000001E-3</v>
      </c>
      <c r="AD10" s="103">
        <v>2.73</v>
      </c>
      <c r="AE10" s="153">
        <f>_xlfn.LET(_xlpm.New1YT,RTData[[#This Row],[1YT]],        _xlpm.Old1YT,IF(ISNUMBER(RTData[[#This Row],[Old1YT]]),RTData[[#This Row],[Old1YT]],VALUE(LEFT(RTData[[#This Row],[Old1YT]],FIND("/",RTData[[#This Row],[Old1YT]],1)-1))),       IF(OR(RTData[[#This Row],[1YT]]=0,_xlpm.Old1YT=0),0,(_xlpm.New1YT-_xlpm.Old1YT)/_xlpm.Old1YT))</f>
        <v>-0.15171062271062269</v>
      </c>
      <c r="AF10" s="153" t="str">
        <f>TEXT(RTData[[#This Row],[1YT]],"#,#0.00")&amp;" &lt; "&amp;RTData[[#This Row],[Old1YT]]</f>
        <v>2.32 &lt; 2.73</v>
      </c>
    </row>
    <row r="11" spans="1:32" x14ac:dyDescent="0.3">
      <c r="A11" s="15" t="str" cm="1">
        <f t="array" aca="1" ref="A11" ca="1">_xlfn.SINGLE(RTData[suffix])&amp;_FV(RTData[[#This Row],[Company Name]],"Ticker symbol",TRUE)</f>
        <v>BMRA</v>
      </c>
      <c r="B11" s="15">
        <f ca="1">D98</f>
        <v>0.84990651028386865</v>
      </c>
      <c r="C11" s="25" t="e" vm="9">
        <v>#VALUE!</v>
      </c>
      <c r="D11" s="17" t="str" cm="1">
        <f t="array" aca="1" ref="D11" ca="1">_FV(RTData[[#This Row],[Company Name]],"Currency")</f>
        <v>USD</v>
      </c>
      <c r="E11" s="18" cm="1">
        <f t="array" aca="1" ref="E11" ca="1">_FV(RTData[[#This Row],[Company Name]],"Last trade time",TRUE)</f>
        <v>45908.965841747653</v>
      </c>
      <c r="F11" s="19" cm="1">
        <f t="array" aca="1" ref="F11" ca="1">_FV(RTData[[#This Row],[Company Name]],"Previous close",TRUE)</f>
        <v>2.75</v>
      </c>
      <c r="G11" s="19" cm="1">
        <f t="array" aca="1" ref="G11" ca="1">_FV(RTData[[#This Row],[Company Name]],"Open")</f>
        <v>2.77</v>
      </c>
      <c r="H11" s="19" cm="1">
        <f t="array" aca="1" ref="H11" ca="1">_FV(RTData[[#This Row],[Company Name]],"Price")</f>
        <v>2.91</v>
      </c>
      <c r="I11" s="19" cm="1">
        <f t="array" aca="1" ref="I11" ca="1">_FV(RTData[[#This Row],[Company Name]],"Low")</f>
        <v>2.75</v>
      </c>
      <c r="J11" s="19" cm="1">
        <f t="array" aca="1" ref="J11" ca="1">_FV(RTData[[#This Row],[Company Name]],"High")</f>
        <v>3.02</v>
      </c>
      <c r="K11" s="20" cm="1">
        <f t="array" aca="1" ref="K11" ca="1">IFERROR(_FV(RTData[[#This Row],[Company Name]],"P/E",TRUE),99)</f>
        <v>0</v>
      </c>
      <c r="L11" s="21" cm="1">
        <f t="array" aca="1" ref="L11" ca="1">_FV(RTData[[#This Row],[Company Name]],"Change")</f>
        <v>0.16</v>
      </c>
      <c r="M11" s="22" cm="1">
        <f t="array" aca="1" ref="M11" ca="1">_FV(RTData[[#This Row],[Company Name]],"Change (%)",TRUE)</f>
        <v>5.8181999999999998E-2</v>
      </c>
      <c r="N11" s="19" cm="1">
        <f t="array" aca="1" ref="N11" ca="1">_FV(RTData[[#This Row],[Company Name]],"52 week low",TRUE)</f>
        <v>2.08</v>
      </c>
      <c r="O11" s="19" cm="1">
        <f t="array" aca="1" ref="O11" ca="1">_FV(RTData[[#This Row],[Company Name]],"52 week high",TRUE)</f>
        <v>10.16</v>
      </c>
      <c r="P11" s="23" cm="1">
        <f t="array" aca="1" ref="P11" ca="1">_FV(RTData[[#This Row],[Company Name]],"Volume")</f>
        <v>204574</v>
      </c>
      <c r="Q11" s="23" cm="1">
        <f t="array" aca="1" ref="Q11" ca="1">_FV(RTData[[#This Row],[Company Name]],"Volume average",TRUE)</f>
        <v>1949317</v>
      </c>
      <c r="R11" s="19" cm="1">
        <f t="array" aca="1" ref="R11" ca="1">_FV(RTData[[#This Row],[Company Name]],"Beta")</f>
        <v>0.35589999999999999</v>
      </c>
      <c r="T11" t="s">
        <v>20</v>
      </c>
      <c r="U11" t="str" cm="1">
        <f t="array" aca="1" ref="U11" ca="1">_FV(RTData[[#This Row],[Company Name]],"Exchange abbreviation",TRUE)</f>
        <v>XNAS</v>
      </c>
      <c r="V11" s="24">
        <f ca="1">IFERROR(RTData[[#This Row],[Volume]]/RTData[[#This Row],[Volume average]],1)</f>
        <v>0.10494650177472417</v>
      </c>
      <c r="W11" s="24"/>
      <c r="X11" s="103">
        <f>[1]Sheet2!$E10</f>
        <v>0</v>
      </c>
      <c r="Y11" s="149">
        <f>[1]Sheet2!$F10</f>
        <v>0</v>
      </c>
      <c r="Z11" s="149" t="str">
        <f>[1]Sheet2!$G10</f>
        <v>Aug 26, 2025 - Sep 1, 2025</v>
      </c>
      <c r="AA11" s="150">
        <f>[1]Sheet2!$H10</f>
        <v>0</v>
      </c>
      <c r="AB11" s="151">
        <v>1E-4</v>
      </c>
      <c r="AC11" s="152">
        <v>3.0000000000000001E-3</v>
      </c>
      <c r="AD11" s="103">
        <v>13.26</v>
      </c>
      <c r="AE11" s="153">
        <f>_xlfn.LET(_xlpm.New1YT,RTData[[#This Row],[1YT]],        _xlpm.Old1YT,IF(ISNUMBER(RTData[[#This Row],[Old1YT]]),RTData[[#This Row],[Old1YT]],VALUE(LEFT(RTData[[#This Row],[Old1YT]],FIND("/",RTData[[#This Row],[Old1YT]],1)-1))),       IF(OR(RTData[[#This Row],[1YT]]=0,_xlpm.Old1YT=0),0,(_xlpm.New1YT-_xlpm.Old1YT)/_xlpm.Old1YT))</f>
        <v>0</v>
      </c>
      <c r="AF11" s="153" t="str">
        <f>TEXT(RTData[[#This Row],[1YT]],"#,#0.00")&amp;" &lt; "&amp;RTData[[#This Row],[Old1YT]]</f>
        <v>0.00 &lt; 13.26</v>
      </c>
    </row>
    <row r="12" spans="1:32" x14ac:dyDescent="0.3">
      <c r="A12" s="15" t="str" cm="1">
        <f t="array" aca="1" ref="A12" ca="1">_xlfn.SINGLE(RTData[suffix])&amp;_FV(RTData[[#This Row],[Company Name]],"Ticker symbol",TRUE)</f>
        <v>C</v>
      </c>
      <c r="B12" s="15">
        <f ca="1">D98</f>
        <v>0.84990651028386865</v>
      </c>
      <c r="C12" s="25" t="e" vm="10">
        <v>#VALUE!</v>
      </c>
      <c r="D12" s="17" t="str" cm="1">
        <f t="array" aca="1" ref="D12" ca="1">_FV(RTData[[#This Row],[Company Name]],"Currency")</f>
        <v>USD</v>
      </c>
      <c r="E12" s="18" cm="1">
        <f t="array" aca="1" ref="E12" ca="1">_FV(RTData[[#This Row],[Company Name]],"Last trade time",TRUE)</f>
        <v>45908.969378310154</v>
      </c>
      <c r="F12" s="19" cm="1">
        <f t="array" aca="1" ref="F12" ca="1">_FV(RTData[[#This Row],[Company Name]],"Previous close",TRUE)</f>
        <v>95.4</v>
      </c>
      <c r="G12" s="19" cm="1">
        <f t="array" aca="1" ref="G12" ca="1">_FV(RTData[[#This Row],[Company Name]],"Open")</f>
        <v>95.86</v>
      </c>
      <c r="H12" s="19" cm="1">
        <f t="array" aca="1" ref="H12" ca="1">_FV(RTData[[#This Row],[Company Name]],"Price")</f>
        <v>95.91</v>
      </c>
      <c r="I12" s="19" cm="1">
        <f t="array" aca="1" ref="I12" ca="1">_FV(RTData[[#This Row],[Company Name]],"Low")</f>
        <v>94.64</v>
      </c>
      <c r="J12" s="19" cm="1">
        <f t="array" aca="1" ref="J12" ca="1">_FV(RTData[[#This Row],[Company Name]],"High")</f>
        <v>95.965000000000003</v>
      </c>
      <c r="K12" s="20" cm="1">
        <f t="array" aca="1" ref="K12" ca="1">IFERROR(_FV(RTData[[#This Row],[Company Name]],"P/E",TRUE),99)</f>
        <v>14.1784</v>
      </c>
      <c r="L12" s="21" cm="1">
        <f t="array" aca="1" ref="L12" ca="1">_FV(RTData[[#This Row],[Company Name]],"Change")</f>
        <v>0.51</v>
      </c>
      <c r="M12" s="22" cm="1">
        <f t="array" aca="1" ref="M12" ca="1">_FV(RTData[[#This Row],[Company Name]],"Change (%)",TRUE)</f>
        <v>5.3460000000000001E-3</v>
      </c>
      <c r="N12" s="19" cm="1">
        <f t="array" aca="1" ref="N12" ca="1">_FV(RTData[[#This Row],[Company Name]],"52 week low",TRUE)</f>
        <v>55.51</v>
      </c>
      <c r="O12" s="19" cm="1">
        <f t="array" aca="1" ref="O12" ca="1">_FV(RTData[[#This Row],[Company Name]],"52 week high",TRUE)</f>
        <v>97.98</v>
      </c>
      <c r="P12" s="23" cm="1">
        <f t="array" aca="1" ref="P12" ca="1">_FV(RTData[[#This Row],[Company Name]],"Volume")</f>
        <v>11397310</v>
      </c>
      <c r="Q12" s="23" cm="1">
        <f t="array" aca="1" ref="Q12" ca="1">_FV(RTData[[#This Row],[Company Name]],"Volume average",TRUE)</f>
        <v>13682988</v>
      </c>
      <c r="R12" s="19" cm="1">
        <f t="array" aca="1" ref="R12" ca="1">_FV(RTData[[#This Row],[Company Name]],"Beta")</f>
        <v>1.3585</v>
      </c>
      <c r="T12" t="s">
        <v>20</v>
      </c>
      <c r="U12" t="str" cm="1">
        <f t="array" aca="1" ref="U12" ca="1">_FV(RTData[[#This Row],[Company Name]],"Exchange abbreviation",TRUE)</f>
        <v>XNYS</v>
      </c>
      <c r="V12" s="24">
        <f ca="1">IFERROR(RTData[[#This Row],[Volume]]/RTData[[#This Row],[Volume average]],1)</f>
        <v>0.83295476105072952</v>
      </c>
      <c r="W12" s="24"/>
      <c r="X12" s="103">
        <v>99.45</v>
      </c>
      <c r="Y12" s="149">
        <f>[1]Sheet2!$F11</f>
        <v>45873</v>
      </c>
      <c r="Z12" s="149" t="str">
        <f>[1]Sheet2!$G11</f>
        <v>Oct 14, 2025</v>
      </c>
      <c r="AA12" s="150">
        <f>[1]Sheet2!$H11</f>
        <v>2.52E-2</v>
      </c>
      <c r="AB12" s="151">
        <v>1E-4</v>
      </c>
      <c r="AC12" s="152">
        <v>3.0000000000000001E-3</v>
      </c>
      <c r="AD12" s="103" t="s">
        <v>92</v>
      </c>
      <c r="AE12" s="153">
        <f>_xlfn.LET(_xlpm.New1YT,RTData[[#This Row],[1YT]],        _xlpm.Old1YT,IF(ISNUMBER(RTData[[#This Row],[Old1YT]]),RTData[[#This Row],[Old1YT]],VALUE(LEFT(RTData[[#This Row],[Old1YT]],FIND("/",RTData[[#This Row],[Old1YT]],1)-1))),       IF(OR(RTData[[#This Row],[1YT]]=0,_xlpm.Old1YT=0),0,(_xlpm.New1YT-_xlpm.Old1YT)/_xlpm.Old1YT))</f>
        <v>0.13813229571984445</v>
      </c>
      <c r="AF12" s="153" t="str">
        <f>TEXT(RTData[[#This Row],[1YT]],"#,#0.00")&amp;" &lt; "&amp;RTData[[#This Row],[Old1YT]]</f>
        <v>99.45 &lt; 87.38/72.32</v>
      </c>
    </row>
    <row r="13" spans="1:32" x14ac:dyDescent="0.3">
      <c r="A13" s="15" t="str" cm="1">
        <f t="array" aca="1" ref="A13" ca="1">_xlfn.SINGLE(RTData[suffix])&amp;_FV(RTData[[#This Row],[Company Name]],"Ticker symbol",TRUE)</f>
        <v>CSCO</v>
      </c>
      <c r="B13" s="15">
        <f ca="1">D98</f>
        <v>0.84990651028386865</v>
      </c>
      <c r="C13" s="25" t="e" vm="11">
        <v>#VALUE!</v>
      </c>
      <c r="D13" s="17" t="str" cm="1">
        <f t="array" aca="1" ref="D13" ca="1">_FV(RTData[[#This Row],[Company Name]],"Currency")</f>
        <v>USD</v>
      </c>
      <c r="E13" s="18" cm="1">
        <f t="array" aca="1" ref="E13" ca="1">_FV(RTData[[#This Row],[Company Name]],"Last trade time",TRUE)</f>
        <v>45908.969758460153</v>
      </c>
      <c r="F13" s="19" cm="1">
        <f t="array" aca="1" ref="F13" ca="1">_FV(RTData[[#This Row],[Company Name]],"Previous close",TRUE)</f>
        <v>66.900000000000006</v>
      </c>
      <c r="G13" s="19" cm="1">
        <f t="array" aca="1" ref="G13" ca="1">_FV(RTData[[#This Row],[Company Name]],"Open")</f>
        <v>66.72</v>
      </c>
      <c r="H13" s="19" cm="1">
        <f t="array" aca="1" ref="H13" ca="1">_FV(RTData[[#This Row],[Company Name]],"Price")</f>
        <v>66.88</v>
      </c>
      <c r="I13" s="19" cm="1">
        <f t="array" aca="1" ref="I13" ca="1">_FV(RTData[[#This Row],[Company Name]],"Low")</f>
        <v>66.349999999999994</v>
      </c>
      <c r="J13" s="19" cm="1">
        <f t="array" aca="1" ref="J13" ca="1">_FV(RTData[[#This Row],[Company Name]],"High")</f>
        <v>67.004999999999995</v>
      </c>
      <c r="K13" s="20" cm="1">
        <f t="array" aca="1" ref="K13" ca="1">IFERROR(_FV(RTData[[#This Row],[Company Name]],"P/E",TRUE),99)</f>
        <v>28.281300000000002</v>
      </c>
      <c r="L13" s="21" cm="1">
        <f t="array" aca="1" ref="L13" ca="1">_FV(RTData[[#This Row],[Company Name]],"Change")</f>
        <v>-0.02</v>
      </c>
      <c r="M13" s="22" cm="1">
        <f t="array" aca="1" ref="M13" ca="1">_FV(RTData[[#This Row],[Company Name]],"Change (%)",TRUE)</f>
        <v>-2.99E-4</v>
      </c>
      <c r="N13" s="19" cm="1">
        <f t="array" aca="1" ref="N13" ca="1">_FV(RTData[[#This Row],[Company Name]],"52 week low",TRUE)</f>
        <v>47.850099999999998</v>
      </c>
      <c r="O13" s="19" cm="1">
        <f t="array" aca="1" ref="O13" ca="1">_FV(RTData[[#This Row],[Company Name]],"52 week high",TRUE)</f>
        <v>72.55</v>
      </c>
      <c r="P13" s="23" cm="1">
        <f t="array" aca="1" ref="P13" ca="1">_FV(RTData[[#This Row],[Company Name]],"Volume")</f>
        <v>14033759</v>
      </c>
      <c r="Q13" s="23" cm="1">
        <f t="array" aca="1" ref="Q13" ca="1">_FV(RTData[[#This Row],[Company Name]],"Volume average",TRUE)</f>
        <v>21492790</v>
      </c>
      <c r="R13" s="19" cm="1">
        <f t="array" aca="1" ref="R13" ca="1">_FV(RTData[[#This Row],[Company Name]],"Beta")</f>
        <v>0.97709999999999997</v>
      </c>
      <c r="T13" t="s">
        <v>20</v>
      </c>
      <c r="U13" t="str" cm="1">
        <f t="array" aca="1" ref="U13" ca="1">_FV(RTData[[#This Row],[Company Name]],"Exchange abbreviation",TRUE)</f>
        <v>XNAS</v>
      </c>
      <c r="V13" s="24">
        <f ca="1">IFERROR(RTData[[#This Row],[Volume]]/RTData[[#This Row],[Volume average]],1)</f>
        <v>0.65295194341916518</v>
      </c>
      <c r="W13" s="24"/>
      <c r="X13" s="103">
        <f>[1]Sheet2!$E12</f>
        <v>75.814760000000007</v>
      </c>
      <c r="Y13" s="149">
        <f>[1]Sheet2!$F12</f>
        <v>45933</v>
      </c>
      <c r="Z13" s="149" t="str">
        <f>[1]Sheet2!$G12</f>
        <v>Nov 12, 2025</v>
      </c>
      <c r="AA13" s="150">
        <f>[1]Sheet2!$H12</f>
        <v>2.4500001E-2</v>
      </c>
      <c r="AB13" s="151">
        <v>1E-4</v>
      </c>
      <c r="AC13" s="152">
        <v>3.0000000000000001E-3</v>
      </c>
      <c r="AD13" s="103">
        <v>55.04</v>
      </c>
      <c r="AE13" s="153">
        <f>_xlfn.LET(_xlpm.New1YT,RTData[[#This Row],[1YT]],        _xlpm.Old1YT,IF(ISNUMBER(RTData[[#This Row],[Old1YT]]),RTData[[#This Row],[Old1YT]],VALUE(LEFT(RTData[[#This Row],[Old1YT]],FIND("/",RTData[[#This Row],[Old1YT]],1)-1))),       IF(OR(RTData[[#This Row],[1YT]]=0,_xlpm.Old1YT=0),0,(_xlpm.New1YT-_xlpm.Old1YT)/_xlpm.Old1YT))</f>
        <v>0.37744840116279083</v>
      </c>
      <c r="AF13" s="153" t="str">
        <f>TEXT(RTData[[#This Row],[1YT]],"#,#0.00")&amp;" &lt; "&amp;RTData[[#This Row],[Old1YT]]</f>
        <v>75.81 &lt; 55.04</v>
      </c>
    </row>
    <row r="14" spans="1:32" x14ac:dyDescent="0.3">
      <c r="A14" s="15" t="str" cm="1">
        <f t="array" aca="1" ref="A14" ca="1">_xlfn.SINGLE(RTData[suffix])&amp;_FV(RTData[[#This Row],[Company Name]],"Ticker symbol",TRUE)</f>
        <v>CVS</v>
      </c>
      <c r="B14" s="15">
        <f ca="1">D98</f>
        <v>0.84990651028386865</v>
      </c>
      <c r="C14" s="25" t="e" vm="12">
        <v>#VALUE!</v>
      </c>
      <c r="D14" s="17" t="str" cm="1">
        <f t="array" aca="1" ref="D14" ca="1">_FV(RTData[[#This Row],[Company Name]],"Currency")</f>
        <v>USD</v>
      </c>
      <c r="E14" s="18" cm="1">
        <f t="array" aca="1" ref="E14" ca="1">_FV(RTData[[#This Row],[Company Name]],"Last trade time",TRUE)</f>
        <v>45908.969723008595</v>
      </c>
      <c r="F14" s="19" cm="1">
        <f t="array" aca="1" ref="F14" ca="1">_FV(RTData[[#This Row],[Company Name]],"Previous close",TRUE)</f>
        <v>73.78</v>
      </c>
      <c r="G14" s="19" cm="1">
        <f t="array" aca="1" ref="G14" ca="1">_FV(RTData[[#This Row],[Company Name]],"Open")</f>
        <v>73.83</v>
      </c>
      <c r="H14" s="19" cm="1">
        <f t="array" aca="1" ref="H14" ca="1">_FV(RTData[[#This Row],[Company Name]],"Price")</f>
        <v>70.260000000000005</v>
      </c>
      <c r="I14" s="19" cm="1">
        <f t="array" aca="1" ref="I14" ca="1">_FV(RTData[[#This Row],[Company Name]],"Low")</f>
        <v>69.599999999999994</v>
      </c>
      <c r="J14" s="19" cm="1">
        <f t="array" aca="1" ref="J14" ca="1">_FV(RTData[[#This Row],[Company Name]],"High")</f>
        <v>73.994299999999996</v>
      </c>
      <c r="K14" s="20" cm="1">
        <f t="array" aca="1" ref="K14" ca="1">IFERROR(_FV(RTData[[#This Row],[Company Name]],"P/E",TRUE),99)</f>
        <v>19.6082</v>
      </c>
      <c r="L14" s="21" cm="1">
        <f t="array" aca="1" ref="L14" ca="1">_FV(RTData[[#This Row],[Company Name]],"Change")</f>
        <v>-3.52</v>
      </c>
      <c r="M14" s="22" cm="1">
        <f t="array" aca="1" ref="M14" ca="1">_FV(RTData[[#This Row],[Company Name]],"Change (%)",TRUE)</f>
        <v>-4.7709000000000001E-2</v>
      </c>
      <c r="N14" s="19" cm="1">
        <f t="array" aca="1" ref="N14" ca="1">_FV(RTData[[#This Row],[Company Name]],"52 week low",TRUE)</f>
        <v>43.56</v>
      </c>
      <c r="O14" s="19" cm="1">
        <f t="array" aca="1" ref="O14" ca="1">_FV(RTData[[#This Row],[Company Name]],"52 week high",TRUE)</f>
        <v>74.53</v>
      </c>
      <c r="P14" s="23" cm="1">
        <f t="array" aca="1" ref="P14" ca="1">_FV(RTData[[#This Row],[Company Name]],"Volume")</f>
        <v>13323159</v>
      </c>
      <c r="Q14" s="23" cm="1">
        <f t="array" aca="1" ref="Q14" ca="1">_FV(RTData[[#This Row],[Company Name]],"Volume average",TRUE)</f>
        <v>6371666</v>
      </c>
      <c r="R14" s="19" cm="1">
        <f t="array" aca="1" ref="R14" ca="1">_FV(RTData[[#This Row],[Company Name]],"Beta")</f>
        <v>0.60780000000000001</v>
      </c>
      <c r="T14" t="s">
        <v>20</v>
      </c>
      <c r="U14" t="str" cm="1">
        <f t="array" aca="1" ref="U14" ca="1">_FV(RTData[[#This Row],[Company Name]],"Exchange abbreviation",TRUE)</f>
        <v>XNYS</v>
      </c>
      <c r="V14" s="24">
        <f ca="1">IFERROR(RTData[[#This Row],[Volume]]/RTData[[#This Row],[Volume average]],1)</f>
        <v>2.0910008465603815</v>
      </c>
      <c r="W14" s="24"/>
      <c r="X14" s="103">
        <f>[1]Sheet2!$E13</f>
        <v>82.072500000000005</v>
      </c>
      <c r="Y14" s="149">
        <f>[1]Sheet2!$F13</f>
        <v>45860</v>
      </c>
      <c r="Z14" s="149" t="str">
        <f>[1]Sheet2!$G13</f>
        <v>Jul 31, 2025</v>
      </c>
      <c r="AA14" s="150">
        <f>[1]Sheet2!$H13</f>
        <v>3.61E-2</v>
      </c>
      <c r="AB14" s="151">
        <v>1E-4</v>
      </c>
      <c r="AC14" s="152">
        <v>3.0000000000000001E-3</v>
      </c>
      <c r="AD14" s="103">
        <v>72.3</v>
      </c>
      <c r="AE14" s="153">
        <f>_xlfn.LET(_xlpm.New1YT,RTData[[#This Row],[1YT]],        _xlpm.Old1YT,IF(ISNUMBER(RTData[[#This Row],[Old1YT]]),RTData[[#This Row],[Old1YT]],VALUE(LEFT(RTData[[#This Row],[Old1YT]],FIND("/",RTData[[#This Row],[Old1YT]],1)-1))),       IF(OR(RTData[[#This Row],[1YT]]=0,_xlpm.Old1YT=0),0,(_xlpm.New1YT-_xlpm.Old1YT)/_xlpm.Old1YT))</f>
        <v>0.13516597510373454</v>
      </c>
      <c r="AF14" s="153" t="str">
        <f>TEXT(RTData[[#This Row],[1YT]],"#,#0.00")&amp;" &lt; "&amp;RTData[[#This Row],[Old1YT]]</f>
        <v>82.07 &lt; 72.3</v>
      </c>
    </row>
    <row r="15" spans="1:32" x14ac:dyDescent="0.3">
      <c r="A15" s="15" t="str" cm="1">
        <f t="array" aca="1" ref="A15" ca="1">_xlfn.SINGLE(RTData[suffix])&amp;_FV(RTData[[#This Row],[Company Name]],"Ticker symbol",TRUE)</f>
        <v>DDD</v>
      </c>
      <c r="B15" s="15">
        <f ca="1">D98</f>
        <v>0.84990651028386865</v>
      </c>
      <c r="C15" s="25" t="e" vm="13">
        <v>#VALUE!</v>
      </c>
      <c r="D15" s="17" t="str" cm="1">
        <f t="array" aca="1" ref="D15" ca="1">_FV(RTData[[#This Row],[Company Name]],"Currency")</f>
        <v>USD</v>
      </c>
      <c r="E15" s="18" cm="1">
        <f t="array" aca="1" ref="E15" ca="1">_FV(RTData[[#This Row],[Company Name]],"Last trade time",TRUE)</f>
        <v>45908.966721573437</v>
      </c>
      <c r="F15" s="19" cm="1">
        <f t="array" aca="1" ref="F15" ca="1">_FV(RTData[[#This Row],[Company Name]],"Previous close",TRUE)</f>
        <v>2.12</v>
      </c>
      <c r="G15" s="19" cm="1">
        <f t="array" aca="1" ref="G15" ca="1">_FV(RTData[[#This Row],[Company Name]],"Open")</f>
        <v>2.13</v>
      </c>
      <c r="H15" s="19" cm="1">
        <f t="array" aca="1" ref="H15" ca="1">_FV(RTData[[#This Row],[Company Name]],"Price")</f>
        <v>2.17</v>
      </c>
      <c r="I15" s="19" cm="1">
        <f t="array" aca="1" ref="I15" ca="1">_FV(RTData[[#This Row],[Company Name]],"Low")</f>
        <v>2.0499999999999998</v>
      </c>
      <c r="J15" s="19" cm="1">
        <f t="array" aca="1" ref="J15" ca="1">_FV(RTData[[#This Row],[Company Name]],"High")</f>
        <v>2.17</v>
      </c>
      <c r="K15" s="20" cm="1">
        <f t="array" aca="1" ref="K15" ca="1">IFERROR(_FV(RTData[[#This Row],[Company Name]],"P/E",TRUE),99)</f>
        <v>0</v>
      </c>
      <c r="L15" s="21" cm="1">
        <f t="array" aca="1" ref="L15" ca="1">_FV(RTData[[#This Row],[Company Name]],"Change")</f>
        <v>0.05</v>
      </c>
      <c r="M15" s="22" cm="1">
        <f t="array" aca="1" ref="M15" ca="1">_FV(RTData[[#This Row],[Company Name]],"Change (%)",TRUE)</f>
        <v>2.3584999999999998E-2</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2291476</v>
      </c>
      <c r="Q15" s="23" cm="1">
        <f t="array" aca="1" ref="Q15" ca="1">_FV(RTData[[#This Row],[Company Name]],"Volume average",TRUE)</f>
        <v>4649994</v>
      </c>
      <c r="R15" s="19" cm="1">
        <f t="array" aca="1" ref="R15" ca="1">_FV(RTData[[#This Row],[Company Name]],"Beta")</f>
        <v>2.0886</v>
      </c>
      <c r="T15" t="s">
        <v>20</v>
      </c>
      <c r="U15" t="str" cm="1">
        <f t="array" aca="1" ref="U15" ca="1">_FV(RTData[[#This Row],[Company Name]],"Exchange abbreviation",TRUE)</f>
        <v>XNYS</v>
      </c>
      <c r="V15" s="24">
        <f ca="1">IFERROR(RTData[[#This Row],[Volume]]/RTData[[#This Row],[Volume average]],1)</f>
        <v>0.49279117349398732</v>
      </c>
      <c r="W15" s="24"/>
      <c r="X15" s="103">
        <f>[1]Sheet2!$E14</f>
        <v>3.25</v>
      </c>
      <c r="Y15" s="149">
        <f>[1]Sheet2!$F14</f>
        <v>0</v>
      </c>
      <c r="Z15" s="149" t="str">
        <f>[1]Sheet2!$G14</f>
        <v>Nov 10, 2025</v>
      </c>
      <c r="AA15" s="150">
        <f>[1]Sheet2!$H14</f>
        <v>0</v>
      </c>
      <c r="AB15" s="151">
        <v>1E-4</v>
      </c>
      <c r="AC15" s="152">
        <v>3.0000000000000001E-3</v>
      </c>
      <c r="AD15" s="103">
        <v>3.94</v>
      </c>
      <c r="AE15" s="153">
        <f>_xlfn.LET(_xlpm.New1YT,RTData[[#This Row],[1YT]],        _xlpm.Old1YT,IF(ISNUMBER(RTData[[#This Row],[Old1YT]]),RTData[[#This Row],[Old1YT]],VALUE(LEFT(RTData[[#This Row],[Old1YT]],FIND("/",RTData[[#This Row],[Old1YT]],1)-1))),       IF(OR(RTData[[#This Row],[1YT]]=0,_xlpm.Old1YT=0),0,(_xlpm.New1YT-_xlpm.Old1YT)/_xlpm.Old1YT))</f>
        <v>-0.17512690355329949</v>
      </c>
      <c r="AF15" s="153" t="str">
        <f>TEXT(RTData[[#This Row],[1YT]],"#,#0.00")&amp;" &lt; "&amp;RTData[[#This Row],[Old1YT]]</f>
        <v>3.25 &lt; 3.94</v>
      </c>
    </row>
    <row r="16" spans="1:32" x14ac:dyDescent="0.3">
      <c r="A16" s="15" t="str" cm="1">
        <f t="array" aca="1" ref="A16" ca="1">_xlfn.SINGLE(RTData[suffix])&amp;_FV(RTData[[#This Row],[Company Name]],"Ticker symbol",TRUE)</f>
        <v>DIS</v>
      </c>
      <c r="B16" s="15">
        <f ca="1">D98</f>
        <v>0.84990651028386865</v>
      </c>
      <c r="C16" s="25" t="e" vm="14">
        <v>#VALUE!</v>
      </c>
      <c r="D16" s="17" t="str" cm="1">
        <f t="array" aca="1" ref="D16" ca="1">_FV(RTData[[#This Row],[Company Name]],"Currency")</f>
        <v>USD</v>
      </c>
      <c r="E16" s="18" cm="1">
        <f t="array" aca="1" ref="E16" ca="1">_FV(RTData[[#This Row],[Company Name]],"Last trade time",TRUE)</f>
        <v>45908.96936598359</v>
      </c>
      <c r="F16" s="19" cm="1">
        <f t="array" aca="1" ref="F16" ca="1">_FV(RTData[[#This Row],[Company Name]],"Previous close",TRUE)</f>
        <v>117.91</v>
      </c>
      <c r="G16" s="19" cm="1">
        <f t="array" aca="1" ref="G16" ca="1">_FV(RTData[[#This Row],[Company Name]],"Open")</f>
        <v>117.96</v>
      </c>
      <c r="H16" s="19" cm="1">
        <f t="array" aca="1" ref="H16" ca="1">_FV(RTData[[#This Row],[Company Name]],"Price")</f>
        <v>118.84</v>
      </c>
      <c r="I16" s="19" cm="1">
        <f t="array" aca="1" ref="I16" ca="1">_FV(RTData[[#This Row],[Company Name]],"Low")</f>
        <v>116.74</v>
      </c>
      <c r="J16" s="19" cm="1">
        <f t="array" aca="1" ref="J16" ca="1">_FV(RTData[[#This Row],[Company Name]],"High")</f>
        <v>118.88</v>
      </c>
      <c r="K16" s="20" cm="1">
        <f t="array" aca="1" ref="K16" ca="1">IFERROR(_FV(RTData[[#This Row],[Company Name]],"P/E",TRUE),99)</f>
        <v>18.631599999999999</v>
      </c>
      <c r="L16" s="21" cm="1">
        <f t="array" aca="1" ref="L16" ca="1">_FV(RTData[[#This Row],[Company Name]],"Change")</f>
        <v>0.93</v>
      </c>
      <c r="M16" s="22" cm="1">
        <f t="array" aca="1" ref="M16" ca="1">_FV(RTData[[#This Row],[Company Name]],"Change (%)",TRUE)</f>
        <v>7.8869999999999999E-3</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6450526</v>
      </c>
      <c r="Q16" s="23" cm="1">
        <f t="array" aca="1" ref="Q16" ca="1">_FV(RTData[[#This Row],[Company Name]],"Volume average",TRUE)</f>
        <v>8122087</v>
      </c>
      <c r="R16" s="19" cm="1">
        <f t="array" aca="1" ref="R16" ca="1">_FV(RTData[[#This Row],[Company Name]],"Beta")</f>
        <v>1.5549999999999999</v>
      </c>
      <c r="T16" t="s">
        <v>20</v>
      </c>
      <c r="U16" t="str" cm="1">
        <f t="array" aca="1" ref="U16" ca="1">_FV(RTData[[#This Row],[Company Name]],"Exchange abbreviation",TRUE)</f>
        <v>XNYS</v>
      </c>
      <c r="V16" s="24">
        <f ca="1">IFERROR(RTData[[#This Row],[Volume]]/RTData[[#This Row],[Volume average]],1)</f>
        <v>0.79419562976855584</v>
      </c>
      <c r="W16" s="24"/>
      <c r="X16" s="103">
        <f>[1]Sheet2!$E15</f>
        <v>132.22594000000001</v>
      </c>
      <c r="Y16" s="149">
        <f>[1]Sheet2!$F15</f>
        <v>45832</v>
      </c>
      <c r="Z16" s="149" t="str">
        <f>[1]Sheet2!$G15</f>
        <v>Aug 6, 2025</v>
      </c>
      <c r="AA16" s="150">
        <f>[1]Sheet2!$H15</f>
        <v>8.5000000000000006E-3</v>
      </c>
      <c r="AB16" s="151">
        <v>1E-4</v>
      </c>
      <c r="AC16" s="152">
        <v>3.0000000000000001E-3</v>
      </c>
      <c r="AD16" s="103">
        <v>111.22</v>
      </c>
      <c r="AE16" s="153">
        <f>_xlfn.LET(_xlpm.New1YT,RTData[[#This Row],[1YT]],        _xlpm.Old1YT,IF(ISNUMBER(RTData[[#This Row],[Old1YT]]),RTData[[#This Row],[Old1YT]],VALUE(LEFT(RTData[[#This Row],[Old1YT]],FIND("/",RTData[[#This Row],[Old1YT]],1)-1))),       IF(OR(RTData[[#This Row],[1YT]]=0,_xlpm.Old1YT=0),0,(_xlpm.New1YT-_xlpm.Old1YT)/_xlpm.Old1YT))</f>
        <v>0.18886836899838166</v>
      </c>
      <c r="AF16" s="153"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45908.666666666664</v>
      </c>
      <c r="F17" s="29" cm="1">
        <f t="array" aca="1" ref="F17" ca="1">_FV(RTData[[#This Row],[Company Name]],"Previous close",TRUE)</f>
        <v>26.8</v>
      </c>
      <c r="G17" s="29" cm="1">
        <f t="array" aca="1" ref="G17" ca="1">_FV(RTData[[#This Row],[Company Name]],"Open")</f>
        <v>26.89</v>
      </c>
      <c r="H17" s="29" cm="1">
        <f t="array" aca="1" ref="H17" ca="1">_FV(RTData[[#This Row],[Company Name]],"Price")</f>
        <v>27.38</v>
      </c>
      <c r="I17" s="29" cm="1">
        <f t="array" aca="1" ref="I17" ca="1">_FV(RTData[[#This Row],[Company Name]],"Low")</f>
        <v>26.76</v>
      </c>
      <c r="J17" s="29" cm="1">
        <f t="array" aca="1" ref="J17" ca="1">_FV(RTData[[#This Row],[Company Name]],"High")</f>
        <v>27.39</v>
      </c>
      <c r="K17" s="20" cm="1">
        <f t="array" aca="1" ref="K17" ca="1">IFERROR(_FV(RTData[[#This Row],[Company Name]],"P/E",TRUE),99)</f>
        <v>30.794</v>
      </c>
      <c r="L17" s="21" cm="1">
        <f t="array" aca="1" ref="L17" ca="1">_FV(RTData[[#This Row],[Company Name]],"Change")</f>
        <v>0.57999999999999996</v>
      </c>
      <c r="M17" s="22" cm="1">
        <f t="array" aca="1" ref="M17" ca="1">_FV(RTData[[#This Row],[Company Name]],"Change (%)",TRUE)</f>
        <v>2.1642000000000002E-2</v>
      </c>
      <c r="N17" s="29" cm="1">
        <f t="array" aca="1" ref="N17" ca="1">_FV(RTData[[#This Row],[Company Name]],"52 week low",TRUE)</f>
        <v>26.25</v>
      </c>
      <c r="O17" s="29" cm="1">
        <f t="array" aca="1" ref="O17" ca="1">_FV(RTData[[#This Row],[Company Name]],"52 week high",TRUE)</f>
        <v>41.17</v>
      </c>
      <c r="P17" s="23" cm="1">
        <f t="array" aca="1" ref="P17" ca="1">_FV(RTData[[#This Row],[Company Name]],"Volume")</f>
        <v>1160764</v>
      </c>
      <c r="Q17" s="23" cm="1">
        <f t="array" aca="1" ref="Q17" ca="1">_FV(RTData[[#This Row],[Company Name]],"Volume average",TRUE)</f>
        <v>1799050</v>
      </c>
      <c r="R17" s="29" cm="1">
        <f t="array" aca="1" ref="R17" ca="1">_FV(RTData[[#This Row],[Company Name]],"Beta")</f>
        <v>0.68440000000000001</v>
      </c>
      <c r="T17" t="s">
        <v>20</v>
      </c>
      <c r="U17" t="str" cm="1">
        <f t="array" aca="1" ref="U17" ca="1">_FV(RTData[[#This Row],[Company Name]],"Exchange abbreviation",TRUE)</f>
        <v>XPAR</v>
      </c>
      <c r="V17" s="24">
        <f ca="1">IFERROR(RTData[[#This Row],[Volume]]/RTData[[#This Row],[Volume average]],1)</f>
        <v>0.64520941608070925</v>
      </c>
      <c r="W17" s="24"/>
      <c r="X17" s="103">
        <v>35.56</v>
      </c>
      <c r="Y17" s="149">
        <f>[1]Sheet2!$F16</f>
        <v>45803</v>
      </c>
      <c r="Z17" s="149">
        <f>[1]Sheet2!$G16</f>
        <v>0</v>
      </c>
      <c r="AA17" s="150">
        <f>[1]Sheet2!$H16</f>
        <v>9.7000000000000003E-3</v>
      </c>
      <c r="AB17" s="151"/>
      <c r="AC17" s="152">
        <v>3.0000000000000001E-3</v>
      </c>
      <c r="AD17" s="103" t="s">
        <v>104</v>
      </c>
      <c r="AE17" s="153">
        <f>_xlfn.LET(_xlpm.New1YT,RTData[[#This Row],[1YT]],        _xlpm.Old1YT,IF(ISNUMBER(RTData[[#This Row],[Old1YT]]),RTData[[#This Row],[Old1YT]],VALUE(LEFT(RTData[[#This Row],[Old1YT]],FIND("/",RTData[[#This Row],[Old1YT]],1)-1))),       IF(OR(RTData[[#This Row],[1YT]]=0,_xlpm.Old1YT=0),0,(_xlpm.New1YT-_xlpm.Old1YT)/_xlpm.Old1YT))</f>
        <v>-6.3471161443244578E-2</v>
      </c>
      <c r="AF17" s="153" t="str">
        <f>TEXT(RTData[[#This Row],[1YT]],"#,#0.00")&amp;" &lt; "&amp;RTData[[#This Row],[Old1YT]]</f>
        <v>35.56 &lt; 37.97/38.13/38.23</v>
      </c>
    </row>
    <row r="18" spans="1:32" x14ac:dyDescent="0.3">
      <c r="A18" s="15" t="str" cm="1">
        <f t="array" aca="1" ref="A18" ca="1">_xlfn.SINGLE(RTData[suffix])&amp;_FV(RTData[[#This Row],[Company Name]],"Ticker symbol",TRUE)</f>
        <v>DVA</v>
      </c>
      <c r="B18" s="15">
        <f ca="1">D98</f>
        <v>0.84990651028386865</v>
      </c>
      <c r="C18" s="25" t="e" vm="16">
        <v>#VALUE!</v>
      </c>
      <c r="D18" s="17" t="str" cm="1">
        <f t="array" aca="1" ref="D18" ca="1">_FV(RTData[[#This Row],[Company Name]],"Currency")</f>
        <v>USD</v>
      </c>
      <c r="E18" s="18" cm="1">
        <f t="array" aca="1" ref="E18" ca="1">_FV(RTData[[#This Row],[Company Name]],"Last trade time",TRUE)</f>
        <v>45908.958333344533</v>
      </c>
      <c r="F18" s="19" cm="1">
        <f t="array" aca="1" ref="F18" ca="1">_FV(RTData[[#This Row],[Company Name]],"Previous close",TRUE)</f>
        <v>137.87</v>
      </c>
      <c r="G18" s="19" cm="1">
        <f t="array" aca="1" ref="G18" ca="1">_FV(RTData[[#This Row],[Company Name]],"Open")</f>
        <v>136.99</v>
      </c>
      <c r="H18" s="19" cm="1">
        <f t="array" aca="1" ref="H18" ca="1">_FV(RTData[[#This Row],[Company Name]],"Price")</f>
        <v>134.51</v>
      </c>
      <c r="I18" s="19" cm="1">
        <f t="array" aca="1" ref="I18" ca="1">_FV(RTData[[#This Row],[Company Name]],"Low")</f>
        <v>133.57</v>
      </c>
      <c r="J18" s="19" cm="1">
        <f t="array" aca="1" ref="J18" ca="1">_FV(RTData[[#This Row],[Company Name]],"High")</f>
        <v>136.99</v>
      </c>
      <c r="K18" s="20" cm="1">
        <f t="array" aca="1" ref="K18" ca="1">IFERROR(_FV(RTData[[#This Row],[Company Name]],"P/E",TRUE),99)</f>
        <v>13.216900000000001</v>
      </c>
      <c r="L18" s="21" cm="1">
        <f t="array" aca="1" ref="L18" ca="1">_FV(RTData[[#This Row],[Company Name]],"Change")</f>
        <v>-3.36</v>
      </c>
      <c r="M18" s="22" cm="1">
        <f t="array" aca="1" ref="M18" ca="1">_FV(RTData[[#This Row],[Company Name]],"Change (%)",TRUE)</f>
        <v>-2.4371E-2</v>
      </c>
      <c r="N18" s="19" cm="1">
        <f t="array" aca="1" ref="N18" ca="1">_FV(RTData[[#This Row],[Company Name]],"52 week low",TRUE)</f>
        <v>126.07</v>
      </c>
      <c r="O18" s="19" cm="1">
        <f t="array" aca="1" ref="O18" ca="1">_FV(RTData[[#This Row],[Company Name]],"52 week high",TRUE)</f>
        <v>179.6</v>
      </c>
      <c r="P18" s="23" cm="1">
        <f t="array" aca="1" ref="P18" ca="1">_FV(RTData[[#This Row],[Company Name]],"Volume")</f>
        <v>882297</v>
      </c>
      <c r="Q18" s="23" cm="1">
        <f t="array" aca="1" ref="Q18" ca="1">_FV(RTData[[#This Row],[Company Name]],"Volume average",TRUE)</f>
        <v>867674</v>
      </c>
      <c r="R18" s="19" cm="1">
        <f t="array" aca="1" ref="R18" ca="1">_FV(RTData[[#This Row],[Company Name]],"Beta")</f>
        <v>1.1385000000000001</v>
      </c>
      <c r="T18" t="s">
        <v>20</v>
      </c>
      <c r="U18" t="str" cm="1">
        <f t="array" aca="1" ref="U18" ca="1">_FV(RTData[[#This Row],[Company Name]],"Exchange abbreviation",TRUE)</f>
        <v>XNYS</v>
      </c>
      <c r="V18" s="24">
        <f ca="1">IFERROR(RTData[[#This Row],[Volume]]/RTData[[#This Row],[Volume average]],1)</f>
        <v>1.0168531038154882</v>
      </c>
      <c r="W18" s="24"/>
      <c r="X18" s="103">
        <f>[1]Sheet2!$E17</f>
        <v>153.5</v>
      </c>
      <c r="Y18" s="149">
        <f>[1]Sheet2!$F17</f>
        <v>0</v>
      </c>
      <c r="Z18" s="149" t="str">
        <f>[1]Sheet2!$G17</f>
        <v>Oct 28, 2025</v>
      </c>
      <c r="AA18" s="150">
        <f>[1]Sheet2!$H17</f>
        <v>0</v>
      </c>
      <c r="AB18" s="151">
        <v>1E-4</v>
      </c>
      <c r="AC18" s="152">
        <v>3.0000000000000001E-3</v>
      </c>
      <c r="AD18" s="103">
        <v>157.9</v>
      </c>
      <c r="AE18" s="153">
        <f>_xlfn.LET(_xlpm.New1YT,RTData[[#This Row],[1YT]],        _xlpm.Old1YT,IF(ISNUMBER(RTData[[#This Row],[Old1YT]]),RTData[[#This Row],[Old1YT]],VALUE(LEFT(RTData[[#This Row],[Old1YT]],FIND("/",RTData[[#This Row],[Old1YT]],1)-1))),       IF(OR(RTData[[#This Row],[1YT]]=0,_xlpm.Old1YT=0),0,(_xlpm.New1YT-_xlpm.Old1YT)/_xlpm.Old1YT))</f>
        <v>-2.7865737808739743E-2</v>
      </c>
      <c r="AF18" s="153" t="str">
        <f>TEXT(RTData[[#This Row],[1YT]],"#,#0.00")&amp;" &lt; "&amp;RTData[[#This Row],[Old1YT]]</f>
        <v>153.50 &lt; 157.9</v>
      </c>
    </row>
    <row r="19" spans="1:32" x14ac:dyDescent="0.3">
      <c r="A19" s="15" t="str" cm="1">
        <f t="array" aca="1" ref="A19" ca="1">_xlfn.SINGLE(RTData[suffix])&amp;_FV(RTData[[#This Row],[Company Name]],"Ticker symbol",TRUE)</f>
        <v>DXC</v>
      </c>
      <c r="B19" s="15">
        <f ca="1">D98</f>
        <v>0.84990651028386865</v>
      </c>
      <c r="C19" s="25" t="e" vm="17">
        <v>#VALUE!</v>
      </c>
      <c r="D19" s="17" t="str" cm="1">
        <f t="array" aca="1" ref="D19" ca="1">_FV(RTData[[#This Row],[Company Name]],"Currency")</f>
        <v>USD</v>
      </c>
      <c r="E19" s="18" cm="1">
        <f t="array" aca="1" ref="E19" ca="1">_FV(RTData[[#This Row],[Company Name]],"Last trade time",TRUE)</f>
        <v>45908.958333356248</v>
      </c>
      <c r="F19" s="19" cm="1">
        <f t="array" aca="1" ref="F19" ca="1">_FV(RTData[[#This Row],[Company Name]],"Previous close",TRUE)</f>
        <v>14.79</v>
      </c>
      <c r="G19" s="19" cm="1">
        <f t="array" aca="1" ref="G19" ca="1">_FV(RTData[[#This Row],[Company Name]],"Open")</f>
        <v>14.74</v>
      </c>
      <c r="H19" s="19" cm="1">
        <f t="array" aca="1" ref="H19" ca="1">_FV(RTData[[#This Row],[Company Name]],"Price")</f>
        <v>14.65</v>
      </c>
      <c r="I19" s="19" cm="1">
        <f t="array" aca="1" ref="I19" ca="1">_FV(RTData[[#This Row],[Company Name]],"Low")</f>
        <v>14.36</v>
      </c>
      <c r="J19" s="19" cm="1">
        <f t="array" aca="1" ref="J19" ca="1">_FV(RTData[[#This Row],[Company Name]],"High")</f>
        <v>14.74</v>
      </c>
      <c r="K19" s="20" cm="1">
        <f t="array" aca="1" ref="K19" ca="1">IFERROR(_FV(RTData[[#This Row],[Company Name]],"P/E",TRUE),99)</f>
        <v>7.1532999999999998</v>
      </c>
      <c r="L19" s="21" cm="1">
        <f t="array" aca="1" ref="L19" ca="1">_FV(RTData[[#This Row],[Company Name]],"Change")</f>
        <v>-0.14000000000000001</v>
      </c>
      <c r="M19" s="22" cm="1">
        <f t="array" aca="1" ref="M19" ca="1">_FV(RTData[[#This Row],[Company Name]],"Change (%)",TRUE)</f>
        <v>-9.4660000000000005E-3</v>
      </c>
      <c r="N19" s="19" cm="1">
        <f t="array" aca="1" ref="N19" ca="1">_FV(RTData[[#This Row],[Company Name]],"52 week low",TRUE)</f>
        <v>12.24</v>
      </c>
      <c r="O19" s="19" cm="1">
        <f t="array" aca="1" ref="O19" ca="1">_FV(RTData[[#This Row],[Company Name]],"52 week high",TRUE)</f>
        <v>24.83</v>
      </c>
      <c r="P19" s="23" cm="1">
        <f t="array" aca="1" ref="P19" ca="1">_FV(RTData[[#This Row],[Company Name]],"Volume")</f>
        <v>1892083</v>
      </c>
      <c r="Q19" s="23" cm="1">
        <f t="array" aca="1" ref="Q19" ca="1">_FV(RTData[[#This Row],[Company Name]],"Volume average",TRUE)</f>
        <v>1777294</v>
      </c>
      <c r="R19" s="19" cm="1">
        <f t="array" aca="1" ref="R19" ca="1">_FV(RTData[[#This Row],[Company Name]],"Beta")</f>
        <v>1.1398999999999999</v>
      </c>
      <c r="T19" t="s">
        <v>20</v>
      </c>
      <c r="U19" t="str" cm="1">
        <f t="array" aca="1" ref="U19" ca="1">_FV(RTData[[#This Row],[Company Name]],"Exchange abbreviation",TRUE)</f>
        <v>XNYS</v>
      </c>
      <c r="V19" s="24">
        <f ca="1">IFERROR(RTData[[#This Row],[Volume]]/RTData[[#This Row],[Volume average]],1)</f>
        <v>1.0645863880708537</v>
      </c>
      <c r="W19" s="24"/>
      <c r="X19" s="103">
        <f>[1]Sheet2!$E18</f>
        <v>15.125</v>
      </c>
      <c r="Y19" s="149">
        <f>[1]Sheet2!$F18</f>
        <v>43914</v>
      </c>
      <c r="Z19" s="149" t="str">
        <f>[1]Sheet2!$G18</f>
        <v>Jul 31, 2025</v>
      </c>
      <c r="AA19" s="150">
        <f>[1]Sheet2!$H18</f>
        <v>0</v>
      </c>
      <c r="AB19" s="151">
        <v>1E-4</v>
      </c>
      <c r="AC19" s="152">
        <v>3.0000000000000001E-3</v>
      </c>
      <c r="AD19" s="103">
        <v>19.77</v>
      </c>
      <c r="AE19" s="153">
        <f>_xlfn.LET(_xlpm.New1YT,RTData[[#This Row],[1YT]],        _xlpm.Old1YT,IF(ISNUMBER(RTData[[#This Row],[Old1YT]]),RTData[[#This Row],[Old1YT]],VALUE(LEFT(RTData[[#This Row],[Old1YT]],FIND("/",RTData[[#This Row],[Old1YT]],1)-1))),       IF(OR(RTData[[#This Row],[1YT]]=0,_xlpm.Old1YT=0),0,(_xlpm.New1YT-_xlpm.Old1YT)/_xlpm.Old1YT))</f>
        <v>-0.23495194739504296</v>
      </c>
      <c r="AF19" s="153"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45908.907187500001</v>
      </c>
      <c r="F20" s="29" cm="1">
        <f t="array" aca="1" ref="F20" ca="1">_FV(RTData[[#This Row],[Company Name]],"Previous close",TRUE)</f>
        <v>15.175000000000001</v>
      </c>
      <c r="G20" s="29" cm="1">
        <f t="array" aca="1" ref="G20" ca="1">_FV(RTData[[#This Row],[Company Name]],"Open")</f>
        <v>15.244999999999999</v>
      </c>
      <c r="H20" s="29" cm="1">
        <f t="array" aca="1" ref="H20" ca="1">_FV(RTData[[#This Row],[Company Name]],"Price")</f>
        <v>15.345000000000001</v>
      </c>
      <c r="I20" s="29" cm="1">
        <f t="array" aca="1" ref="I20" ca="1">_FV(RTData[[#This Row],[Company Name]],"Low")</f>
        <v>15.205</v>
      </c>
      <c r="J20" s="29" cm="1">
        <f t="array" aca="1" ref="J20" ca="1">_FV(RTData[[#This Row],[Company Name]],"High")</f>
        <v>15.4</v>
      </c>
      <c r="K20" s="20" cm="1">
        <f t="array" aca="1" ref="K20" ca="1">IFERROR(_FV(RTData[[#This Row],[Company Name]],"P/E",TRUE),99)</f>
        <v>12.567299999999999</v>
      </c>
      <c r="L20" s="21" cm="1">
        <f t="array" aca="1" ref="L20" ca="1">_FV(RTData[[#This Row],[Company Name]],"Change")</f>
        <v>0.17</v>
      </c>
      <c r="M20" s="22" cm="1">
        <f t="array" aca="1" ref="M20" ca="1">_FV(RTData[[#This Row],[Company Name]],"Change (%)",TRUE)</f>
        <v>1.1203000000000001E-2</v>
      </c>
      <c r="N20" s="29" cm="1">
        <f t="array" aca="1" ref="N20" ca="1">_FV(RTData[[#This Row],[Company Name]],"52 week low",TRUE)</f>
        <v>10.435</v>
      </c>
      <c r="O20" s="29" cm="1">
        <f t="array" aca="1" ref="O20" ca="1">_FV(RTData[[#This Row],[Company Name]],"52 week high",TRUE)</f>
        <v>16.55</v>
      </c>
      <c r="P20" s="23" cm="1">
        <f t="array" aca="1" ref="P20" ca="1">_FV(RTData[[#This Row],[Company Name]],"Volume")</f>
        <v>4999432</v>
      </c>
      <c r="Q20" s="23" cm="1">
        <f t="array" aca="1" ref="Q20" ca="1">_FV(RTData[[#This Row],[Company Name]],"Volume average",TRUE)</f>
        <v>4158470</v>
      </c>
      <c r="R20" s="29" cm="1">
        <f t="array" aca="1" ref="R20" ca="1">_FV(RTData[[#This Row],[Company Name]],"Beta")</f>
        <v>0.71319999999999995</v>
      </c>
      <c r="T20" t="s">
        <v>20</v>
      </c>
      <c r="U20" t="str" cm="1">
        <f t="array" aca="1" ref="U20" ca="1">_FV(RTData[[#This Row],[Company Name]],"Exchange abbreviation",TRUE)</f>
        <v>XETR</v>
      </c>
      <c r="V20" s="24">
        <f ca="1">IFERROR(RTData[[#This Row],[Volume]]/RTData[[#This Row],[Volume average]],1)</f>
        <v>1.2022287043071129</v>
      </c>
      <c r="W20" s="24"/>
      <c r="X20" s="103">
        <v>16.89</v>
      </c>
      <c r="Y20" s="149">
        <f>[1]Sheet2!$F19</f>
        <v>45793</v>
      </c>
      <c r="Z20" s="149">
        <f>[1]Sheet2!$G19</f>
        <v>0</v>
      </c>
      <c r="AA20" s="150">
        <f>[1]Sheet2!$H19</f>
        <v>3.6199997999999997E-2</v>
      </c>
      <c r="AB20" s="151"/>
      <c r="AC20" s="152">
        <v>3.0000000000000001E-3</v>
      </c>
      <c r="AD20" s="103" t="s">
        <v>105</v>
      </c>
      <c r="AE20" s="153">
        <f>_xlfn.LET(_xlpm.New1YT,RTData[[#This Row],[1YT]],        _xlpm.Old1YT,IF(ISNUMBER(RTData[[#This Row],[Old1YT]]),RTData[[#This Row],[Old1YT]],VALUE(LEFT(RTData[[#This Row],[Old1YT]],FIND("/",RTData[[#This Row],[Old1YT]],1)-1))),       IF(OR(RTData[[#This Row],[1YT]]=0,_xlpm.Old1YT=0),0,(_xlpm.New1YT-_xlpm.Old1YT)/_xlpm.Old1YT))</f>
        <v>1.0771992818671437E-2</v>
      </c>
      <c r="AF20" s="153" t="str">
        <f>TEXT(RTData[[#This Row],[1YT]],"#,#0.00")&amp;" &lt; "&amp;RTData[[#This Row],[Old1YT]]</f>
        <v>16.89 &lt; 16.71/16.47/14.8</v>
      </c>
    </row>
    <row r="21" spans="1:32" x14ac:dyDescent="0.3">
      <c r="A21" s="15" t="str" cm="1">
        <f t="array" aca="1" ref="A21" ca="1">_xlfn.SINGLE(RTData[suffix])&amp;_FV(RTData[[#This Row],[Company Name]],"Ticker symbol",TRUE)</f>
        <v>EPIX</v>
      </c>
      <c r="B21" s="15">
        <f ca="1">D98</f>
        <v>0.84990651028386865</v>
      </c>
      <c r="C21" s="25" t="e" vm="19">
        <v>#VALUE!</v>
      </c>
      <c r="D21" s="17" t="str" cm="1">
        <f t="array" aca="1" ref="D21" ca="1">_FV(RTData[[#This Row],[Company Name]],"Currency")</f>
        <v>USD</v>
      </c>
      <c r="E21" s="18" cm="1">
        <f t="array" aca="1" ref="E21" ca="1">_FV(RTData[[#This Row],[Company Name]],"Last trade time",TRUE)</f>
        <v>45908.968290763281</v>
      </c>
      <c r="F21" s="19" cm="1">
        <f t="array" aca="1" ref="F21" ca="1">_FV(RTData[[#This Row],[Company Name]],"Previous close",TRUE)</f>
        <v>0.2329</v>
      </c>
      <c r="G21" s="19" cm="1">
        <f t="array" aca="1" ref="G21" ca="1">_FV(RTData[[#This Row],[Company Name]],"Open")</f>
        <v>0.2329</v>
      </c>
      <c r="H21" s="19" cm="1">
        <f t="array" aca="1" ref="H21" ca="1">_FV(RTData[[#This Row],[Company Name]],"Price")</f>
        <v>0.2369</v>
      </c>
      <c r="I21" s="19" cm="1">
        <f t="array" aca="1" ref="I21" ca="1">_FV(RTData[[#This Row],[Company Name]],"Low")</f>
        <v>0.23139999999999999</v>
      </c>
      <c r="J21" s="19" cm="1">
        <f t="array" aca="1" ref="J21" ca="1">_FV(RTData[[#This Row],[Company Name]],"High")</f>
        <v>0.2399</v>
      </c>
      <c r="K21" s="20" cm="1">
        <f t="array" aca="1" ref="K21" ca="1">IFERROR(_FV(RTData[[#This Row],[Company Name]],"P/E",TRUE),99)</f>
        <v>0</v>
      </c>
      <c r="L21" s="21" cm="1">
        <f t="array" aca="1" ref="L21" ca="1">_FV(RTData[[#This Row],[Company Name]],"Change")</f>
        <v>4.0000000000000001E-3</v>
      </c>
      <c r="M21" s="22" cm="1">
        <f t="array" aca="1" ref="M21" ca="1">_FV(RTData[[#This Row],[Company Name]],"Change (%)",TRUE)</f>
        <v>1.7174999999999999E-2</v>
      </c>
      <c r="N21" s="19" cm="1">
        <f t="array" aca="1" ref="N21" ca="1">_FV(RTData[[#This Row],[Company Name]],"52 week low",TRUE)</f>
        <v>0.17330000000000001</v>
      </c>
      <c r="O21" s="19" cm="1">
        <f t="array" aca="1" ref="O21" ca="1">_FV(RTData[[#This Row],[Company Name]],"52 week high",TRUE)</f>
        <v>0.97570000000000001</v>
      </c>
      <c r="P21" s="23" cm="1">
        <f t="array" aca="1" ref="P21" ca="1">_FV(RTData[[#This Row],[Company Name]],"Volume")</f>
        <v>2408030</v>
      </c>
      <c r="Q21" s="23" cm="1">
        <f t="array" aca="1" ref="Q21" ca="1">_FV(RTData[[#This Row],[Company Name]],"Volume average",TRUE)</f>
        <v>13911904</v>
      </c>
      <c r="R21" s="19" cm="1">
        <f t="array" aca="1" ref="R21" ca="1">_FV(RTData[[#This Row],[Company Name]],"Beta")</f>
        <v>1.6245000000000001</v>
      </c>
      <c r="T21" t="s">
        <v>20</v>
      </c>
      <c r="U21" t="str" cm="1">
        <f t="array" aca="1" ref="U21" ca="1">_FV(RTData[[#This Row],[Company Name]],"Exchange abbreviation",TRUE)</f>
        <v>XNAS</v>
      </c>
      <c r="V21" s="24">
        <f ca="1">IFERROR(RTData[[#This Row],[Volume]]/RTData[[#This Row],[Volume average]],1)</f>
        <v>0.17309133243012603</v>
      </c>
      <c r="W21" s="24"/>
      <c r="X21" s="103">
        <f>[1]Sheet2!$E20</f>
        <v>0</v>
      </c>
      <c r="Y21" s="149">
        <f>[1]Sheet2!$F20</f>
        <v>45894</v>
      </c>
      <c r="Z21" s="149" t="str">
        <f>[1]Sheet2!$G20</f>
        <v>Aug 7, 2025</v>
      </c>
      <c r="AA21" s="150">
        <f>[1]Sheet2!$H20</f>
        <v>0</v>
      </c>
      <c r="AB21" s="151">
        <v>1E-4</v>
      </c>
      <c r="AC21" s="152">
        <v>3.0000000000000001E-3</v>
      </c>
      <c r="AD21" s="103">
        <v>9.32</v>
      </c>
      <c r="AE21" s="153">
        <f>_xlfn.LET(_xlpm.New1YT,RTData[[#This Row],[1YT]],        _xlpm.Old1YT,IF(ISNUMBER(RTData[[#This Row],[Old1YT]]),RTData[[#This Row],[Old1YT]],VALUE(LEFT(RTData[[#This Row],[Old1YT]],FIND("/",RTData[[#This Row],[Old1YT]],1)-1))),       IF(OR(RTData[[#This Row],[1YT]]=0,_xlpm.Old1YT=0),0,(_xlpm.New1YT-_xlpm.Old1YT)/_xlpm.Old1YT))</f>
        <v>0</v>
      </c>
      <c r="AF21" s="153" t="str">
        <f>TEXT(RTData[[#This Row],[1YT]],"#,#0.00")&amp;" &lt; "&amp;RTData[[#This Row],[Old1YT]]</f>
        <v>0.00 &lt; 9.32</v>
      </c>
    </row>
    <row r="22" spans="1:32" x14ac:dyDescent="0.3">
      <c r="A22" s="15" t="str" cm="1">
        <f t="array" aca="1" ref="A22" ca="1">_xlfn.SINGLE(RTData[suffix])&amp;_FV(RTData[[#This Row],[Company Name]],"Ticker symbol",TRUE)</f>
        <v>GM</v>
      </c>
      <c r="B22" s="15">
        <f ca="1">D98</f>
        <v>0.84990651028386865</v>
      </c>
      <c r="C22" s="25" t="e" vm="20">
        <v>#VALUE!</v>
      </c>
      <c r="D22" s="17" t="str" cm="1">
        <f t="array" aca="1" ref="D22" ca="1">_FV(RTData[[#This Row],[Company Name]],"Currency")</f>
        <v>USD</v>
      </c>
      <c r="E22" s="18" cm="1">
        <f t="array" aca="1" ref="E22" ca="1">_FV(RTData[[#This Row],[Company Name]],"Last trade time",TRUE)</f>
        <v>45908.966986041407</v>
      </c>
      <c r="F22" s="19" cm="1">
        <f t="array" aca="1" ref="F22" ca="1">_FV(RTData[[#This Row],[Company Name]],"Previous close",TRUE)</f>
        <v>58.27</v>
      </c>
      <c r="G22" s="19" cm="1">
        <f t="array" aca="1" ref="G22" ca="1">_FV(RTData[[#This Row],[Company Name]],"Open")</f>
        <v>58.13</v>
      </c>
      <c r="H22" s="19" cm="1">
        <f t="array" aca="1" ref="H22" ca="1">_FV(RTData[[#This Row],[Company Name]],"Price")</f>
        <v>58.24</v>
      </c>
      <c r="I22" s="19" cm="1">
        <f t="array" aca="1" ref="I22" ca="1">_FV(RTData[[#This Row],[Company Name]],"Low")</f>
        <v>57.4</v>
      </c>
      <c r="J22" s="19" cm="1">
        <f t="array" aca="1" ref="J22" ca="1">_FV(RTData[[#This Row],[Company Name]],"High")</f>
        <v>58.255000000000003</v>
      </c>
      <c r="K22" s="20" cm="1">
        <f t="array" aca="1" ref="K22" ca="1">IFERROR(_FV(RTData[[#This Row],[Company Name]],"P/E",TRUE),99)</f>
        <v>8.3948</v>
      </c>
      <c r="L22" s="21" cm="1">
        <f t="array" aca="1" ref="L22" ca="1">_FV(RTData[[#This Row],[Company Name]],"Change")</f>
        <v>-0.03</v>
      </c>
      <c r="M22" s="22" cm="1">
        <f t="array" aca="1" ref="M22" ca="1">_FV(RTData[[#This Row],[Company Name]],"Change (%)",TRUE)</f>
        <v>-5.1479999999999994E-4</v>
      </c>
      <c r="N22" s="19" cm="1">
        <f t="array" aca="1" ref="N22" ca="1">_FV(RTData[[#This Row],[Company Name]],"52 week low",TRUE)</f>
        <v>41.6</v>
      </c>
      <c r="O22" s="19" cm="1">
        <f t="array" aca="1" ref="O22" ca="1">_FV(RTData[[#This Row],[Company Name]],"52 week high",TRUE)</f>
        <v>61.24</v>
      </c>
      <c r="P22" s="23" cm="1">
        <f t="array" aca="1" ref="P22" ca="1">_FV(RTData[[#This Row],[Company Name]],"Volume")</f>
        <v>6399467</v>
      </c>
      <c r="Q22" s="23" cm="1">
        <f t="array" aca="1" ref="Q22" ca="1">_FV(RTData[[#This Row],[Company Name]],"Volume average",TRUE)</f>
        <v>6616708</v>
      </c>
      <c r="R22" s="19" cm="1">
        <f t="array" aca="1" ref="R22" ca="1">_FV(RTData[[#This Row],[Company Name]],"Beta")</f>
        <v>1.3385</v>
      </c>
      <c r="T22" t="s">
        <v>20</v>
      </c>
      <c r="U22" t="str" cm="1">
        <f t="array" aca="1" ref="U22" ca="1">_FV(RTData[[#This Row],[Company Name]],"Exchange abbreviation",TRUE)</f>
        <v>XNYS</v>
      </c>
      <c r="V22" s="24">
        <f ca="1">IFERROR(RTData[[#This Row],[Volume]]/RTData[[#This Row],[Volume average]],1)</f>
        <v>0.96716781215069492</v>
      </c>
      <c r="W22" s="24"/>
      <c r="X22" s="103">
        <f>[1]Sheet2!$E21</f>
        <v>57.2</v>
      </c>
      <c r="Y22" s="149">
        <f>[1]Sheet2!$F21</f>
        <v>45905</v>
      </c>
      <c r="Z22" s="149" t="str">
        <f>[1]Sheet2!$G21</f>
        <v>Oct 21, 2025</v>
      </c>
      <c r="AA22" s="150">
        <f>[1]Sheet2!$H21</f>
        <v>1.0299999000000001E-2</v>
      </c>
      <c r="AB22" s="151">
        <v>1E-4</v>
      </c>
      <c r="AC22" s="152">
        <v>3.0000000000000001E-3</v>
      </c>
      <c r="AD22" s="103">
        <v>56.25</v>
      </c>
      <c r="AE22" s="153">
        <f>_xlfn.LET(_xlpm.New1YT,RTData[[#This Row],[1YT]],        _xlpm.Old1YT,IF(ISNUMBER(RTData[[#This Row],[Old1YT]]),RTData[[#This Row],[Old1YT]],VALUE(LEFT(RTData[[#This Row],[Old1YT]],FIND("/",RTData[[#This Row],[Old1YT]],1)-1))),       IF(OR(RTData[[#This Row],[1YT]]=0,_xlpm.Old1YT=0),0,(_xlpm.New1YT-_xlpm.Old1YT)/_xlpm.Old1YT))</f>
        <v>1.6888888888888939E-2</v>
      </c>
      <c r="AF22" s="153" t="str">
        <f>TEXT(RTData[[#This Row],[1YT]],"#,#0.00")&amp;" &lt; "&amp;RTData[[#This Row],[Old1YT]]</f>
        <v>57.20 &lt; 56.25</v>
      </c>
    </row>
    <row r="23" spans="1:32" x14ac:dyDescent="0.3">
      <c r="A23" s="15" t="str" cm="1">
        <f t="array" aca="1" ref="A23" ca="1">_xlfn.SINGLE(RTData[suffix])&amp;_FV(RTData[[#This Row],[Company Name]],"Ticker symbol",TRUE)</f>
        <v>HPE</v>
      </c>
      <c r="B23" s="15">
        <f ca="1">D98</f>
        <v>0.84990651028386865</v>
      </c>
      <c r="C23" s="25" t="e" vm="21">
        <v>#VALUE!</v>
      </c>
      <c r="D23" s="17" t="str" cm="1">
        <f t="array" aca="1" ref="D23" ca="1">_FV(RTData[[#This Row],[Company Name]],"Currency")</f>
        <v>USD</v>
      </c>
      <c r="E23" s="18" cm="1">
        <f t="array" aca="1" ref="E23" ca="1">_FV(RTData[[#This Row],[Company Name]],"Last trade time",TRUE)</f>
        <v>45908.960027892972</v>
      </c>
      <c r="F23" s="19" cm="1">
        <f t="array" aca="1" ref="F23" ca="1">_FV(RTData[[#This Row],[Company Name]],"Previous close",TRUE)</f>
        <v>23.52</v>
      </c>
      <c r="G23" s="19" cm="1">
        <f t="array" aca="1" ref="G23" ca="1">_FV(RTData[[#This Row],[Company Name]],"Open")</f>
        <v>23.6</v>
      </c>
      <c r="H23" s="19" cm="1">
        <f t="array" aca="1" ref="H23" ca="1">_FV(RTData[[#This Row],[Company Name]],"Price")</f>
        <v>23.5</v>
      </c>
      <c r="I23" s="19" cm="1">
        <f t="array" aca="1" ref="I23" ca="1">_FV(RTData[[#This Row],[Company Name]],"Low")</f>
        <v>23.05</v>
      </c>
      <c r="J23" s="19" cm="1">
        <f t="array" aca="1" ref="J23" ca="1">_FV(RTData[[#This Row],[Company Name]],"High")</f>
        <v>23.774999999999999</v>
      </c>
      <c r="K23" s="20" cm="1">
        <f t="array" aca="1" ref="K23" ca="1">IFERROR(_FV(RTData[[#This Row],[Company Name]],"P/E",TRUE),99)</f>
        <v>28.1876</v>
      </c>
      <c r="L23" s="21" cm="1">
        <f t="array" aca="1" ref="L23" ca="1">_FV(RTData[[#This Row],[Company Name]],"Change")</f>
        <v>-0.02</v>
      </c>
      <c r="M23" s="22" cm="1">
        <f t="array" aca="1" ref="M23" ca="1">_FV(RTData[[#This Row],[Company Name]],"Change (%)",TRUE)</f>
        <v>-8.5029999999999991E-4</v>
      </c>
      <c r="N23" s="19" cm="1">
        <f t="array" aca="1" ref="N23" ca="1">_FV(RTData[[#This Row],[Company Name]],"52 week low",TRUE)</f>
        <v>11.965</v>
      </c>
      <c r="O23" s="19" cm="1">
        <f t="array" aca="1" ref="O23" ca="1">_FV(RTData[[#This Row],[Company Name]],"52 week high",TRUE)</f>
        <v>24.66</v>
      </c>
      <c r="P23" s="23" cm="1">
        <f t="array" aca="1" ref="P23" ca="1">_FV(RTData[[#This Row],[Company Name]],"Volume")</f>
        <v>19155744</v>
      </c>
      <c r="Q23" s="23" cm="1">
        <f t="array" aca="1" ref="Q23" ca="1">_FV(RTData[[#This Row],[Company Name]],"Volume average",TRUE)</f>
        <v>19797168</v>
      </c>
      <c r="R23" s="19" cm="1">
        <f t="array" aca="1" ref="R23" ca="1">_FV(RTData[[#This Row],[Company Name]],"Beta")</f>
        <v>1.4483999999999999</v>
      </c>
      <c r="T23" t="s">
        <v>20</v>
      </c>
      <c r="U23" t="str" cm="1">
        <f t="array" aca="1" ref="U23" ca="1">_FV(RTData[[#This Row],[Company Name]],"Exchange abbreviation",TRUE)</f>
        <v>XNYS</v>
      </c>
      <c r="V23" s="24">
        <f ca="1">IFERROR(RTData[[#This Row],[Volume]]/RTData[[#This Row],[Volume average]],1)</f>
        <v>0.96760021433368648</v>
      </c>
      <c r="W23" s="24"/>
      <c r="X23" s="103">
        <v>22.83</v>
      </c>
      <c r="Y23" s="149">
        <f>[1]Sheet2!$F22</f>
        <v>45918</v>
      </c>
      <c r="Z23" s="149" t="str">
        <f>[1]Sheet2!$G22</f>
        <v>Dec 4, 2025</v>
      </c>
      <c r="AA23" s="150">
        <f>[1]Sheet2!$H22</f>
        <v>2.2100000000000002E-2</v>
      </c>
      <c r="AB23" s="151">
        <v>1E-4</v>
      </c>
      <c r="AC23" s="152">
        <v>3.0000000000000001E-3</v>
      </c>
      <c r="AD23" s="103" t="s">
        <v>91</v>
      </c>
      <c r="AE23" s="153">
        <f>_xlfn.LET(_xlpm.New1YT,RTData[[#This Row],[1YT]],        _xlpm.Old1YT,IF(ISNUMBER(RTData[[#This Row],[Old1YT]]),RTData[[#This Row],[Old1YT]],VALUE(LEFT(RTData[[#This Row],[Old1YT]],FIND("/",RTData[[#This Row],[Old1YT]],1)-1))),       IF(OR(RTData[[#This Row],[1YT]]=0,_xlpm.Old1YT=0),0,(_xlpm.New1YT-_xlpm.Old1YT)/_xlpm.Old1YT))</f>
        <v>6.334420121099206E-2</v>
      </c>
      <c r="AF23" s="153" t="str">
        <f>TEXT(RTData[[#This Row],[1YT]],"#,#0.00")&amp;" &lt; "&amp;RTData[[#This Row],[Old1YT]]</f>
        <v>22.83 &lt; 21.47/20.14</v>
      </c>
    </row>
    <row r="24" spans="1:32" x14ac:dyDescent="0.3">
      <c r="A24" s="15" t="str" cm="1">
        <f t="array" aca="1" ref="A24" ca="1">_xlfn.SINGLE(RTData[suffix])&amp;_FV(RTData[[#This Row],[Company Name]],"Ticker symbol",TRUE)</f>
        <v>HPQ</v>
      </c>
      <c r="B24" s="15">
        <f ca="1">D98</f>
        <v>0.84990651028386865</v>
      </c>
      <c r="C24" s="25" t="e" vm="22">
        <v>#VALUE!</v>
      </c>
      <c r="D24" s="17" t="str" cm="1">
        <f t="array" aca="1" ref="D24" ca="1">_FV(RTData[[#This Row],[Company Name]],"Currency")</f>
        <v>USD</v>
      </c>
      <c r="E24" s="18" cm="1">
        <f t="array" aca="1" ref="E24" ca="1">_FV(RTData[[#This Row],[Company Name]],"Last trade time",TRUE)</f>
        <v>45908.965046203128</v>
      </c>
      <c r="F24" s="19" cm="1">
        <f t="array" aca="1" ref="F24" ca="1">_FV(RTData[[#This Row],[Company Name]],"Previous close",TRUE)</f>
        <v>29.34</v>
      </c>
      <c r="G24" s="19" cm="1">
        <f t="array" aca="1" ref="G24" ca="1">_FV(RTData[[#This Row],[Company Name]],"Open")</f>
        <v>29.28</v>
      </c>
      <c r="H24" s="19" cm="1">
        <f t="array" aca="1" ref="H24" ca="1">_FV(RTData[[#This Row],[Company Name]],"Price")</f>
        <v>29.364999999999998</v>
      </c>
      <c r="I24" s="19" cm="1">
        <f t="array" aca="1" ref="I24" ca="1">_FV(RTData[[#This Row],[Company Name]],"Low")</f>
        <v>28.83</v>
      </c>
      <c r="J24" s="19" cm="1">
        <f t="array" aca="1" ref="J24" ca="1">_FV(RTData[[#This Row],[Company Name]],"High")</f>
        <v>29.39</v>
      </c>
      <c r="K24" s="20" cm="1">
        <f t="array" aca="1" ref="K24" ca="1">IFERROR(_FV(RTData[[#This Row],[Company Name]],"P/E",TRUE),99)</f>
        <v>10.6972</v>
      </c>
      <c r="L24" s="21" cm="1">
        <f t="array" aca="1" ref="L24" ca="1">_FV(RTData[[#This Row],[Company Name]],"Change")</f>
        <v>2.5000000000000001E-2</v>
      </c>
      <c r="M24" s="22" cm="1">
        <f t="array" aca="1" ref="M24" ca="1">_FV(RTData[[#This Row],[Company Name]],"Change (%)",TRUE)</f>
        <v>8.5209999999999995E-4</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8064856</v>
      </c>
      <c r="Q24" s="23" cm="1">
        <f t="array" aca="1" ref="Q24" ca="1">_FV(RTData[[#This Row],[Company Name]],"Volume average",TRUE)</f>
        <v>8926543</v>
      </c>
      <c r="R24" s="19" cm="1">
        <f t="array" aca="1" ref="R24" ca="1">_FV(RTData[[#This Row],[Company Name]],"Beta")</f>
        <v>1.3141</v>
      </c>
      <c r="T24" t="s">
        <v>20</v>
      </c>
      <c r="U24" t="str" cm="1">
        <f t="array" aca="1" ref="U24" ca="1">_FV(RTData[[#This Row],[Company Name]],"Exchange abbreviation",TRUE)</f>
        <v>XNYS</v>
      </c>
      <c r="V24" s="24">
        <f ca="1">IFERROR(RTData[[#This Row],[Volume]]/RTData[[#This Row],[Volume average]],1)</f>
        <v>0.90346912572985982</v>
      </c>
      <c r="W24" s="24"/>
      <c r="X24" s="103">
        <f>[1]Sheet2!$E23</f>
        <v>27.968</v>
      </c>
      <c r="Y24" s="149">
        <f>[1]Sheet2!$F23</f>
        <v>45910</v>
      </c>
      <c r="Z24" s="149" t="str">
        <f>[1]Sheet2!$G23</f>
        <v>Nov 25, 2025</v>
      </c>
      <c r="AA24" s="150">
        <f>[1]Sheet2!$H23</f>
        <v>3.95E-2</v>
      </c>
      <c r="AB24" s="151">
        <v>1E-4</v>
      </c>
      <c r="AC24" s="152">
        <v>3.0000000000000001E-3</v>
      </c>
      <c r="AD24" s="103">
        <v>36.26</v>
      </c>
      <c r="AE24" s="153">
        <f>_xlfn.LET(_xlpm.New1YT,RTData[[#This Row],[1YT]],        _xlpm.Old1YT,IF(ISNUMBER(RTData[[#This Row],[Old1YT]]),RTData[[#This Row],[Old1YT]],VALUE(LEFT(RTData[[#This Row],[Old1YT]],FIND("/",RTData[[#This Row],[Old1YT]],1)-1))),       IF(OR(RTData[[#This Row],[1YT]]=0,_xlpm.Old1YT=0),0,(_xlpm.New1YT-_xlpm.Old1YT)/_xlpm.Old1YT))</f>
        <v>-0.22868174296745722</v>
      </c>
      <c r="AF24" s="153" t="str">
        <f>TEXT(RTData[[#This Row],[1YT]],"#,#0.00")&amp;" &lt; "&amp;RTData[[#This Row],[Old1YT]]</f>
        <v>27.97 &lt; 36.26</v>
      </c>
    </row>
    <row r="25" spans="1:32" x14ac:dyDescent="0.3">
      <c r="A25" s="15" t="str" cm="1">
        <f t="array" aca="1" ref="A25" ca="1">_xlfn.SINGLE(RTData[suffix])&amp;_FV(RTData[[#This Row],[Company Name]],"Ticker symbol",TRUE)</f>
        <v>IAG</v>
      </c>
      <c r="B25" s="15">
        <f ca="1">D100/100</f>
        <v>1.1519410206197442E-2</v>
      </c>
      <c r="C25" s="25" t="e" vm="23">
        <v>#VALUE!</v>
      </c>
      <c r="D25" s="17" t="str" cm="1">
        <f t="array" aca="1" ref="D25" ca="1">_FV(RTData[[#This Row],[Company Name]],"Currency")</f>
        <v>GBp</v>
      </c>
      <c r="E25" s="18" cm="1">
        <f t="array" aca="1" ref="E25" ca="1">_FV(RTData[[#This Row],[Company Name]],"Last trade time",TRUE)</f>
        <v>45908.585589964845</v>
      </c>
      <c r="F25" s="26" cm="1">
        <f t="array" aca="1" ref="F25" ca="1">_FV(RTData[[#This Row],[Company Name]],"Previous close",TRUE)</f>
        <v>390.7</v>
      </c>
      <c r="G25" s="26" cm="1">
        <f t="array" aca="1" ref="G25" ca="1">_FV(RTData[[#This Row],[Company Name]],"Open")</f>
        <v>391.4</v>
      </c>
      <c r="H25" s="26" cm="1">
        <f t="array" aca="1" ref="H25" ca="1">_FV(RTData[[#This Row],[Company Name]],"Price")</f>
        <v>394.2</v>
      </c>
      <c r="I25" s="26" cm="1">
        <f t="array" aca="1" ref="I25" ca="1">_FV(RTData[[#This Row],[Company Name]],"Low")</f>
        <v>389.6</v>
      </c>
      <c r="J25" s="26" cm="1">
        <f t="array" aca="1" ref="J25" ca="1">_FV(RTData[[#This Row],[Company Name]],"High")</f>
        <v>394.2</v>
      </c>
      <c r="K25" s="20" cm="1">
        <f t="array" aca="1" ref="K25" ca="1">IFERROR(_FV(RTData[[#This Row],[Company Name]],"P/E",TRUE),99)</f>
        <v>7.0221999999999998</v>
      </c>
      <c r="L25" s="21" cm="1">
        <f t="array" aca="1" ref="L25" ca="1">_FV(RTData[[#This Row],[Company Name]],"Change")</f>
        <v>3.5</v>
      </c>
      <c r="M25" s="22" cm="1">
        <f t="array" aca="1" ref="M25" ca="1">_FV(RTData[[#This Row],[Company Name]],"Change (%)",TRUE)</f>
        <v>8.9580000000000007E-3</v>
      </c>
      <c r="N25" s="26" cm="1">
        <f t="array" aca="1" ref="N25" ca="1">_FV(RTData[[#This Row],[Company Name]],"52 week low",TRUE)</f>
        <v>187</v>
      </c>
      <c r="O25" s="26" cm="1">
        <f t="array" aca="1" ref="O25" ca="1">_FV(RTData[[#This Row],[Company Name]],"52 week high",TRUE)</f>
        <v>396.7</v>
      </c>
      <c r="P25" s="23" cm="1">
        <f t="array" aca="1" ref="P25" ca="1">_FV(RTData[[#This Row],[Company Name]],"Volume")</f>
        <v>9111020</v>
      </c>
      <c r="Q25" s="23" cm="1">
        <f t="array" aca="1" ref="Q25" ca="1">_FV(RTData[[#This Row],[Company Name]],"Volume average",TRUE)</f>
        <v>11107170</v>
      </c>
      <c r="R25" s="19" cm="1">
        <f t="array" aca="1" ref="R25" ca="1">_FV(RTData[[#This Row],[Company Name]],"Beta")</f>
        <v>2.8026</v>
      </c>
      <c r="T25" t="s">
        <v>20</v>
      </c>
      <c r="U25" t="str" cm="1">
        <f t="array" aca="1" ref="U25" ca="1">_FV(RTData[[#This Row],[Company Name]],"Exchange abbreviation",TRUE)</f>
        <v>XLON</v>
      </c>
      <c r="V25" s="24">
        <f ca="1">IFERROR(RTData[[#This Row],[Volume]]/RTData[[#This Row],[Volume average]],1)</f>
        <v>0.82028275429294772</v>
      </c>
      <c r="W25" s="24"/>
      <c r="X25" s="103">
        <f>[1]Sheet2!$E24</f>
        <v>435.83789999999999</v>
      </c>
      <c r="Y25" s="149">
        <f>[1]Sheet2!$F24</f>
        <v>45834</v>
      </c>
      <c r="Z25" s="149">
        <f>[1]Sheet2!$G24</f>
        <v>0</v>
      </c>
      <c r="AA25" s="150">
        <f>[1]Sheet2!$H24</f>
        <v>1.9599999999999999E-2</v>
      </c>
      <c r="AB25" s="151"/>
      <c r="AC25" s="152">
        <v>3.0000000000000001E-3</v>
      </c>
      <c r="AD25" s="103">
        <v>393.1</v>
      </c>
      <c r="AE25" s="153">
        <f>_xlfn.LET(_xlpm.New1YT,RTData[[#This Row],[1YT]],        _xlpm.Old1YT,IF(ISNUMBER(RTData[[#This Row],[Old1YT]]),RTData[[#This Row],[Old1YT]],VALUE(LEFT(RTData[[#This Row],[Old1YT]],FIND("/",RTData[[#This Row],[Old1YT]],1)-1))),       IF(OR(RTData[[#This Row],[1YT]]=0,_xlpm.Old1YT=0),0,(_xlpm.New1YT-_xlpm.Old1YT)/_xlpm.Old1YT))</f>
        <v>0.10872017298397346</v>
      </c>
      <c r="AF25" s="153" t="str">
        <f>TEXT(RTData[[#This Row],[1YT]],"#,#0.00")&amp;" &lt; "&amp;RTData[[#This Row],[Old1YT]]</f>
        <v>435.84 &lt; 393.1</v>
      </c>
    </row>
    <row r="26" spans="1:32" x14ac:dyDescent="0.3">
      <c r="A26" s="15" t="str" cm="1">
        <f t="array" aca="1" ref="A26" ca="1">_xlfn.SINGLE(RTData[suffix])&amp;_FV(RTData[[#This Row],[Company Name]],"Ticker symbol",TRUE)</f>
        <v>KR</v>
      </c>
      <c r="B26" s="15">
        <f ca="1">D98</f>
        <v>0.84990651028386865</v>
      </c>
      <c r="C26" s="25" t="e" vm="24">
        <v>#VALUE!</v>
      </c>
      <c r="D26" s="17" t="str" cm="1">
        <f t="array" aca="1" ref="D26" ca="1">_FV(RTData[[#This Row],[Company Name]],"Currency")</f>
        <v>USD</v>
      </c>
      <c r="E26" s="18" cm="1">
        <f t="array" aca="1" ref="E26" ca="1">_FV(RTData[[#This Row],[Company Name]],"Last trade time",TRUE)</f>
        <v>45908.969932789063</v>
      </c>
      <c r="F26" s="19" cm="1">
        <f t="array" aca="1" ref="F26" ca="1">_FV(RTData[[#This Row],[Company Name]],"Previous close",TRUE)</f>
        <v>67.75</v>
      </c>
      <c r="G26" s="19" cm="1">
        <f t="array" aca="1" ref="G26" ca="1">_FV(RTData[[#This Row],[Company Name]],"Open")</f>
        <v>67.739999999999995</v>
      </c>
      <c r="H26" s="19" cm="1">
        <f t="array" aca="1" ref="H26" ca="1">_FV(RTData[[#This Row],[Company Name]],"Price")</f>
        <v>68.025000000000006</v>
      </c>
      <c r="I26" s="19" cm="1">
        <f t="array" aca="1" ref="I26" ca="1">_FV(RTData[[#This Row],[Company Name]],"Low")</f>
        <v>67.284999999999997</v>
      </c>
      <c r="J26" s="19" cm="1">
        <f t="array" aca="1" ref="J26" ca="1">_FV(RTData[[#This Row],[Company Name]],"High")</f>
        <v>68.180000000000007</v>
      </c>
      <c r="K26" s="20" cm="1">
        <f t="array" aca="1" ref="K26" ca="1">IFERROR(_FV(RTData[[#This Row],[Company Name]],"P/E",TRUE),99)</f>
        <v>18.5062</v>
      </c>
      <c r="L26" s="21" cm="1">
        <f t="array" aca="1" ref="L26" ca="1">_FV(RTData[[#This Row],[Company Name]],"Change")</f>
        <v>0.27500000000000002</v>
      </c>
      <c r="M26" s="22" cm="1">
        <f t="array" aca="1" ref="M26" ca="1">_FV(RTData[[#This Row],[Company Name]],"Change (%)",TRUE)</f>
        <v>4.0590000000000001E-3</v>
      </c>
      <c r="N26" s="19" cm="1">
        <f t="array" aca="1" ref="N26" ca="1">_FV(RTData[[#This Row],[Company Name]],"52 week low",TRUE)</f>
        <v>50.69</v>
      </c>
      <c r="O26" s="19" cm="1">
        <f t="array" aca="1" ref="O26" ca="1">_FV(RTData[[#This Row],[Company Name]],"52 week high",TRUE)</f>
        <v>74.900000000000006</v>
      </c>
      <c r="P26" s="23" cm="1">
        <f t="array" aca="1" ref="P26" ca="1">_FV(RTData[[#This Row],[Company Name]],"Volume")</f>
        <v>10184432</v>
      </c>
      <c r="Q26" s="23" cm="1">
        <f t="array" aca="1" ref="Q26" ca="1">_FV(RTData[[#This Row],[Company Name]],"Volume average",TRUE)</f>
        <v>6579765</v>
      </c>
      <c r="R26" s="19" cm="1">
        <f t="array" aca="1" ref="R26" ca="1">_FV(RTData[[#This Row],[Company Name]],"Beta")</f>
        <v>0.57350000000000001</v>
      </c>
      <c r="T26" t="s">
        <v>20</v>
      </c>
      <c r="U26" t="str" cm="1">
        <f t="array" aca="1" ref="U26" ca="1">_FV(RTData[[#This Row],[Company Name]],"Exchange abbreviation",TRUE)</f>
        <v>XNYS</v>
      </c>
      <c r="V26" s="24">
        <f ca="1">IFERROR(RTData[[#This Row],[Volume]]/RTData[[#This Row],[Volume average]],1)</f>
        <v>1.5478412982834493</v>
      </c>
      <c r="W26" s="24"/>
      <c r="X26" s="103">
        <f>[1]Sheet2!$E25</f>
        <v>75.727270000000004</v>
      </c>
      <c r="Y26" s="149">
        <f>[1]Sheet2!$F25</f>
        <v>45884</v>
      </c>
      <c r="Z26" s="149" t="str">
        <f>[1]Sheet2!$G25</f>
        <v>Sep 10, 2025 - Sep 15, 2025</v>
      </c>
      <c r="AA26" s="150">
        <f>[1]Sheet2!$H25</f>
        <v>2.07E-2</v>
      </c>
      <c r="AB26" s="151">
        <v>1E-4</v>
      </c>
      <c r="AC26" s="152">
        <v>3.0000000000000001E-3</v>
      </c>
      <c r="AD26" s="103">
        <v>66.5</v>
      </c>
      <c r="AE26" s="153">
        <f>_xlfn.LET(_xlpm.New1YT,RTData[[#This Row],[1YT]],        _xlpm.Old1YT,IF(ISNUMBER(RTData[[#This Row],[Old1YT]]),RTData[[#This Row],[Old1YT]],VALUE(LEFT(RTData[[#This Row],[Old1YT]],FIND("/",RTData[[#This Row],[Old1YT]],1)-1))),       IF(OR(RTData[[#This Row],[1YT]]=0,_xlpm.Old1YT=0),0,(_xlpm.New1YT-_xlpm.Old1YT)/_xlpm.Old1YT))</f>
        <v>0.13875593984962412</v>
      </c>
      <c r="AF26" s="153" t="str">
        <f>TEXT(RTData[[#This Row],[1YT]],"#,#0.00")&amp;" &lt; "&amp;RTData[[#This Row],[Old1YT]]</f>
        <v>75.73 &lt; 66.5</v>
      </c>
    </row>
    <row r="27" spans="1:32" x14ac:dyDescent="0.3">
      <c r="A27" s="15" t="str" cm="1">
        <f t="array" aca="1" ref="A27" ca="1">_xlfn.SINGLE(RTData[suffix])&amp;_FV(RTData[[#This Row],[Company Name]],"Ticker symbol",TRUE)</f>
        <v>LNSR</v>
      </c>
      <c r="B27" s="15">
        <f ca="1">D98</f>
        <v>0.84990651028386865</v>
      </c>
      <c r="C27" s="25" t="e" vm="25">
        <v>#VALUE!</v>
      </c>
      <c r="D27" s="17" t="str" cm="1">
        <f t="array" aca="1" ref="D27" ca="1">_FV(RTData[[#This Row],[Company Name]],"Currency")</f>
        <v>USD</v>
      </c>
      <c r="E27" s="18" cm="1">
        <f t="array" aca="1" ref="E27" ca="1">_FV(RTData[[#This Row],[Company Name]],"Last trade time",TRUE)</f>
        <v>45908.840323182812</v>
      </c>
      <c r="F27" s="19" cm="1">
        <f t="array" aca="1" ref="F27" ca="1">_FV(RTData[[#This Row],[Company Name]],"Previous close",TRUE)</f>
        <v>12.17</v>
      </c>
      <c r="G27" s="19" cm="1">
        <f t="array" aca="1" ref="G27" ca="1">_FV(RTData[[#This Row],[Company Name]],"Open")</f>
        <v>12.24</v>
      </c>
      <c r="H27" s="19" cm="1">
        <f t="array" aca="1" ref="H27" ca="1">_FV(RTData[[#This Row],[Company Name]],"Price")</f>
        <v>12.34</v>
      </c>
      <c r="I27" s="19" cm="1">
        <f t="array" aca="1" ref="I27" ca="1">_FV(RTData[[#This Row],[Company Name]],"Low")</f>
        <v>12.0001</v>
      </c>
      <c r="J27" s="19" cm="1">
        <f t="array" aca="1" ref="J27" ca="1">_FV(RTData[[#This Row],[Company Name]],"High")</f>
        <v>12.48</v>
      </c>
      <c r="K27" s="20" cm="1">
        <f t="array" aca="1" ref="K27" ca="1">IFERROR(_FV(RTData[[#This Row],[Company Name]],"P/E",TRUE),99)</f>
        <v>0</v>
      </c>
      <c r="L27" s="21" cm="1">
        <f t="array" aca="1" ref="L27" ca="1">_FV(RTData[[#This Row],[Company Name]],"Change")</f>
        <v>0.17</v>
      </c>
      <c r="M27" s="22" cm="1">
        <f t="array" aca="1" ref="M27" ca="1">_FV(RTData[[#This Row],[Company Name]],"Change (%)",TRUE)</f>
        <v>1.3969000000000001E-2</v>
      </c>
      <c r="N27" s="19" cm="1">
        <f t="array" aca="1" ref="N27" ca="1">_FV(RTData[[#This Row],[Company Name]],"52 week low",TRUE)</f>
        <v>3.8001</v>
      </c>
      <c r="O27" s="19" cm="1">
        <f t="array" aca="1" ref="O27" ca="1">_FV(RTData[[#This Row],[Company Name]],"52 week high",TRUE)</f>
        <v>17.309999999999999</v>
      </c>
      <c r="P27" s="23" cm="1">
        <f t="array" aca="1" ref="P27" ca="1">_FV(RTData[[#This Row],[Company Name]],"Volume")</f>
        <v>42464</v>
      </c>
      <c r="Q27" s="23" cm="1">
        <f t="array" aca="1" ref="Q27" ca="1">_FV(RTData[[#This Row],[Company Name]],"Volume average",TRUE)</f>
        <v>64714</v>
      </c>
      <c r="R27" s="19" cm="1">
        <f t="array" aca="1" ref="R27" ca="1">_FV(RTData[[#This Row],[Company Name]],"Beta")</f>
        <v>0.49559999999999998</v>
      </c>
      <c r="T27" t="s">
        <v>20</v>
      </c>
      <c r="U27" t="str" cm="1">
        <f t="array" aca="1" ref="U27" ca="1">_FV(RTData[[#This Row],[Company Name]],"Exchange abbreviation",TRUE)</f>
        <v>XNAS</v>
      </c>
      <c r="V27" s="24">
        <f ca="1">IFERROR(RTData[[#This Row],[Volume]]/RTData[[#This Row],[Volume average]],1)</f>
        <v>0.65617949748122506</v>
      </c>
      <c r="W27" s="24"/>
      <c r="X27" s="103">
        <f>[1]Sheet2!$E26</f>
        <v>15</v>
      </c>
      <c r="Y27" s="149">
        <f>[1]Sheet2!$F26</f>
        <v>0</v>
      </c>
      <c r="Z27" s="149" t="str">
        <f>[1]Sheet2!$G26</f>
        <v>Nov 6, 2025</v>
      </c>
      <c r="AA27" s="150">
        <f>[1]Sheet2!$H26</f>
        <v>0</v>
      </c>
      <c r="AB27" s="151">
        <v>1E-4</v>
      </c>
      <c r="AC27" s="152">
        <v>3.0000000000000001E-3</v>
      </c>
      <c r="AD27" s="103">
        <v>15.5</v>
      </c>
      <c r="AE27" s="153">
        <f>_xlfn.LET(_xlpm.New1YT,RTData[[#This Row],[1YT]],        _xlpm.Old1YT,IF(ISNUMBER(RTData[[#This Row],[Old1YT]]),RTData[[#This Row],[Old1YT]],VALUE(LEFT(RTData[[#This Row],[Old1YT]],FIND("/",RTData[[#This Row],[Old1YT]],1)-1))),       IF(OR(RTData[[#This Row],[1YT]]=0,_xlpm.Old1YT=0),0,(_xlpm.New1YT-_xlpm.Old1YT)/_xlpm.Old1YT))</f>
        <v>-3.2258064516129031E-2</v>
      </c>
      <c r="AF27" s="153" t="str">
        <f>TEXT(RTData[[#This Row],[1YT]],"#,#0.00")&amp;" &lt; "&amp;RTData[[#This Row],[Old1YT]]</f>
        <v>15.00 &lt; 15.5</v>
      </c>
    </row>
    <row r="28" spans="1:32" x14ac:dyDescent="0.3">
      <c r="A28" s="15" t="str" cm="1">
        <f t="array" aca="1" ref="A28" ca="1">_xlfn.SINGLE(RTData[suffix])&amp;_FV(RTData[[#This Row],[Company Name]],"Ticker symbol",TRUE)</f>
        <v>LUMN</v>
      </c>
      <c r="B28" s="15">
        <f ca="1">D98</f>
        <v>0.84990651028386865</v>
      </c>
      <c r="C28" s="25" t="e" vm="26">
        <v>#VALUE!</v>
      </c>
      <c r="D28" s="17" t="str" cm="1">
        <f t="array" aca="1" ref="D28" ca="1">_FV(RTData[[#This Row],[Company Name]],"Currency")</f>
        <v>USD</v>
      </c>
      <c r="E28" s="18" cm="1">
        <f t="array" aca="1" ref="E28" ca="1">_FV(RTData[[#This Row],[Company Name]],"Last trade time",TRUE)</f>
        <v>45908.96877135391</v>
      </c>
      <c r="F28" s="19" cm="1">
        <f t="array" aca="1" ref="F28" ca="1">_FV(RTData[[#This Row],[Company Name]],"Previous close",TRUE)</f>
        <v>4.75</v>
      </c>
      <c r="G28" s="19" cm="1">
        <f t="array" aca="1" ref="G28" ca="1">_FV(RTData[[#This Row],[Company Name]],"Open")</f>
        <v>4.68</v>
      </c>
      <c r="H28" s="19" cm="1">
        <f t="array" aca="1" ref="H28" ca="1">_FV(RTData[[#This Row],[Company Name]],"Price")</f>
        <v>5.1150000000000002</v>
      </c>
      <c r="I28" s="19" cm="1">
        <f t="array" aca="1" ref="I28" ca="1">_FV(RTData[[#This Row],[Company Name]],"Low")</f>
        <v>4.5650000000000004</v>
      </c>
      <c r="J28" s="19" cm="1">
        <f t="array" aca="1" ref="J28" ca="1">_FV(RTData[[#This Row],[Company Name]],"High")</f>
        <v>5.125</v>
      </c>
      <c r="K28" s="20" cm="1">
        <f t="array" ref="K28">IFERROR(_FV(RTData[[#This Row],[Company Name]],"P/E",TRUE),99)</f>
        <v>99</v>
      </c>
      <c r="L28" s="21" cm="1">
        <f t="array" aca="1" ref="L28" ca="1">_FV(RTData[[#This Row],[Company Name]],"Change")</f>
        <v>0.36499999999999999</v>
      </c>
      <c r="M28" s="22" cm="1">
        <f t="array" aca="1" ref="M28" ca="1">_FV(RTData[[#This Row],[Company Name]],"Change (%)",TRUE)</f>
        <v>7.6841999999999994E-2</v>
      </c>
      <c r="N28" s="19" cm="1">
        <f t="array" aca="1" ref="N28" ca="1">_FV(RTData[[#This Row],[Company Name]],"52 week low",TRUE)</f>
        <v>3.01</v>
      </c>
      <c r="O28" s="19" cm="1">
        <f t="array" aca="1" ref="O28" ca="1">_FV(RTData[[#This Row],[Company Name]],"52 week high",TRUE)</f>
        <v>10.33</v>
      </c>
      <c r="P28" s="23" cm="1">
        <f t="array" aca="1" ref="P28" ca="1">_FV(RTData[[#This Row],[Company Name]],"Volume")</f>
        <v>18562499</v>
      </c>
      <c r="Q28" s="23" cm="1">
        <f t="array" aca="1" ref="Q28" ca="1">_FV(RTData[[#This Row],[Company Name]],"Volume average",TRUE)</f>
        <v>14580707</v>
      </c>
      <c r="R28" s="19" cm="1">
        <f t="array" aca="1" ref="R28" ca="1">_FV(RTData[[#This Row],[Company Name]],"Beta")</f>
        <v>1.4073</v>
      </c>
      <c r="T28" t="s">
        <v>20</v>
      </c>
      <c r="U28" t="str" cm="1">
        <f t="array" aca="1" ref="U28" ca="1">_FV(RTData[[#This Row],[Company Name]],"Exchange abbreviation",TRUE)</f>
        <v>XNYS</v>
      </c>
      <c r="V28" s="24">
        <f ca="1">IFERROR(RTData[[#This Row],[Volume]]/RTData[[#This Row],[Volume average]],1)</f>
        <v>1.2730863462245006</v>
      </c>
      <c r="W28" s="24"/>
      <c r="X28" s="103">
        <f>[1]Sheet2!$E27</f>
        <v>5.06182</v>
      </c>
      <c r="Y28" s="149">
        <f>[1]Sheet2!$F27</f>
        <v>44802</v>
      </c>
      <c r="Z28" s="149" t="str">
        <f>[1]Sheet2!$G27</f>
        <v>Jul 31, 2025</v>
      </c>
      <c r="AA28" s="150">
        <f>[1]Sheet2!$H27</f>
        <v>0</v>
      </c>
      <c r="AB28" s="151">
        <v>1E-4</v>
      </c>
      <c r="AC28" s="152">
        <v>3.0000000000000001E-3</v>
      </c>
      <c r="AD28" s="103">
        <v>4.62</v>
      </c>
      <c r="AE28" s="153">
        <f>_xlfn.LET(_xlpm.New1YT,RTData[[#This Row],[1YT]],        _xlpm.Old1YT,IF(ISNUMBER(RTData[[#This Row],[Old1YT]]),RTData[[#This Row],[Old1YT]],VALUE(LEFT(RTData[[#This Row],[Old1YT]],FIND("/",RTData[[#This Row],[Old1YT]],1)-1))),       IF(OR(RTData[[#This Row],[1YT]]=0,_xlpm.Old1YT=0),0,(_xlpm.New1YT-_xlpm.Old1YT)/_xlpm.Old1YT))</f>
        <v>9.563203463203461E-2</v>
      </c>
      <c r="AF28" s="153" t="str">
        <f>TEXT(RTData[[#This Row],[1YT]],"#,#0.00")&amp;" &lt; "&amp;RTData[[#This Row],[Old1YT]]</f>
        <v>5.06 &lt; 4.62</v>
      </c>
    </row>
    <row r="29" spans="1:32" x14ac:dyDescent="0.3">
      <c r="A29" s="15" t="str" cm="1">
        <f t="array" aca="1" ref="A29" ca="1">_xlfn.SINGLE(RTData[suffix])&amp;_FV(RTData[[#This Row],[Company Name]],"Ticker symbol",TRUE)</f>
        <v>MRNA</v>
      </c>
      <c r="B29" s="15">
        <f ca="1">D98</f>
        <v>0.84990651028386865</v>
      </c>
      <c r="C29" s="25" t="e" vm="27">
        <v>#VALUE!</v>
      </c>
      <c r="D29" s="17" t="str" cm="1">
        <f t="array" aca="1" ref="D29" ca="1">_FV(RTData[[#This Row],[Company Name]],"Currency")</f>
        <v>USD</v>
      </c>
      <c r="E29" s="18" cm="1">
        <f t="array" aca="1" ref="E29" ca="1">_FV(RTData[[#This Row],[Company Name]],"Last trade time",TRUE)</f>
        <v>45908.969466029688</v>
      </c>
      <c r="F29" s="19" cm="1">
        <f t="array" aca="1" ref="F29" ca="1">_FV(RTData[[#This Row],[Company Name]],"Previous close",TRUE)</f>
        <v>25.14</v>
      </c>
      <c r="G29" s="19" cm="1">
        <f t="array" aca="1" ref="G29" ca="1">_FV(RTData[[#This Row],[Company Name]],"Open")</f>
        <v>24.925000000000001</v>
      </c>
      <c r="H29" s="19" cm="1">
        <f t="array" aca="1" ref="H29" ca="1">_FV(RTData[[#This Row],[Company Name]],"Price")</f>
        <v>24.83</v>
      </c>
      <c r="I29" s="19" cm="1">
        <f t="array" aca="1" ref="I29" ca="1">_FV(RTData[[#This Row],[Company Name]],"Low")</f>
        <v>23.78</v>
      </c>
      <c r="J29" s="19" cm="1">
        <f t="array" aca="1" ref="J29" ca="1">_FV(RTData[[#This Row],[Company Name]],"High")</f>
        <v>24.925000000000001</v>
      </c>
      <c r="K29" s="20" cm="1">
        <f t="array" aca="1" ref="K29" ca="1">IFERROR(_FV(RTData[[#This Row],[Company Name]],"P/E",TRUE),99)</f>
        <v>0</v>
      </c>
      <c r="L29" s="21" cm="1">
        <f t="array" aca="1" ref="L29" ca="1">_FV(RTData[[#This Row],[Company Name]],"Change")</f>
        <v>-0.31</v>
      </c>
      <c r="M29" s="22" cm="1">
        <f t="array" aca="1" ref="M29" ca="1">_FV(RTData[[#This Row],[Company Name]],"Change (%)",TRUE)</f>
        <v>-1.2331000000000002E-2</v>
      </c>
      <c r="N29" s="19" cm="1">
        <f t="array" aca="1" ref="N29" ca="1">_FV(RTData[[#This Row],[Company Name]],"52 week low",TRUE)</f>
        <v>23.15</v>
      </c>
      <c r="O29" s="19" cm="1">
        <f t="array" aca="1" ref="O29" ca="1">_FV(RTData[[#This Row],[Company Name]],"52 week high",TRUE)</f>
        <v>79.958699999999993</v>
      </c>
      <c r="P29" s="23" cm="1">
        <f t="array" aca="1" ref="P29" ca="1">_FV(RTData[[#This Row],[Company Name]],"Volume")</f>
        <v>13095975</v>
      </c>
      <c r="Q29" s="23" cm="1">
        <f t="array" aca="1" ref="Q29" ca="1">_FV(RTData[[#This Row],[Company Name]],"Volume average",TRUE)</f>
        <v>9710608</v>
      </c>
      <c r="R29" s="19" cm="1">
        <f t="array" aca="1" ref="R29" ca="1">_FV(RTData[[#This Row],[Company Name]],"Beta")</f>
        <v>1.9996</v>
      </c>
      <c r="T29" t="s">
        <v>20</v>
      </c>
      <c r="U29" t="str" cm="1">
        <f t="array" aca="1" ref="U29" ca="1">_FV(RTData[[#This Row],[Company Name]],"Exchange abbreviation",TRUE)</f>
        <v>XNAS</v>
      </c>
      <c r="V29" s="24">
        <f ca="1">IFERROR(RTData[[#This Row],[Volume]]/RTData[[#This Row],[Volume average]],1)</f>
        <v>1.348625647333308</v>
      </c>
      <c r="W29" s="24"/>
      <c r="X29" s="103">
        <f>[1]Sheet2!$E28</f>
        <v>44.25</v>
      </c>
      <c r="Y29" s="149">
        <f>[1]Sheet2!$F28</f>
        <v>0</v>
      </c>
      <c r="Z29" s="149" t="str">
        <f>[1]Sheet2!$G28</f>
        <v>Aug 1, 2025</v>
      </c>
      <c r="AA29" s="150">
        <f>[1]Sheet2!$H28</f>
        <v>0</v>
      </c>
      <c r="AB29" s="151">
        <v>1E-4</v>
      </c>
      <c r="AC29" s="152">
        <v>3.0000000000000001E-3</v>
      </c>
      <c r="AD29" s="103">
        <v>99.83</v>
      </c>
      <c r="AE29" s="153">
        <f>_xlfn.LET(_xlpm.New1YT,RTData[[#This Row],[1YT]],        _xlpm.Old1YT,IF(ISNUMBER(RTData[[#This Row],[Old1YT]]),RTData[[#This Row],[Old1YT]],VALUE(LEFT(RTData[[#This Row],[Old1YT]],FIND("/",RTData[[#This Row],[Old1YT]],1)-1))),       IF(OR(RTData[[#This Row],[1YT]]=0,_xlpm.Old1YT=0),0,(_xlpm.New1YT-_xlpm.Old1YT)/_xlpm.Old1YT))</f>
        <v>-0.55674646899729541</v>
      </c>
      <c r="AF29" s="153" t="str">
        <f>TEXT(RTData[[#This Row],[1YT]],"#,#0.00")&amp;" &lt; "&amp;RTData[[#This Row],[Old1YT]]</f>
        <v>44.25 &lt; 99.83</v>
      </c>
    </row>
    <row r="30" spans="1:32" x14ac:dyDescent="0.3">
      <c r="A30" s="15" t="str" cm="1">
        <f t="array" aca="1" ref="A30" ca="1">_xlfn.SINGLE(RTData[suffix])&amp;_FV(RTData[[#This Row],[Company Name]],"Ticker symbol",TRUE)</f>
        <v>MSFT</v>
      </c>
      <c r="B30" s="15">
        <f ca="1">D98</f>
        <v>0.84990651028386865</v>
      </c>
      <c r="C30" s="25" t="e" vm="28">
        <v>#VALUE!</v>
      </c>
      <c r="D30" s="17" t="str" cm="1">
        <f t="array" aca="1" ref="D30" ca="1">_FV(RTData[[#This Row],[Company Name]],"Currency")</f>
        <v>USD</v>
      </c>
      <c r="E30" s="18" cm="1">
        <f t="array" aca="1" ref="E30" ca="1">_FV(RTData[[#This Row],[Company Name]],"Last trade time",TRUE)</f>
        <v>45908.970601782028</v>
      </c>
      <c r="F30" s="19" cm="1">
        <f t="array" aca="1" ref="F30" ca="1">_FV(RTData[[#This Row],[Company Name]],"Previous close",TRUE)</f>
        <v>495</v>
      </c>
      <c r="G30" s="19" cm="1">
        <f t="array" aca="1" ref="G30" ca="1">_FV(RTData[[#This Row],[Company Name]],"Open")</f>
        <v>498.10500000000002</v>
      </c>
      <c r="H30" s="19" cm="1">
        <f t="array" aca="1" ref="H30" ca="1">_FV(RTData[[#This Row],[Company Name]],"Price")</f>
        <v>498.2</v>
      </c>
      <c r="I30" s="19" cm="1">
        <f t="array" aca="1" ref="I30" ca="1">_FV(RTData[[#This Row],[Company Name]],"Low")</f>
        <v>495.03</v>
      </c>
      <c r="J30" s="19" cm="1">
        <f t="array" aca="1" ref="J30" ca="1">_FV(RTData[[#This Row],[Company Name]],"High")</f>
        <v>501.19499999999999</v>
      </c>
      <c r="K30" s="20" cm="1">
        <f t="array" aca="1" ref="K30" ca="1">IFERROR(_FV(RTData[[#This Row],[Company Name]],"P/E",TRUE),99)</f>
        <v>36.521999999999998</v>
      </c>
      <c r="L30" s="21" cm="1">
        <f t="array" aca="1" ref="L30" ca="1">_FV(RTData[[#This Row],[Company Name]],"Change")</f>
        <v>3.2</v>
      </c>
      <c r="M30" s="22" cm="1">
        <f t="array" aca="1" ref="M30" ca="1">_FV(RTData[[#This Row],[Company Name]],"Change (%)",TRUE)</f>
        <v>6.4649999999999994E-3</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16765988</v>
      </c>
      <c r="Q30" s="23" cm="1">
        <f t="array" aca="1" ref="Q30" ca="1">_FV(RTData[[#This Row],[Company Name]],"Volume average",TRUE)</f>
        <v>21475506</v>
      </c>
      <c r="R30" s="19" cm="1">
        <f t="array" aca="1" ref="R30" ca="1">_FV(RTData[[#This Row],[Company Name]],"Beta")</f>
        <v>1.0294000000000001</v>
      </c>
      <c r="T30" t="s">
        <v>20</v>
      </c>
      <c r="U30" t="str" cm="1">
        <f t="array" aca="1" ref="U30" ca="1">_FV(RTData[[#This Row],[Company Name]],"Exchange abbreviation",TRUE)</f>
        <v>XNAS</v>
      </c>
      <c r="V30" s="24">
        <f ca="1">IFERROR(RTData[[#This Row],[Volume]]/RTData[[#This Row],[Volume average]],1)</f>
        <v>0.78070281557044574</v>
      </c>
      <c r="W30" s="24"/>
      <c r="X30" s="103">
        <f>[1]Sheet2!$E29</f>
        <v>613.89160000000004</v>
      </c>
      <c r="Y30" s="149">
        <f>[1]Sheet2!$F29</f>
        <v>45890</v>
      </c>
      <c r="Z30" s="149" t="str">
        <f>[1]Sheet2!$G29</f>
        <v>Oct 29, 2025</v>
      </c>
      <c r="AA30" s="150">
        <f>[1]Sheet2!$H29</f>
        <v>6.7000002999999999E-3</v>
      </c>
      <c r="AB30" s="151">
        <v>1E-4</v>
      </c>
      <c r="AC30" s="152">
        <v>3.0000000000000001E-3</v>
      </c>
      <c r="AD30" s="103">
        <v>505.94</v>
      </c>
      <c r="AE30" s="153">
        <f>_xlfn.LET(_xlpm.New1YT,RTData[[#This Row],[1YT]],        _xlpm.Old1YT,IF(ISNUMBER(RTData[[#This Row],[Old1YT]]),RTData[[#This Row],[Old1YT]],VALUE(LEFT(RTData[[#This Row],[Old1YT]],FIND("/",RTData[[#This Row],[Old1YT]],1)-1))),       IF(OR(RTData[[#This Row],[1YT]]=0,_xlpm.Old1YT=0),0,(_xlpm.New1YT-_xlpm.Old1YT)/_xlpm.Old1YT))</f>
        <v>0.21336838360279883</v>
      </c>
      <c r="AF30" s="153" t="str">
        <f>TEXT(RTData[[#This Row],[1YT]],"#,#0.00")&amp;" &lt; "&amp;RTData[[#This Row],[Old1YT]]</f>
        <v>613.89 &lt; 505.94</v>
      </c>
    </row>
    <row r="31" spans="1:32" x14ac:dyDescent="0.3">
      <c r="A31" s="15" t="str" cm="1">
        <f t="array" aca="1" ref="A31" ca="1">_xlfn.SINGLE(RTData[suffix])&amp;_FV(RTData[[#This Row],[Company Name]],"Ticker symbol",TRUE)</f>
        <v>NEE</v>
      </c>
      <c r="B31" s="15">
        <f ca="1">D98</f>
        <v>0.84990651028386865</v>
      </c>
      <c r="C31" s="25" t="e" vm="29">
        <v>#VALUE!</v>
      </c>
      <c r="D31" s="17" t="str" cm="1">
        <f t="array" aca="1" ref="D31" ca="1">_FV(RTData[[#This Row],[Company Name]],"Currency")</f>
        <v>USD</v>
      </c>
      <c r="E31" s="18" cm="1">
        <f t="array" aca="1" ref="E31" ca="1">_FV(RTData[[#This Row],[Company Name]],"Last trade time",TRUE)</f>
        <v>45908.966365173437</v>
      </c>
      <c r="F31" s="19" cm="1">
        <f t="array" aca="1" ref="F31" ca="1">_FV(RTData[[#This Row],[Company Name]],"Previous close",TRUE)</f>
        <v>70.900000000000006</v>
      </c>
      <c r="G31" s="19" cm="1">
        <f t="array" aca="1" ref="G31" ca="1">_FV(RTData[[#This Row],[Company Name]],"Open")</f>
        <v>70.83</v>
      </c>
      <c r="H31" s="19" cm="1">
        <f t="array" aca="1" ref="H31" ca="1">_FV(RTData[[#This Row],[Company Name]],"Price")</f>
        <v>69.81</v>
      </c>
      <c r="I31" s="19" cm="1">
        <f t="array" aca="1" ref="I31" ca="1">_FV(RTData[[#This Row],[Company Name]],"Low")</f>
        <v>69.239999999999995</v>
      </c>
      <c r="J31" s="19" cm="1">
        <f t="array" aca="1" ref="J31" ca="1">_FV(RTData[[#This Row],[Company Name]],"High")</f>
        <v>70.84</v>
      </c>
      <c r="K31" s="20" cm="1">
        <f t="array" aca="1" ref="K31" ca="1">IFERROR(_FV(RTData[[#This Row],[Company Name]],"P/E",TRUE),99)</f>
        <v>26.108899999999998</v>
      </c>
      <c r="L31" s="21" cm="1">
        <f t="array" aca="1" ref="L31" ca="1">_FV(RTData[[#This Row],[Company Name]],"Change")</f>
        <v>-1.0900000000000001</v>
      </c>
      <c r="M31" s="22" cm="1">
        <f t="array" aca="1" ref="M31" ca="1">_FV(RTData[[#This Row],[Company Name]],"Change (%)",TRUE)</f>
        <v>-1.5374000000000001E-2</v>
      </c>
      <c r="N31" s="19" cm="1">
        <f t="array" aca="1" ref="N31" ca="1">_FV(RTData[[#This Row],[Company Name]],"52 week low",TRUE)</f>
        <v>61.72</v>
      </c>
      <c r="O31" s="19" cm="1">
        <f t="array" aca="1" ref="O31" ca="1">_FV(RTData[[#This Row],[Company Name]],"52 week high",TRUE)</f>
        <v>86.1</v>
      </c>
      <c r="P31" s="23" cm="1">
        <f t="array" aca="1" ref="P31" ca="1">_FV(RTData[[#This Row],[Company Name]],"Volume")</f>
        <v>12596279</v>
      </c>
      <c r="Q31" s="23" cm="1">
        <f t="array" aca="1" ref="Q31" ca="1">_FV(RTData[[#This Row],[Company Name]],"Volume average",TRUE)</f>
        <v>9468770</v>
      </c>
      <c r="R31" s="19" cm="1">
        <f t="array" aca="1" ref="R31" ca="1">_FV(RTData[[#This Row],[Company Name]],"Beta")</f>
        <v>0.64790000000000003</v>
      </c>
      <c r="T31" t="s">
        <v>20</v>
      </c>
      <c r="U31" t="str" cm="1">
        <f t="array" aca="1" ref="U31" ca="1">_FV(RTData[[#This Row],[Company Name]],"Exchange abbreviation",TRUE)</f>
        <v>XNYS</v>
      </c>
      <c r="V31" s="24">
        <f ca="1">IFERROR(RTData[[#This Row],[Volume]]/RTData[[#This Row],[Volume average]],1)</f>
        <v>1.3302972825403934</v>
      </c>
      <c r="W31" s="24"/>
      <c r="X31" s="103">
        <f>[1]Sheet2!$E30</f>
        <v>82.294120000000007</v>
      </c>
      <c r="Y31" s="149">
        <f>[1]Sheet2!$F30</f>
        <v>45897</v>
      </c>
      <c r="Z31" s="149" t="str">
        <f>[1]Sheet2!$G30</f>
        <v>Oct 23, 2025</v>
      </c>
      <c r="AA31" s="150">
        <f>[1]Sheet2!$H30</f>
        <v>3.2000000000000001E-2</v>
      </c>
      <c r="AB31" s="151">
        <v>1E-4</v>
      </c>
      <c r="AC31" s="152">
        <v>3.0000000000000001E-3</v>
      </c>
      <c r="AD31" s="103" t="s">
        <v>95</v>
      </c>
      <c r="AE31" s="153">
        <f>_xlfn.LET(_xlpm.New1YT,RTData[[#This Row],[1YT]],        _xlpm.Old1YT,IF(ISNUMBER(RTData[[#This Row],[Old1YT]]),RTData[[#This Row],[Old1YT]],VALUE(LEFT(RTData[[#This Row],[Old1YT]],FIND("/",RTData[[#This Row],[Old1YT]],1)-1))),       IF(OR(RTData[[#This Row],[1YT]]=0,_xlpm.Old1YT=0),0,(_xlpm.New1YT-_xlpm.Old1YT)/_xlpm.Old1YT))</f>
        <v>1.4724044389642569E-2</v>
      </c>
      <c r="AF31" s="153" t="str">
        <f>TEXT(RTData[[#This Row],[1YT]],"#,#0.00")&amp;" &lt; "&amp;RTData[[#This Row],[Old1YT]]</f>
        <v>82.29 &lt; 81.10/84.6</v>
      </c>
    </row>
    <row r="32" spans="1:32" x14ac:dyDescent="0.3">
      <c r="A32" s="15" t="str" cm="1">
        <f t="array" aca="1" ref="A32" ca="1">_xlfn.SINGLE(RTData[suffix])&amp;_FV(RTData[[#This Row],[Company Name]],"Ticker symbol",TRUE)</f>
        <v>NEM</v>
      </c>
      <c r="B32" s="15">
        <f ca="1">D98</f>
        <v>0.84990651028386865</v>
      </c>
      <c r="C32" s="25" t="e" vm="30">
        <v>#VALUE!</v>
      </c>
      <c r="D32" s="17" t="str" cm="1">
        <f t="array" aca="1" ref="D32" ca="1">_FV(RTData[[#This Row],[Company Name]],"Currency")</f>
        <v>USD</v>
      </c>
      <c r="E32" s="18" cm="1">
        <f t="array" aca="1" ref="E32" ca="1">_FV(RTData[[#This Row],[Company Name]],"Last trade time",TRUE)</f>
        <v>45908.967569270309</v>
      </c>
      <c r="F32" s="19" cm="1">
        <f t="array" aca="1" ref="F32" ca="1">_FV(RTData[[#This Row],[Company Name]],"Previous close",TRUE)</f>
        <v>76.17</v>
      </c>
      <c r="G32" s="19" cm="1">
        <f t="array" aca="1" ref="G32" ca="1">_FV(RTData[[#This Row],[Company Name]],"Open")</f>
        <v>76.69</v>
      </c>
      <c r="H32" s="19" cm="1">
        <f t="array" aca="1" ref="H32" ca="1">_FV(RTData[[#This Row],[Company Name]],"Price")</f>
        <v>75.77</v>
      </c>
      <c r="I32" s="19" cm="1">
        <f t="array" aca="1" ref="I32" ca="1">_FV(RTData[[#This Row],[Company Name]],"Low")</f>
        <v>75.215000000000003</v>
      </c>
      <c r="J32" s="19" cm="1">
        <f t="array" aca="1" ref="J32" ca="1">_FV(RTData[[#This Row],[Company Name]],"High")</f>
        <v>77.179900000000004</v>
      </c>
      <c r="K32" s="20" cm="1">
        <f t="array" aca="1" ref="K32" ca="1">IFERROR(_FV(RTData[[#This Row],[Company Name]],"P/E",TRUE),99)</f>
        <v>13.714499999999999</v>
      </c>
      <c r="L32" s="21" cm="1">
        <f t="array" aca="1" ref="L32" ca="1">_FV(RTData[[#This Row],[Company Name]],"Change")</f>
        <v>-0.4</v>
      </c>
      <c r="M32" s="22" cm="1">
        <f t="array" aca="1" ref="M32" ca="1">_FV(RTData[[#This Row],[Company Name]],"Change (%)",TRUE)</f>
        <v>-5.2510000000000005E-3</v>
      </c>
      <c r="N32" s="19" cm="1">
        <f t="array" aca="1" ref="N32" ca="1">_FV(RTData[[#This Row],[Company Name]],"52 week low",TRUE)</f>
        <v>36.86</v>
      </c>
      <c r="O32" s="19" cm="1">
        <f t="array" aca="1" ref="O32" ca="1">_FV(RTData[[#This Row],[Company Name]],"52 week high",TRUE)</f>
        <v>77.3</v>
      </c>
      <c r="P32" s="23" cm="1">
        <f t="array" aca="1" ref="P32" ca="1">_FV(RTData[[#This Row],[Company Name]],"Volume")</f>
        <v>10104120</v>
      </c>
      <c r="Q32" s="23" cm="1">
        <f t="array" aca="1" ref="Q32" ca="1">_FV(RTData[[#This Row],[Company Name]],"Volume average",TRUE)</f>
        <v>8703205</v>
      </c>
      <c r="R32" s="19" cm="1">
        <f t="array" aca="1" ref="R32" ca="1">_FV(RTData[[#This Row],[Company Name]],"Beta")</f>
        <v>0.33300000000000002</v>
      </c>
      <c r="T32" t="s">
        <v>20</v>
      </c>
      <c r="U32" t="str" cm="1">
        <f t="array" aca="1" ref="U32" ca="1">_FV(RTData[[#This Row],[Company Name]],"Exchange abbreviation",TRUE)</f>
        <v>XNYS</v>
      </c>
      <c r="V32" s="24">
        <f ca="1">IFERROR(RTData[[#This Row],[Volume]]/RTData[[#This Row],[Volume average]],1)</f>
        <v>1.1609654144651309</v>
      </c>
      <c r="W32" s="24"/>
      <c r="X32" s="103">
        <f>[1]Sheet2!$E31</f>
        <v>73.224739999999997</v>
      </c>
      <c r="Y32" s="149">
        <f>[1]Sheet2!$F31</f>
        <v>45904</v>
      </c>
      <c r="Z32" s="149" t="str">
        <f>[1]Sheet2!$G31</f>
        <v>Oct 22, 2025</v>
      </c>
      <c r="AA32" s="150">
        <f>[1]Sheet2!$H31</f>
        <v>1.3099998999999999E-2</v>
      </c>
      <c r="AB32" s="151">
        <v>1E-4</v>
      </c>
      <c r="AC32" s="152">
        <v>3.0000000000000001E-3</v>
      </c>
      <c r="AD32" s="103">
        <v>59.51</v>
      </c>
      <c r="AE32" s="153">
        <f>_xlfn.LET(_xlpm.New1YT,RTData[[#This Row],[1YT]],        _xlpm.Old1YT,IF(ISNUMBER(RTData[[#This Row],[Old1YT]]),RTData[[#This Row],[Old1YT]],VALUE(LEFT(RTData[[#This Row],[Old1YT]],FIND("/",RTData[[#This Row],[Old1YT]],1)-1))),       IF(OR(RTData[[#This Row],[1YT]]=0,_xlpm.Old1YT=0),0,(_xlpm.New1YT-_xlpm.Old1YT)/_xlpm.Old1YT))</f>
        <v>0.23046109897496217</v>
      </c>
      <c r="AF32" s="153" t="str">
        <f>TEXT(RTData[[#This Row],[1YT]],"#,#0.00")&amp;" &lt; "&amp;RTData[[#This Row],[Old1YT]]</f>
        <v>73.22 &lt; 59.51</v>
      </c>
    </row>
    <row r="33" spans="1:33" x14ac:dyDescent="0.3">
      <c r="A33" s="15" t="str" cm="1">
        <f t="array" aca="1" ref="A33" ca="1">_xlfn.SINGLE(RTData[suffix])&amp;_FV(RTData[[#This Row],[Company Name]],"Ticker symbol",TRUE)</f>
        <v>NFLX</v>
      </c>
      <c r="B33" s="15">
        <f ca="1">D98</f>
        <v>0.84990651028386865</v>
      </c>
      <c r="C33" s="25" t="e" vm="31">
        <v>#VALUE!</v>
      </c>
      <c r="D33" s="17" t="str" cm="1">
        <f t="array" aca="1" ref="D33" ca="1">_FV(RTData[[#This Row],[Company Name]],"Currency")</f>
        <v>USD</v>
      </c>
      <c r="E33" s="18" cm="1">
        <f t="array" aca="1" ref="E33" ca="1">_FV(RTData[[#This Row],[Company Name]],"Last trade time",TRUE)</f>
        <v>45908.970593830469</v>
      </c>
      <c r="F33" s="19" cm="1">
        <f t="array" aca="1" ref="F33" ca="1">_FV(RTData[[#This Row],[Company Name]],"Previous close",TRUE)</f>
        <v>1243.82</v>
      </c>
      <c r="G33" s="19" cm="1">
        <f t="array" aca="1" ref="G33" ca="1">_FV(RTData[[#This Row],[Company Name]],"Open")</f>
        <v>1248.54</v>
      </c>
      <c r="H33" s="19" cm="1">
        <f t="array" aca="1" ref="H33" ca="1">_FV(RTData[[#This Row],[Company Name]],"Price")</f>
        <v>1244.76</v>
      </c>
      <c r="I33" s="19" cm="1">
        <f t="array" aca="1" ref="I33" ca="1">_FV(RTData[[#This Row],[Company Name]],"Low")</f>
        <v>1232</v>
      </c>
      <c r="J33" s="19" cm="1">
        <f t="array" aca="1" ref="J33" ca="1">_FV(RTData[[#This Row],[Company Name]],"High")</f>
        <v>1252.0405000000001</v>
      </c>
      <c r="K33" s="20" cm="1">
        <f t="array" aca="1" ref="K33" ca="1">IFERROR(_FV(RTData[[#This Row],[Company Name]],"P/E",TRUE),99)</f>
        <v>53.002299999999998</v>
      </c>
      <c r="L33" s="21" cm="1">
        <f t="array" aca="1" ref="L33" ca="1">_FV(RTData[[#This Row],[Company Name]],"Change")</f>
        <v>0.94</v>
      </c>
      <c r="M33" s="22" cm="1">
        <f t="array" aca="1" ref="M33" ca="1">_FV(RTData[[#This Row],[Company Name]],"Change (%)",TRUE)</f>
        <v>7.5569999999999999E-4</v>
      </c>
      <c r="N33" s="19" cm="1">
        <f t="array" aca="1" ref="N33" ca="1">_FV(RTData[[#This Row],[Company Name]],"52 week low",TRUE)</f>
        <v>660.8</v>
      </c>
      <c r="O33" s="19" cm="1">
        <f t="array" aca="1" ref="O33" ca="1">_FV(RTData[[#This Row],[Company Name]],"52 week high",TRUE)</f>
        <v>1341.15</v>
      </c>
      <c r="P33" s="23" cm="1">
        <f t="array" aca="1" ref="P33" ca="1">_FV(RTData[[#This Row],[Company Name]],"Volume")</f>
        <v>1914468</v>
      </c>
      <c r="Q33" s="23" cm="1">
        <f t="array" aca="1" ref="Q33" ca="1">_FV(RTData[[#This Row],[Company Name]],"Volume average",TRUE)</f>
        <v>2720222</v>
      </c>
      <c r="R33" s="19" cm="1">
        <f t="array" aca="1" ref="R33" ca="1">_FV(RTData[[#This Row],[Company Name]],"Beta")</f>
        <v>1.6045</v>
      </c>
      <c r="T33" t="s">
        <v>20</v>
      </c>
      <c r="U33" t="str" cm="1">
        <f t="array" aca="1" ref="U33" ca="1">_FV(RTData[[#This Row],[Company Name]],"Exchange abbreviation",TRUE)</f>
        <v>XNAS</v>
      </c>
      <c r="V33" s="24">
        <f ca="1">IFERROR(RTData[[#This Row],[Volume]]/RTData[[#This Row],[Volume average]],1)</f>
        <v>0.70379108763917064</v>
      </c>
      <c r="W33" s="24"/>
      <c r="X33" s="103">
        <f>[1]Sheet2!$E32</f>
        <v>1350.316</v>
      </c>
      <c r="Y33" s="149">
        <f>[1]Sheet2!$F32</f>
        <v>0</v>
      </c>
      <c r="Z33" s="149" t="str">
        <f>[1]Sheet2!$G32</f>
        <v>Oct 16, 2025</v>
      </c>
      <c r="AA33" s="150">
        <f>[1]Sheet2!$H32</f>
        <v>0</v>
      </c>
      <c r="AB33" s="151">
        <v>1E-4</v>
      </c>
      <c r="AC33" s="152">
        <v>3.0000000000000001E-3</v>
      </c>
      <c r="AD33" s="103">
        <v>764.34</v>
      </c>
      <c r="AE33" s="153">
        <f>_xlfn.LET(_xlpm.New1YT,RTData[[#This Row],[1YT]],        _xlpm.Old1YT,IF(ISNUMBER(RTData[[#This Row],[Old1YT]]),RTData[[#This Row],[Old1YT]],VALUE(LEFT(RTData[[#This Row],[Old1YT]],FIND("/",RTData[[#This Row],[Old1YT]],1)-1))),       IF(OR(RTData[[#This Row],[1YT]]=0,_xlpm.Old1YT=0),0,(_xlpm.New1YT-_xlpm.Old1YT)/_xlpm.Old1YT))</f>
        <v>0.76664311693748854</v>
      </c>
      <c r="AF33" s="153" t="str">
        <f>TEXT(RTData[[#This Row],[1YT]],"#,#0.00")&amp;" &lt; "&amp;RTData[[#This Row],[Old1YT]]</f>
        <v>1,350.32 &lt; 764.34</v>
      </c>
    </row>
    <row r="34" spans="1:33" x14ac:dyDescent="0.3">
      <c r="A34" s="41" t="str" cm="1">
        <f t="array" aca="1" ref="A34" ca="1">_xlfn.SINGLE(RTData[suffix])&amp;_FV(RTData[[#This Row],[Company Name]],"Ticker symbol",TRUE)</f>
        <v>NOTE</v>
      </c>
      <c r="B34" s="41">
        <f ca="1">D98</f>
        <v>0.84990651028386865</v>
      </c>
      <c r="C34" s="16" t="e" vm="32">
        <v>#VALUE!</v>
      </c>
      <c r="D34" s="17" t="str" cm="1">
        <f t="array" aca="1" ref="D34" ca="1">_FV(RTData[[#This Row],[Company Name]],"Currency")</f>
        <v>USD</v>
      </c>
      <c r="E34" s="18" cm="1">
        <f t="array" aca="1" ref="E34" ca="1">_FV(RTData[[#This Row],[Company Name]],"Last trade time",TRUE)</f>
        <v>45908.958333356248</v>
      </c>
      <c r="F34" s="19" cm="1">
        <f t="array" aca="1" ref="F34" ca="1">_FV(RTData[[#This Row],[Company Name]],"Previous close",TRUE)</f>
        <v>4.09</v>
      </c>
      <c r="G34" s="19" cm="1">
        <f t="array" aca="1" ref="G34" ca="1">_FV(RTData[[#This Row],[Company Name]],"Open")</f>
        <v>4.0599999999999996</v>
      </c>
      <c r="H34" s="19" cm="1">
        <f t="array" aca="1" ref="H34" ca="1">_FV(RTData[[#This Row],[Company Name]],"Price")</f>
        <v>4.45</v>
      </c>
      <c r="I34" s="19" cm="1">
        <f t="array" aca="1" ref="I34" ca="1">_FV(RTData[[#This Row],[Company Name]],"Low")</f>
        <v>4.05</v>
      </c>
      <c r="J34" s="19" cm="1">
        <f t="array" aca="1" ref="J34" ca="1">_FV(RTData[[#This Row],[Company Name]],"High")</f>
        <v>4.54</v>
      </c>
      <c r="K34" s="20" cm="1">
        <f t="array" ref="K34">IFERROR(_FV(RTData[[#This Row],[Company Name]],"P/E",TRUE),99)</f>
        <v>99</v>
      </c>
      <c r="L34" s="21" cm="1">
        <f t="array" aca="1" ref="L34" ca="1">_FV(RTData[[#This Row],[Company Name]],"Change")</f>
        <v>0.36</v>
      </c>
      <c r="M34" s="22" cm="1">
        <f t="array" aca="1" ref="M34" ca="1">_FV(RTData[[#This Row],[Company Name]],"Change (%)",TRUE)</f>
        <v>8.8020000000000001E-2</v>
      </c>
      <c r="N34" s="19" cm="1">
        <f t="array" aca="1" ref="N34" ca="1">_FV(RTData[[#This Row],[Company Name]],"52 week low",TRUE)</f>
        <v>3.8</v>
      </c>
      <c r="O34" s="19" cm="1">
        <f t="array" aca="1" ref="O34" ca="1">_FV(RTData[[#This Row],[Company Name]],"52 week high",TRUE)</f>
        <v>24.36</v>
      </c>
      <c r="P34" s="23" cm="1">
        <f t="array" aca="1" ref="P34" ca="1">_FV(RTData[[#This Row],[Company Name]],"Volume")</f>
        <v>353458</v>
      </c>
      <c r="Q34" s="23" cm="1">
        <f t="array" aca="1" ref="Q34" ca="1">_FV(RTData[[#This Row],[Company Name]],"Volume average",TRUE)</f>
        <v>270464</v>
      </c>
      <c r="R34" s="19" cm="1">
        <f t="array" aca="1" ref="R34" ca="1">_FV(RTData[[#This Row],[Company Name]],"Beta")</f>
        <v>0.57679999999999998</v>
      </c>
      <c r="T34" t="s">
        <v>20</v>
      </c>
      <c r="U34" t="str" cm="1">
        <f t="array" aca="1" ref="U34" ca="1">_FV(RTData[[#This Row],[Company Name]],"Exchange abbreviation",TRUE)</f>
        <v>XNYS</v>
      </c>
      <c r="V34" s="24">
        <f ca="1">IFERROR(RTData[[#This Row],[Volume]]/RTData[[#This Row],[Volume average]],1)</f>
        <v>1.3068578442972079</v>
      </c>
      <c r="W34" s="24"/>
      <c r="X34" s="103">
        <v>31.5</v>
      </c>
      <c r="Y34" s="149">
        <f>[1]Sheet2!$F33</f>
        <v>0</v>
      </c>
      <c r="Z34" s="149">
        <v>45876</v>
      </c>
      <c r="AA34" s="150">
        <f>[1]Sheet2!$H33</f>
        <v>0</v>
      </c>
      <c r="AB34" s="151">
        <v>1E-4</v>
      </c>
      <c r="AC34" s="152">
        <v>3.0000000000000001E-3</v>
      </c>
      <c r="AD34" s="103">
        <v>31.5</v>
      </c>
      <c r="AE34" s="153">
        <f>_xlfn.LET(_xlpm.New1YT,RTData[[#This Row],[1YT]],        _xlpm.Old1YT,IF(ISNUMBER(RTData[[#This Row],[Old1YT]]),RTData[[#This Row],[Old1YT]],VALUE(LEFT(RTData[[#This Row],[Old1YT]],FIND("/",RTData[[#This Row],[Old1YT]],1)-1))),       IF(OR(RTData[[#This Row],[1YT]]=0,_xlpm.Old1YT=0),0,(_xlpm.New1YT-_xlpm.Old1YT)/_xlpm.Old1YT))</f>
        <v>0</v>
      </c>
      <c r="AF34" s="153" t="str">
        <f>TEXT(RTData[[#This Row],[1YT]],"#,#0.00")&amp;" &lt; "&amp;RTData[[#This Row],[Old1YT]]</f>
        <v>31.50 &lt; 31.5</v>
      </c>
    </row>
    <row r="35" spans="1:33" x14ac:dyDescent="0.3">
      <c r="A35" s="15" t="str" cm="1">
        <f t="array" aca="1" ref="A35" ca="1">_xlfn.SINGLE(RTData[suffix])&amp;_FV(RTData[[#This Row],[Company Name]],"Ticker symbol",TRUE)</f>
        <v>PAAS</v>
      </c>
      <c r="B35" s="15">
        <f ca="1">D98</f>
        <v>0.84990651028386865</v>
      </c>
      <c r="C35" s="25" t="e" vm="33">
        <v>#VALUE!</v>
      </c>
      <c r="D35" s="17" t="str" cm="1">
        <f t="array" aca="1" ref="D35" ca="1">_FV(RTData[[#This Row],[Company Name]],"Currency")</f>
        <v>USD</v>
      </c>
      <c r="E35" s="18" cm="1">
        <f t="array" aca="1" ref="E35" ca="1">_FV(RTData[[#This Row],[Company Name]],"Last trade time",TRUE)</f>
        <v>45908.96946314766</v>
      </c>
      <c r="F35" s="19" cm="1">
        <f t="array" aca="1" ref="F35" ca="1">_FV(RTData[[#This Row],[Company Name]],"Previous close",TRUE)</f>
        <v>34.6</v>
      </c>
      <c r="G35" s="19" cm="1">
        <f t="array" aca="1" ref="G35" ca="1">_FV(RTData[[#This Row],[Company Name]],"Open")</f>
        <v>35.81</v>
      </c>
      <c r="H35" s="19" cm="1">
        <f t="array" aca="1" ref="H35" ca="1">_FV(RTData[[#This Row],[Company Name]],"Price")</f>
        <v>35.770000000000003</v>
      </c>
      <c r="I35" s="19" cm="1">
        <f t="array" aca="1" ref="I35" ca="1">_FV(RTData[[#This Row],[Company Name]],"Low")</f>
        <v>35.020000000000003</v>
      </c>
      <c r="J35" s="19" cm="1">
        <f t="array" aca="1" ref="J35" ca="1">_FV(RTData[[#This Row],[Company Name]],"High")</f>
        <v>36.14</v>
      </c>
      <c r="K35" s="20" cm="1">
        <f t="array" aca="1" ref="K35" ca="1">IFERROR(_FV(RTData[[#This Row],[Company Name]],"P/E",TRUE),99)</f>
        <v>24.835100000000001</v>
      </c>
      <c r="L35" s="21" cm="1">
        <f t="array" aca="1" ref="L35" ca="1">_FV(RTData[[#This Row],[Company Name]],"Change")</f>
        <v>1.17</v>
      </c>
      <c r="M35" s="22" cm="1">
        <f t="array" aca="1" ref="M35" ca="1">_FV(RTData[[#This Row],[Company Name]],"Change (%)",TRUE)</f>
        <v>3.3814999999999998E-2</v>
      </c>
      <c r="N35" s="19" cm="1">
        <f t="array" aca="1" ref="N35" ca="1">_FV(RTData[[#This Row],[Company Name]],"52 week low",TRUE)</f>
        <v>18.5</v>
      </c>
      <c r="O35" s="19" cm="1">
        <f t="array" aca="1" ref="O35" ca="1">_FV(RTData[[#This Row],[Company Name]],"52 week high",TRUE)</f>
        <v>36.14</v>
      </c>
      <c r="P35" s="23" cm="1">
        <f t="array" aca="1" ref="P35" ca="1">_FV(RTData[[#This Row],[Company Name]],"Volume")</f>
        <v>9241696</v>
      </c>
      <c r="Q35" s="23" cm="1">
        <f t="array" aca="1" ref="Q35" ca="1">_FV(RTData[[#This Row],[Company Name]],"Volume average",TRUE)</f>
        <v>5107695</v>
      </c>
      <c r="R35" s="19" cm="1">
        <f t="array" aca="1" ref="R35" ca="1">_FV(RTData[[#This Row],[Company Name]],"Beta")</f>
        <v>0.83379999999999999</v>
      </c>
      <c r="T35" t="s">
        <v>20</v>
      </c>
      <c r="U35" t="str" cm="1">
        <f t="array" aca="1" ref="U35" ca="1">_FV(RTData[[#This Row],[Company Name]],"Exchange abbreviation",TRUE)</f>
        <v>XNYS</v>
      </c>
      <c r="V35" s="24">
        <f ca="1">IFERROR(RTData[[#This Row],[Volume]]/RTData[[#This Row],[Volume average]],1)</f>
        <v>1.8093672390383528</v>
      </c>
      <c r="W35" s="24"/>
      <c r="X35" s="103">
        <f>[1]Sheet2!$E34</f>
        <v>37.375</v>
      </c>
      <c r="Y35" s="149">
        <f>[1]Sheet2!$F34</f>
        <v>45887</v>
      </c>
      <c r="Z35" s="149" t="str">
        <f>[1]Sheet2!$G34</f>
        <v>Aug 6, 2025</v>
      </c>
      <c r="AA35" s="150">
        <f>[1]Sheet2!$H34</f>
        <v>1.3899999999999999E-2</v>
      </c>
      <c r="AB35" s="151">
        <v>1E-4</v>
      </c>
      <c r="AC35" s="152">
        <v>3.0000000000000001E-3</v>
      </c>
      <c r="AD35" s="103">
        <v>36.49</v>
      </c>
      <c r="AE35" s="153">
        <f>_xlfn.LET(_xlpm.New1YT,RTData[[#This Row],[1YT]],        _xlpm.Old1YT,IF(ISNUMBER(RTData[[#This Row],[Old1YT]]),RTData[[#This Row],[Old1YT]],VALUE(LEFT(RTData[[#This Row],[Old1YT]],FIND("/",RTData[[#This Row],[Old1YT]],1)-1))),       IF(OR(RTData[[#This Row],[1YT]]=0,_xlpm.Old1YT=0),0,(_xlpm.New1YT-_xlpm.Old1YT)/_xlpm.Old1YT))</f>
        <v>2.4253220060290435E-2</v>
      </c>
      <c r="AF35" s="153" t="str">
        <f>TEXT(RTData[[#This Row],[1YT]],"#,#0.00")&amp;" &lt; "&amp;RTData[[#This Row],[Old1YT]]</f>
        <v>37.38 &lt; 36.49</v>
      </c>
    </row>
    <row r="36" spans="1:33" x14ac:dyDescent="0.3">
      <c r="A36" s="15" t="str" cm="1">
        <f t="array" aca="1" ref="A36" ca="1">_xlfn.SINGLE(RTData[suffix])&amp;_FV(RTData[[#This Row],[Company Name]],"Ticker symbol",TRUE)</f>
        <v>PROF</v>
      </c>
      <c r="B36" s="15">
        <f ca="1">D98</f>
        <v>0.84990651028386865</v>
      </c>
      <c r="C36" s="25" t="e" vm="34">
        <v>#VALUE!</v>
      </c>
      <c r="D36" s="17" t="str" cm="1">
        <f t="array" aca="1" ref="D36" ca="1">_FV(RTData[[#This Row],[Company Name]],"Currency")</f>
        <v>USD</v>
      </c>
      <c r="E36" s="18" cm="1">
        <f t="array" aca="1" ref="E36" ca="1">_FV(RTData[[#This Row],[Company Name]],"Last trade time",TRUE)</f>
        <v>45908.840323796096</v>
      </c>
      <c r="F36" s="19" cm="1">
        <f t="array" aca="1" ref="F36" ca="1">_FV(RTData[[#This Row],[Company Name]],"Previous close",TRUE)</f>
        <v>4.12</v>
      </c>
      <c r="G36" s="19" cm="1">
        <f t="array" aca="1" ref="G36" ca="1">_FV(RTData[[#This Row],[Company Name]],"Open")</f>
        <v>4.18</v>
      </c>
      <c r="H36" s="19" cm="1">
        <f t="array" aca="1" ref="H36" ca="1">_FV(RTData[[#This Row],[Company Name]],"Price")</f>
        <v>4.1100000000000003</v>
      </c>
      <c r="I36" s="19" cm="1">
        <f t="array" aca="1" ref="I36" ca="1">_FV(RTData[[#This Row],[Company Name]],"Low")</f>
        <v>4.0199999999999996</v>
      </c>
      <c r="J36" s="19" cm="1">
        <f t="array" aca="1" ref="J36" ca="1">_FV(RTData[[#This Row],[Company Name]],"High")</f>
        <v>4.2350000000000003</v>
      </c>
      <c r="K36" s="20" cm="1">
        <f t="array" aca="1" ref="K36" ca="1">IFERROR(_FV(RTData[[#This Row],[Company Name]],"P/E",TRUE),99)</f>
        <v>0</v>
      </c>
      <c r="L36" s="21" cm="1">
        <f t="array" aca="1" ref="L36" ca="1">_FV(RTData[[#This Row],[Company Name]],"Change")</f>
        <v>-0.01</v>
      </c>
      <c r="M36" s="22" cm="1">
        <f t="array" aca="1" ref="M36" ca="1">_FV(RTData[[#This Row],[Company Name]],"Change (%)",TRUE)</f>
        <v>-2.4269999999999999E-3</v>
      </c>
      <c r="N36" s="19" cm="1">
        <f t="array" aca="1" ref="N36" ca="1">_FV(RTData[[#This Row],[Company Name]],"52 week low",TRUE)</f>
        <v>3.895</v>
      </c>
      <c r="O36" s="19" cm="1">
        <f t="array" aca="1" ref="O36" ca="1">_FV(RTData[[#This Row],[Company Name]],"52 week high",TRUE)</f>
        <v>9.17</v>
      </c>
      <c r="P36" s="23" cm="1">
        <f t="array" aca="1" ref="P36" ca="1">_FV(RTData[[#This Row],[Company Name]],"Volume")</f>
        <v>86551</v>
      </c>
      <c r="Q36" s="23" cm="1">
        <f t="array" aca="1" ref="Q36" ca="1">_FV(RTData[[#This Row],[Company Name]],"Volume average",TRUE)</f>
        <v>137498</v>
      </c>
      <c r="R36" s="19" cm="1">
        <f t="array" aca="1" ref="R36" ca="1">_FV(RTData[[#This Row],[Company Name]],"Beta")</f>
        <v>0.31080000000000002</v>
      </c>
      <c r="T36" t="s">
        <v>20</v>
      </c>
      <c r="U36" t="str" cm="1">
        <f t="array" aca="1" ref="U36" ca="1">_FV(RTData[[#This Row],[Company Name]],"Exchange abbreviation",TRUE)</f>
        <v>XNAS</v>
      </c>
      <c r="V36" s="24">
        <f ca="1">IFERROR(RTData[[#This Row],[Volume]]/RTData[[#This Row],[Volume average]],1)</f>
        <v>0.62947097412326003</v>
      </c>
      <c r="W36" s="24"/>
      <c r="X36" s="103">
        <f>[1]Sheet2!$E35</f>
        <v>12.1</v>
      </c>
      <c r="Y36" s="149">
        <f>[1]Sheet2!$F35</f>
        <v>0</v>
      </c>
      <c r="Z36" s="149">
        <f>[1]Sheet2!$G35</f>
        <v>0</v>
      </c>
      <c r="AA36" s="150">
        <f>[1]Sheet2!$H35</f>
        <v>0</v>
      </c>
      <c r="AB36" s="151">
        <v>1E-4</v>
      </c>
      <c r="AC36" s="152">
        <v>3.0000000000000001E-3</v>
      </c>
      <c r="AD36" s="103">
        <v>15.17</v>
      </c>
      <c r="AE36" s="153">
        <f>_xlfn.LET(_xlpm.New1YT,RTData[[#This Row],[1YT]],        _xlpm.Old1YT,IF(ISNUMBER(RTData[[#This Row],[Old1YT]]),RTData[[#This Row],[Old1YT]],VALUE(LEFT(RTData[[#This Row],[Old1YT]],FIND("/",RTData[[#This Row],[Old1YT]],1)-1))),       IF(OR(RTData[[#This Row],[1YT]]=0,_xlpm.Old1YT=0),0,(_xlpm.New1YT-_xlpm.Old1YT)/_xlpm.Old1YT))</f>
        <v>-0.20237310481212922</v>
      </c>
      <c r="AF36" s="153" t="str">
        <f>TEXT(RTData[[#This Row],[1YT]],"#,#0.00")&amp;" &lt; "&amp;RTData[[#This Row],[Old1YT]]</f>
        <v>12.10 &lt; 15.17</v>
      </c>
    </row>
    <row r="37" spans="1:33" x14ac:dyDescent="0.3">
      <c r="A37" s="15" t="str" cm="1">
        <f t="array" aca="1" ref="A37" ca="1">_xlfn.SINGLE(RTData[suffix])&amp;_FV(RTData[[#This Row],[Company Name]],"Ticker symbol",TRUE)</f>
        <v>POET</v>
      </c>
      <c r="B37" s="15">
        <f ca="1">D102</f>
        <v>0.61591525006159153</v>
      </c>
      <c r="C37" s="113" t="e" vm="35">
        <v>#VALUE!</v>
      </c>
      <c r="D37" s="17" t="str" cm="1">
        <f t="array" aca="1" ref="D37" ca="1">_FV(RTData[[#This Row],[Company Name]],"Currency")</f>
        <v>USD</v>
      </c>
      <c r="E37" s="18" cm="1">
        <f t="array" aca="1" ref="E37" ca="1">_FV(RTData[[#This Row],[Company Name]],"Last trade time",TRUE)</f>
        <v>45908.968776376561</v>
      </c>
      <c r="F37" s="37" cm="1">
        <f t="array" aca="1" ref="F37" ca="1">_FV(RTData[[#This Row],[Company Name]],"Previous close",TRUE)</f>
        <v>5.28</v>
      </c>
      <c r="G37" s="37" cm="1">
        <f t="array" aca="1" ref="G37" ca="1">_FV(RTData[[#This Row],[Company Name]],"Open")</f>
        <v>5.32</v>
      </c>
      <c r="H37" s="37" cm="1">
        <f t="array" aca="1" ref="H37" ca="1">_FV(RTData[[#This Row],[Company Name]],"Price")</f>
        <v>5.35</v>
      </c>
      <c r="I37" s="37" cm="1">
        <f t="array" aca="1" ref="I37" ca="1">_FV(RTData[[#This Row],[Company Name]],"Low")</f>
        <v>5.2813999999999997</v>
      </c>
      <c r="J37" s="37" cm="1">
        <f t="array" aca="1" ref="J37" ca="1">_FV(RTData[[#This Row],[Company Name]],"High")</f>
        <v>5.46</v>
      </c>
      <c r="K37" s="20" cm="1">
        <f t="array" aca="1" ref="K37" ca="1">IFERROR(_FV(RTData[[#This Row],[Company Name]],"P/E",TRUE),99)</f>
        <v>0</v>
      </c>
      <c r="L37" s="21" cm="1">
        <f t="array" aca="1" ref="L37" ca="1">_FV(RTData[[#This Row],[Company Name]],"Change")</f>
        <v>7.0000000000000007E-2</v>
      </c>
      <c r="M37" s="22" cm="1">
        <f t="array" aca="1" ref="M37" ca="1">_FV(RTData[[#This Row],[Company Name]],"Change (%)",TRUE)</f>
        <v>1.3258000000000001E-2</v>
      </c>
      <c r="N37" s="37" cm="1">
        <f t="array" aca="1" ref="N37" ca="1">_FV(RTData[[#This Row],[Company Name]],"52 week low",TRUE)</f>
        <v>2.7501000000000002</v>
      </c>
      <c r="O37" s="37" cm="1">
        <f t="array" aca="1" ref="O37" ca="1">_FV(RTData[[#This Row],[Company Name]],"52 week high",TRUE)</f>
        <v>7.79</v>
      </c>
      <c r="P37" s="23" cm="1">
        <f t="array" aca="1" ref="P37" ca="1">_FV(RTData[[#This Row],[Company Name]],"Volume")</f>
        <v>917646</v>
      </c>
      <c r="Q37" s="23" cm="1">
        <f t="array" aca="1" ref="Q37" ca="1">_FV(RTData[[#This Row],[Company Name]],"Volume average",TRUE)</f>
        <v>1370149</v>
      </c>
      <c r="R37" s="19" cm="1">
        <f t="array" aca="1" ref="R37" ca="1">_FV(RTData[[#This Row],[Company Name]],"Beta")</f>
        <v>0.38179999999999997</v>
      </c>
      <c r="T37" t="s">
        <v>20</v>
      </c>
      <c r="U37" t="str" cm="1">
        <f t="array" aca="1" ref="U37" ca="1">_FV(RTData[[#This Row],[Company Name]],"Exchange abbreviation",TRUE)</f>
        <v>XNAS</v>
      </c>
      <c r="V37" s="24">
        <f ca="1">IFERROR(RTData[[#This Row],[Volume]]/RTData[[#This Row],[Volume average]],1)</f>
        <v>0.66974175801317959</v>
      </c>
      <c r="W37" s="24"/>
      <c r="X37" s="103">
        <f>[1]Sheet2!$E36</f>
        <v>6.6333299999999999</v>
      </c>
      <c r="Y37" s="149">
        <f>[1]Sheet2!$F36</f>
        <v>0</v>
      </c>
      <c r="Z37" s="149" t="str">
        <f>[1]Sheet2!$G36</f>
        <v>Aug 14, 2025</v>
      </c>
      <c r="AA37" s="150">
        <f>[1]Sheet2!$H36</f>
        <v>0</v>
      </c>
      <c r="AB37" s="151">
        <v>1E-4</v>
      </c>
      <c r="AC37" s="152">
        <v>3.0000000000000001E-3</v>
      </c>
      <c r="AD37" s="103">
        <v>4.3</v>
      </c>
      <c r="AE37" s="153">
        <f>_xlfn.LET(_xlpm.New1YT,RTData[[#This Row],[1YT]],        _xlpm.Old1YT,IF(ISNUMBER(RTData[[#This Row],[Old1YT]]),RTData[[#This Row],[Old1YT]],VALUE(LEFT(RTData[[#This Row],[Old1YT]],FIND("/",RTData[[#This Row],[Old1YT]],1)-1))),       IF(OR(RTData[[#This Row],[1YT]]=0,_xlpm.Old1YT=0),0,(_xlpm.New1YT-_xlpm.Old1YT)/_xlpm.Old1YT))</f>
        <v>0.54263488372093027</v>
      </c>
      <c r="AF37" s="153" t="str">
        <f>TEXT(RTData[[#This Row],[1YT]],"#,#0.00")&amp;" &lt; "&amp;RTData[[#This Row],[Old1YT]]</f>
        <v>6.63 &lt; 4.3</v>
      </c>
    </row>
    <row r="38" spans="1:33" x14ac:dyDescent="0.3">
      <c r="A38" s="15" t="str" cm="1">
        <f t="array" aca="1" ref="A38" ca="1">_xlfn.SINGLE(RTData[suffix])&amp;_FV(RTData[[#This Row],[Company Name]],"Ticker symbol",TRUE)</f>
        <v>PW</v>
      </c>
      <c r="B38" s="15">
        <f ca="1">D98</f>
        <v>0.84990651028386865</v>
      </c>
      <c r="C38" s="25" t="e" vm="36">
        <v>#VALUE!</v>
      </c>
      <c r="D38" s="17" t="str" cm="1">
        <f t="array" aca="1" ref="D38" ca="1">_FV(RTData[[#This Row],[Company Name]],"Currency")</f>
        <v>USD</v>
      </c>
      <c r="E38" s="18" cm="1">
        <f t="array" aca="1" ref="E38" ca="1">_FV(RTData[[#This Row],[Company Name]],"Last trade time",TRUE)</f>
        <v>45908.970198529685</v>
      </c>
      <c r="F38" s="19" cm="1">
        <f t="array" aca="1" ref="F38" ca="1">_FV(RTData[[#This Row],[Company Name]],"Previous close",TRUE)</f>
        <v>1</v>
      </c>
      <c r="G38" s="19" cm="1">
        <f t="array" aca="1" ref="G38" ca="1">_FV(RTData[[#This Row],[Company Name]],"Open")</f>
        <v>1</v>
      </c>
      <c r="H38" s="19" cm="1">
        <f t="array" aca="1" ref="H38" ca="1">_FV(RTData[[#This Row],[Company Name]],"Price")</f>
        <v>0.96930000000000005</v>
      </c>
      <c r="I38" s="19" cm="1">
        <f t="array" aca="1" ref="I38" ca="1">_FV(RTData[[#This Row],[Company Name]],"Low")</f>
        <v>0.96</v>
      </c>
      <c r="J38" s="19" cm="1">
        <f t="array" aca="1" ref="J38" ca="1">_FV(RTData[[#This Row],[Company Name]],"High")</f>
        <v>1.0101</v>
      </c>
      <c r="K38" s="20" cm="1">
        <f t="array" aca="1" ref="K38" ca="1">IFERROR(_FV(RTData[[#This Row],[Company Name]],"P/E",TRUE),99)</f>
        <v>0</v>
      </c>
      <c r="L38" s="21" cm="1">
        <f t="array" aca="1" ref="L38" ca="1">_FV(RTData[[#This Row],[Company Name]],"Change")</f>
        <v>-3.0700000000000002E-2</v>
      </c>
      <c r="M38" s="22" cm="1">
        <f t="array" aca="1" ref="M38" ca="1">_FV(RTData[[#This Row],[Company Name]],"Change (%)",TRUE)</f>
        <v>-3.0699999999999998E-2</v>
      </c>
      <c r="N38" s="19" cm="1">
        <f t="array" aca="1" ref="N38" ca="1">_FV(RTData[[#This Row],[Company Name]],"52 week low",TRUE)</f>
        <v>0.63</v>
      </c>
      <c r="O38" s="19" cm="1">
        <f t="array" aca="1" ref="O38" ca="1">_FV(RTData[[#This Row],[Company Name]],"52 week high",TRUE)</f>
        <v>2.75</v>
      </c>
      <c r="P38" s="23" cm="1">
        <f t="array" aca="1" ref="P38" ca="1">_FV(RTData[[#This Row],[Company Name]],"Volume")</f>
        <v>40955</v>
      </c>
      <c r="Q38" s="23" cm="1">
        <f t="array" aca="1" ref="Q38" ca="1">_FV(RTData[[#This Row],[Company Name]],"Volume average",TRUE)</f>
        <v>156169</v>
      </c>
      <c r="R38" s="19" cm="1">
        <f t="array" aca="1" ref="R38" ca="1">_FV(RTData[[#This Row],[Company Name]],"Beta")</f>
        <v>1.5354000000000001</v>
      </c>
      <c r="T38" t="s">
        <v>20</v>
      </c>
      <c r="U38" t="str" cm="1">
        <f t="array" aca="1" ref="U38" ca="1">_FV(RTData[[#This Row],[Company Name]],"Exchange abbreviation",TRUE)</f>
        <v>XNYS</v>
      </c>
      <c r="V38" s="24">
        <f ca="1">IFERROR(RTData[[#This Row],[Volume]]/RTData[[#This Row],[Volume average]],1)</f>
        <v>0.26224794933693629</v>
      </c>
      <c r="W38" s="24"/>
      <c r="X38" s="103">
        <f>[1]Sheet2!$E37</f>
        <v>0</v>
      </c>
      <c r="Y38" s="149">
        <f>[1]Sheet2!$F37</f>
        <v>41284</v>
      </c>
      <c r="Z38" s="149">
        <f>[1]Sheet2!$G37</f>
        <v>0</v>
      </c>
      <c r="AA38" s="150">
        <f>[1]Sheet2!$H37</f>
        <v>0</v>
      </c>
      <c r="AB38" s="151">
        <v>1E-4</v>
      </c>
      <c r="AC38" s="152">
        <v>3.0000000000000001E-3</v>
      </c>
      <c r="AD38" s="103">
        <v>0.56000000000000005</v>
      </c>
      <c r="AE38" s="153">
        <f>_xlfn.LET(_xlpm.New1YT,RTData[[#This Row],[1YT]],        _xlpm.Old1YT,IF(ISNUMBER(RTData[[#This Row],[Old1YT]]),RTData[[#This Row],[Old1YT]],VALUE(LEFT(RTData[[#This Row],[Old1YT]],FIND("/",RTData[[#This Row],[Old1YT]],1)-1))),       IF(OR(RTData[[#This Row],[1YT]]=0,_xlpm.Old1YT=0),0,(_xlpm.New1YT-_xlpm.Old1YT)/_xlpm.Old1YT))</f>
        <v>0</v>
      </c>
      <c r="AF38" s="153" t="str">
        <f>TEXT(RTData[[#This Row],[1YT]],"#,#0.00")&amp;" &lt; "&amp;RTData[[#This Row],[Old1YT]]</f>
        <v>0.00 &lt; 0.56</v>
      </c>
    </row>
    <row r="39" spans="1:33" x14ac:dyDescent="0.3">
      <c r="A39" s="15" t="str" cm="1">
        <f t="array" aca="1" ref="A39" ca="1">_xlfn.SINGLE(RTData[suffix])&amp;_FV(RTData[[#This Row],[Company Name]],"Ticker symbol",TRUE)</f>
        <v>RIGL</v>
      </c>
      <c r="B39" s="15">
        <f ca="1">D98</f>
        <v>0.84990651028386865</v>
      </c>
      <c r="C39" s="25" t="e" vm="37">
        <v>#VALUE!</v>
      </c>
      <c r="D39" s="17" t="str" cm="1">
        <f t="array" aca="1" ref="D39" ca="1">_FV(RTData[[#This Row],[Company Name]],"Currency")</f>
        <v>USD</v>
      </c>
      <c r="E39" s="18" cm="1">
        <f t="array" aca="1" ref="E39" ca="1">_FV(RTData[[#This Row],[Company Name]],"Last trade time",TRUE)</f>
        <v>45908.95455002266</v>
      </c>
      <c r="F39" s="19" cm="1">
        <f t="array" aca="1" ref="F39" ca="1">_FV(RTData[[#This Row],[Company Name]],"Previous close",TRUE)</f>
        <v>41.34</v>
      </c>
      <c r="G39" s="19" cm="1">
        <f t="array" aca="1" ref="G39" ca="1">_FV(RTData[[#This Row],[Company Name]],"Open")</f>
        <v>41.5</v>
      </c>
      <c r="H39" s="19" cm="1">
        <f t="array" aca="1" ref="H39" ca="1">_FV(RTData[[#This Row],[Company Name]],"Price")</f>
        <v>40.869999999999997</v>
      </c>
      <c r="I39" s="19" cm="1">
        <f t="array" aca="1" ref="I39" ca="1">_FV(RTData[[#This Row],[Company Name]],"Low")</f>
        <v>40.67</v>
      </c>
      <c r="J39" s="19" cm="1">
        <f t="array" aca="1" ref="J39" ca="1">_FV(RTData[[#This Row],[Company Name]],"High")</f>
        <v>42.65</v>
      </c>
      <c r="K39" s="20" cm="1">
        <f t="array" aca="1" ref="K39" ca="1">IFERROR(_FV(RTData[[#This Row],[Company Name]],"P/E",TRUE),99)</f>
        <v>7.5476000000000001</v>
      </c>
      <c r="L39" s="21" cm="1">
        <f t="array" aca="1" ref="L39" ca="1">_FV(RTData[[#This Row],[Company Name]],"Change")</f>
        <v>-0.47</v>
      </c>
      <c r="M39" s="22" cm="1">
        <f t="array" aca="1" ref="M39" ca="1">_FV(RTData[[#This Row],[Company Name]],"Change (%)",TRUE)</f>
        <v>-1.1369000000000001E-2</v>
      </c>
      <c r="N39" s="19" cm="1">
        <f t="array" aca="1" ref="N39" ca="1">_FV(RTData[[#This Row],[Company Name]],"52 week low",TRUE)</f>
        <v>12.66</v>
      </c>
      <c r="O39" s="19" cm="1">
        <f t="array" aca="1" ref="O39" ca="1">_FV(RTData[[#This Row],[Company Name]],"52 week high",TRUE)</f>
        <v>43.7181</v>
      </c>
      <c r="P39" s="23" cm="1">
        <f t="array" aca="1" ref="P39" ca="1">_FV(RTData[[#This Row],[Company Name]],"Volume")</f>
        <v>841428</v>
      </c>
      <c r="Q39" s="23" cm="1">
        <f t="array" aca="1" ref="Q39" ca="1">_FV(RTData[[#This Row],[Company Name]],"Volume average",TRUE)</f>
        <v>894035</v>
      </c>
      <c r="R39" s="19" cm="1">
        <f t="array" aca="1" ref="R39" ca="1">_FV(RTData[[#This Row],[Company Name]],"Beta")</f>
        <v>1.2593000000000001</v>
      </c>
      <c r="T39" t="s">
        <v>20</v>
      </c>
      <c r="U39" t="str" cm="1">
        <f t="array" aca="1" ref="U39" ca="1">_FV(RTData[[#This Row],[Company Name]],"Exchange abbreviation",TRUE)</f>
        <v>XNAS</v>
      </c>
      <c r="V39" s="24">
        <f ca="1">IFERROR(RTData[[#This Row],[Volume]]/RTData[[#This Row],[Volume average]],1)</f>
        <v>0.94115778465048905</v>
      </c>
      <c r="W39" s="24"/>
      <c r="X39" s="103">
        <v>38.33</v>
      </c>
      <c r="Y39" s="149">
        <f>[1]Sheet2!$F38</f>
        <v>0</v>
      </c>
      <c r="Z39" s="149" t="str">
        <f>[1]Sheet2!$G38</f>
        <v>Nov 6, 2025</v>
      </c>
      <c r="AA39" s="150">
        <f>[1]Sheet2!$H38</f>
        <v>0</v>
      </c>
      <c r="AB39" s="151">
        <v>1E-4</v>
      </c>
      <c r="AC39" s="152">
        <v>3.0000000000000001E-3</v>
      </c>
      <c r="AD39" s="103" t="s">
        <v>106</v>
      </c>
      <c r="AE39" s="153">
        <f>_xlfn.LET(_xlpm.New1YT,RTData[[#This Row],[1YT]],        _xlpm.Old1YT,IF(ISNUMBER(RTData[[#This Row],[Old1YT]]),RTData[[#This Row],[Old1YT]],VALUE(LEFT(RTData[[#This Row],[Old1YT]],FIND("/",RTData[[#This Row],[Old1YT]],1)-1))),       IF(OR(RTData[[#This Row],[1YT]]=0,_xlpm.Old1YT=0),0,(_xlpm.New1YT-_xlpm.Old1YT)/_xlpm.Old1YT))</f>
        <v>0.13604030823947824</v>
      </c>
      <c r="AF39" s="153"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45908.907222222224</v>
      </c>
      <c r="F40" s="29" cm="1">
        <f t="array" aca="1" ref="F40" ca="1">_FV(RTData[[#This Row],[Company Name]],"Previous close",TRUE)</f>
        <v>35.020000000000003</v>
      </c>
      <c r="G40" s="29" cm="1">
        <f t="array" aca="1" ref="G40" ca="1">_FV(RTData[[#This Row],[Company Name]],"Open")</f>
        <v>35.53</v>
      </c>
      <c r="H40" s="29" cm="1">
        <f t="array" aca="1" ref="H40" ca="1">_FV(RTData[[#This Row],[Company Name]],"Price")</f>
        <v>35.82</v>
      </c>
      <c r="I40" s="29" cm="1">
        <f t="array" aca="1" ref="I40" ca="1">_FV(RTData[[#This Row],[Company Name]],"Low")</f>
        <v>35.340000000000003</v>
      </c>
      <c r="J40" s="29" cm="1">
        <f t="array" aca="1" ref="J40" ca="1">_FV(RTData[[#This Row],[Company Name]],"High")</f>
        <v>35.93</v>
      </c>
      <c r="K40" s="20" cm="1">
        <f t="array" aca="1" ref="K40" ca="1">IFERROR(_FV(RTData[[#This Row],[Company Name]],"P/E",TRUE),99)</f>
        <v>10.0223</v>
      </c>
      <c r="L40" s="21" cm="1">
        <f t="array" aca="1" ref="L40" ca="1">_FV(RTData[[#This Row],[Company Name]],"Change")</f>
        <v>0.8</v>
      </c>
      <c r="M40" s="22" cm="1">
        <f t="array" aca="1" ref="M40" ca="1">_FV(RTData[[#This Row],[Company Name]],"Change (%)",TRUE)</f>
        <v>2.2844000000000003E-2</v>
      </c>
      <c r="N40" s="29" cm="1">
        <f t="array" aca="1" ref="N40" ca="1">_FV(RTData[[#This Row],[Company Name]],"52 week low",TRUE)</f>
        <v>27.76</v>
      </c>
      <c r="O40" s="29" cm="1">
        <f t="array" aca="1" ref="O40" ca="1">_FV(RTData[[#This Row],[Company Name]],"52 week high",TRUE)</f>
        <v>37.78</v>
      </c>
      <c r="P40" s="23" cm="1">
        <f t="array" aca="1" ref="P40" ca="1">_FV(RTData[[#This Row],[Company Name]],"Volume")</f>
        <v>2035799</v>
      </c>
      <c r="Q40" s="23" cm="1">
        <f t="array" aca="1" ref="Q40" ca="1">_FV(RTData[[#This Row],[Company Name]],"Volume average",TRUE)</f>
        <v>1284620</v>
      </c>
      <c r="R40" s="19" cm="1">
        <f t="array" aca="1" ref="R40" ca="1">_FV(RTData[[#This Row],[Company Name]],"Beta")</f>
        <v>0.48559999999999998</v>
      </c>
      <c r="T40" t="s">
        <v>20</v>
      </c>
      <c r="U40" t="str" cm="1">
        <f t="array" aca="1" ref="U40" ca="1">_FV(RTData[[#This Row],[Company Name]],"Exchange abbreviation",TRUE)</f>
        <v>XETR</v>
      </c>
      <c r="V40" s="24">
        <f ca="1">IFERROR(RTData[[#This Row],[Volume]]/RTData[[#This Row],[Volume average]],1)</f>
        <v>1.5847480188693932</v>
      </c>
      <c r="W40" s="24"/>
      <c r="X40" s="103">
        <f>[1]Sheet2!$E39</f>
        <v>42.911110000000001</v>
      </c>
      <c r="Y40" s="149">
        <f>[1]Sheet2!$F39</f>
        <v>45779</v>
      </c>
      <c r="Z40" s="149">
        <f>[1]Sheet2!$G39</f>
        <v>0</v>
      </c>
      <c r="AA40" s="150">
        <f>[1]Sheet2!$H39</f>
        <v>3.1400003000000003E-2</v>
      </c>
      <c r="AB40" s="151"/>
      <c r="AC40" s="152">
        <v>3.0000000000000001E-3</v>
      </c>
      <c r="AD40" s="103">
        <v>44.4</v>
      </c>
      <c r="AE40" s="153">
        <f>_xlfn.LET(_xlpm.New1YT,RTData[[#This Row],[1YT]],        _xlpm.Old1YT,IF(ISNUMBER(RTData[[#This Row],[Old1YT]]),RTData[[#This Row],[Old1YT]],VALUE(LEFT(RTData[[#This Row],[Old1YT]],FIND("/",RTData[[#This Row],[Old1YT]],1)-1))),       IF(OR(RTData[[#This Row],[1YT]]=0,_xlpm.Old1YT=0),0,(_xlpm.New1YT-_xlpm.Old1YT)/_xlpm.Old1YT))</f>
        <v>-3.353355855855851E-2</v>
      </c>
      <c r="AF40" s="153" t="str">
        <f>TEXT(RTData[[#This Row],[1YT]],"#,#0.00")&amp;" &lt; "&amp;RTData[[#This Row],[Old1YT]]</f>
        <v>42.91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45908.907222222224</v>
      </c>
      <c r="F41" s="29" cm="1">
        <f t="array" aca="1" ref="F41" ca="1">_FV(RTData[[#This Row],[Company Name]],"Previous close",TRUE)</f>
        <v>228.25</v>
      </c>
      <c r="G41" s="29" cm="1">
        <f t="array" aca="1" ref="G41" ca="1">_FV(RTData[[#This Row],[Company Name]],"Open")</f>
        <v>229.45</v>
      </c>
      <c r="H41" s="29" cm="1">
        <f t="array" aca="1" ref="H41" ca="1">_FV(RTData[[#This Row],[Company Name]],"Price")</f>
        <v>230.45</v>
      </c>
      <c r="I41" s="29" cm="1">
        <f t="array" aca="1" ref="I41" ca="1">_FV(RTData[[#This Row],[Company Name]],"Low")</f>
        <v>228.2</v>
      </c>
      <c r="J41" s="29" cm="1">
        <f t="array" aca="1" ref="J41" ca="1">_FV(RTData[[#This Row],[Company Name]],"High")</f>
        <v>231.45</v>
      </c>
      <c r="K41" s="20" cm="1">
        <f t="array" aca="1" ref="K41" ca="1">IFERROR(_FV(RTData[[#This Row],[Company Name]],"P/E",TRUE),99)</f>
        <v>40.753100000000003</v>
      </c>
      <c r="L41" s="21" cm="1">
        <f t="array" aca="1" ref="L41" ca="1">_FV(RTData[[#This Row],[Company Name]],"Change")</f>
        <v>2.2000000000000002</v>
      </c>
      <c r="M41" s="22" cm="1">
        <f t="array" aca="1" ref="M41" ca="1">_FV(RTData[[#This Row],[Company Name]],"Change (%)",TRUE)</f>
        <v>9.639E-3</v>
      </c>
      <c r="N41" s="29" cm="1">
        <f t="array" aca="1" ref="N41" ca="1">_FV(RTData[[#This Row],[Company Name]],"52 week low",TRUE)</f>
        <v>191.54</v>
      </c>
      <c r="O41" s="29" cm="1">
        <f t="array" aca="1" ref="O41" ca="1">_FV(RTData[[#This Row],[Company Name]],"52 week high",TRUE)</f>
        <v>283.5</v>
      </c>
      <c r="P41" s="23" cm="1">
        <f t="array" aca="1" ref="P41" ca="1">_FV(RTData[[#This Row],[Company Name]],"Volume")</f>
        <v>1277894</v>
      </c>
      <c r="Q41" s="23" cm="1">
        <f t="array" aca="1" ref="Q41" ca="1">_FV(RTData[[#This Row],[Company Name]],"Volume average",TRUE)</f>
        <v>1127920</v>
      </c>
      <c r="R41" s="29" cm="1">
        <f t="array" aca="1" ref="R41" ca="1">_FV(RTData[[#This Row],[Company Name]],"Beta")</f>
        <v>1.1692</v>
      </c>
      <c r="T41" t="s">
        <v>20</v>
      </c>
      <c r="U41" t="str" cm="1">
        <f t="array" aca="1" ref="U41" ca="1">_FV(RTData[[#This Row],[Company Name]],"Exchange abbreviation",TRUE)</f>
        <v>XETR</v>
      </c>
      <c r="V41" s="24">
        <f ca="1">IFERROR(RTData[[#This Row],[Volume]]/RTData[[#This Row],[Volume average]],1)</f>
        <v>1.1329651039080786</v>
      </c>
      <c r="W41" s="24"/>
      <c r="X41" s="103">
        <f>[1]Sheet2!$E40</f>
        <v>291.91037</v>
      </c>
      <c r="Y41" s="149">
        <f>[1]Sheet2!$F40</f>
        <v>45791</v>
      </c>
      <c r="Z41" s="149">
        <f>[1]Sheet2!$G40</f>
        <v>0</v>
      </c>
      <c r="AA41" s="150">
        <f>[1]Sheet2!$H40</f>
        <v>1.0299999000000001E-2</v>
      </c>
      <c r="AB41" s="151"/>
      <c r="AC41" s="152">
        <v>3.0000000000000001E-3</v>
      </c>
      <c r="AD41" s="103" t="s">
        <v>90</v>
      </c>
      <c r="AE41" s="153">
        <f>_xlfn.LET(_xlpm.New1YT,RTData[[#This Row],[1YT]],        _xlpm.Old1YT,IF(ISNUMBER(RTData[[#This Row],[Old1YT]]),RTData[[#This Row],[Old1YT]],VALUE(LEFT(RTData[[#This Row],[Old1YT]],FIND("/",RTData[[#This Row],[Old1YT]],1)-1))),       IF(OR(RTData[[#This Row],[1YT]]=0,_xlpm.Old1YT=0),0,(_xlpm.New1YT-_xlpm.Old1YT)/_xlpm.Old1YT))</f>
        <v>-0.11897392327890619</v>
      </c>
      <c r="AF41" s="153" t="str">
        <f>TEXT(RTData[[#This Row],[1YT]],"#,#0.00")&amp;" &lt; "&amp;RTData[[#This Row],[Old1YT]]</f>
        <v>291.91 &lt; 331.33/312.72</v>
      </c>
    </row>
    <row r="42" spans="1:33" x14ac:dyDescent="0.3">
      <c r="A42" s="15" t="str" cm="1">
        <f t="array" aca="1" ref="A42" ca="1">_xlfn.SINGLE(RTData[suffix])&amp;_FV(RTData[[#This Row],[Company Name]],"Ticker symbol",TRUE)</f>
        <v>SHECY</v>
      </c>
      <c r="B42" s="15">
        <f ca="1">D98</f>
        <v>0.84990651028386865</v>
      </c>
      <c r="C42" s="25" t="e" vm="40">
        <v>#VALUE!</v>
      </c>
      <c r="D42" s="17" t="str" cm="1">
        <f t="array" aca="1" ref="D42" ca="1">_FV(RTData[[#This Row],[Company Name]],"Currency")</f>
        <v>USD</v>
      </c>
      <c r="E42" s="18" cm="1">
        <f t="array" aca="1" ref="E42" ca="1">_FV(RTData[[#This Row],[Company Name]],"Last trade time",TRUE)</f>
        <v>45908.888888888891</v>
      </c>
      <c r="F42" s="19" cm="1">
        <f t="array" aca="1" ref="F42" ca="1">_FV(RTData[[#This Row],[Company Name]],"Previous close",TRUE)</f>
        <v>14.83</v>
      </c>
      <c r="G42" s="19" cm="1">
        <f t="array" aca="1" ref="G42" ca="1">_FV(RTData[[#This Row],[Company Name]],"Open")</f>
        <v>14.945</v>
      </c>
      <c r="H42" s="19" cm="1">
        <f t="array" aca="1" ref="H42" ca="1">_FV(RTData[[#This Row],[Company Name]],"Price")</f>
        <v>15.11</v>
      </c>
      <c r="I42" s="19" cm="1">
        <f t="array" aca="1" ref="I42" ca="1">_FV(RTData[[#This Row],[Company Name]],"Low")</f>
        <v>14.945</v>
      </c>
      <c r="J42" s="19" cm="1">
        <f t="array" aca="1" ref="J42" ca="1">_FV(RTData[[#This Row],[Company Name]],"High")</f>
        <v>15.15</v>
      </c>
      <c r="K42" s="20" cm="1">
        <f t="array" aca="1" ref="K42" ca="1">IFERROR(_FV(RTData[[#This Row],[Company Name]],"P/E",TRUE),99)</f>
        <v>0</v>
      </c>
      <c r="L42" s="21" cm="1">
        <f t="array" aca="1" ref="L42" ca="1">_FV(RTData[[#This Row],[Company Name]],"Change")</f>
        <v>0.28000000000000003</v>
      </c>
      <c r="M42" s="22" cm="1">
        <f t="array" aca="1" ref="M42" ca="1">_FV(RTData[[#This Row],[Company Name]],"Change (%)",TRUE)</f>
        <v>1.8880999999999998E-2</v>
      </c>
      <c r="N42" s="19" cm="1">
        <f t="array" aca="1" ref="N42" ca="1">_FV(RTData[[#This Row],[Company Name]],"52 week low",TRUE)</f>
        <v>11.88</v>
      </c>
      <c r="O42" s="19" cm="1">
        <f t="array" aca="1" ref="O42" ca="1">_FV(RTData[[#This Row],[Company Name]],"52 week high",TRUE)</f>
        <v>21.74</v>
      </c>
      <c r="P42" s="23" cm="1">
        <f t="array" aca="1" ref="P42" ca="1">_FV(RTData[[#This Row],[Company Name]],"Volume")</f>
        <v>454474</v>
      </c>
      <c r="Q42" s="23" cm="1">
        <f t="array" aca="1" ref="Q42" ca="1">_FV(RTData[[#This Row],[Company Name]],"Volume average",TRUE)</f>
        <v>6904330</v>
      </c>
      <c r="R42" s="19" cm="1">
        <f t="array" aca="1" ref="R42" ca="1">_FV(RTData[[#This Row],[Company Name]],"Beta")</f>
        <v>1.4826999999999999</v>
      </c>
      <c r="T42" t="s">
        <v>20</v>
      </c>
      <c r="U42" t="str" cm="1">
        <f t="array" aca="1" ref="U42" ca="1">_FV(RTData[[#This Row],[Company Name]],"Exchange abbreviation",TRUE)</f>
        <v>OTCM</v>
      </c>
      <c r="V42" s="24">
        <f ca="1">IFERROR(RTData[[#This Row],[Volume]]/RTData[[#This Row],[Volume average]],1)</f>
        <v>6.582448984912366E-2</v>
      </c>
      <c r="W42" s="24"/>
      <c r="X42" s="103">
        <f>[1]Sheet2!$E41</f>
        <v>0</v>
      </c>
      <c r="Y42" s="149">
        <f>[1]Sheet2!$F41</f>
        <v>45747</v>
      </c>
      <c r="Z42" s="149">
        <f>[1]Sheet2!$G41</f>
        <v>0</v>
      </c>
      <c r="AA42" s="150">
        <f>[1]Sheet2!$H41</f>
        <v>2.47E-2</v>
      </c>
      <c r="AB42" s="151">
        <v>1E-4</v>
      </c>
      <c r="AC42" s="152">
        <v>3.0000000000000001E-3</v>
      </c>
      <c r="AD42" s="103">
        <v>42.6</v>
      </c>
      <c r="AE42" s="153">
        <f>_xlfn.LET(_xlpm.New1YT,RTData[[#This Row],[1YT]],        _xlpm.Old1YT,IF(ISNUMBER(RTData[[#This Row],[Old1YT]]),RTData[[#This Row],[Old1YT]],VALUE(LEFT(RTData[[#This Row],[Old1YT]],FIND("/",RTData[[#This Row],[Old1YT]],1)-1))),       IF(OR(RTData[[#This Row],[1YT]]=0,_xlpm.Old1YT=0),0,(_xlpm.New1YT-_xlpm.Old1YT)/_xlpm.Old1YT))</f>
        <v>0</v>
      </c>
      <c r="AF42" s="153"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D98</f>
        <v>0.84990651028386865</v>
      </c>
      <c r="C43" s="25" t="e" vm="41">
        <v>#VALUE!</v>
      </c>
      <c r="D43" s="17" t="str" cm="1">
        <f t="array" aca="1" ref="D43" ca="1">_FV(RTData[[#This Row],[Company Name]],"Currency")</f>
        <v>USD</v>
      </c>
      <c r="E43" s="18" cm="1">
        <f t="array" aca="1" ref="E43" ca="1">_FV(RTData[[#This Row],[Company Name]],"Last trade time",TRUE)</f>
        <v>45908.954929085157</v>
      </c>
      <c r="F43" s="19" cm="1">
        <f t="array" aca="1" ref="F43" ca="1">_FV(RTData[[#This Row],[Company Name]],"Previous close",TRUE)</f>
        <v>10.24</v>
      </c>
      <c r="G43" s="19" cm="1">
        <f t="array" aca="1" ref="G43" ca="1">_FV(RTData[[#This Row],[Company Name]],"Open")</f>
        <v>10.24</v>
      </c>
      <c r="H43" s="19" cm="1">
        <f t="array" aca="1" ref="H43" ca="1">_FV(RTData[[#This Row],[Company Name]],"Price")</f>
        <v>10.3</v>
      </c>
      <c r="I43" s="19" cm="1">
        <f t="array" aca="1" ref="I43" ca="1">_FV(RTData[[#This Row],[Company Name]],"Low")</f>
        <v>10.17</v>
      </c>
      <c r="J43" s="19" cm="1">
        <f t="array" aca="1" ref="J43" ca="1">_FV(RTData[[#This Row],[Company Name]],"High")</f>
        <v>10.37</v>
      </c>
      <c r="K43" s="20" cm="1">
        <f t="array" aca="1" ref="K43" ca="1">IFERROR(_FV(RTData[[#This Row],[Company Name]],"P/E",TRUE),99)</f>
        <v>0</v>
      </c>
      <c r="L43" s="21" cm="1">
        <f t="array" aca="1" ref="L43" ca="1">_FV(RTData[[#This Row],[Company Name]],"Change")</f>
        <v>0.06</v>
      </c>
      <c r="M43" s="22" cm="1">
        <f t="array" aca="1" ref="M43" ca="1">_FV(RTData[[#This Row],[Company Name]],"Change (%)",TRUE)</f>
        <v>5.8589999999999996E-3</v>
      </c>
      <c r="N43" s="19" cm="1">
        <f t="array" aca="1" ref="N43" ca="1">_FV(RTData[[#This Row],[Company Name]],"52 week low",TRUE)</f>
        <v>6.1</v>
      </c>
      <c r="O43" s="19" cm="1">
        <f t="array" aca="1" ref="O43" ca="1">_FV(RTData[[#This Row],[Company Name]],"52 week high",TRUE)</f>
        <v>12.88</v>
      </c>
      <c r="P43" s="23" cm="1">
        <f t="array" aca="1" ref="P43" ca="1">_FV(RTData[[#This Row],[Company Name]],"Volume")</f>
        <v>553683</v>
      </c>
      <c r="Q43" s="23" cm="1">
        <f t="array" aca="1" ref="Q43" ca="1">_FV(RTData[[#This Row],[Company Name]],"Volume average",TRUE)</f>
        <v>1123180</v>
      </c>
      <c r="R43" s="19" cm="1">
        <f t="array" aca="1" ref="R43" ca="1">_FV(RTData[[#This Row],[Company Name]],"Beta")</f>
        <v>1.5936999999999999</v>
      </c>
      <c r="T43" t="s">
        <v>20</v>
      </c>
      <c r="U43" t="str" cm="1">
        <f t="array" aca="1" ref="U43" ca="1">_FV(RTData[[#This Row],[Company Name]],"Exchange abbreviation",TRUE)</f>
        <v>XNAS</v>
      </c>
      <c r="V43" s="24">
        <f ca="1">IFERROR(RTData[[#This Row],[Volume]]/RTData[[#This Row],[Volume average]],1)</f>
        <v>0.49296016666963444</v>
      </c>
      <c r="W43" s="24"/>
      <c r="X43" s="103">
        <f>[1]Sheet2!$E42</f>
        <v>13.33333</v>
      </c>
      <c r="Y43" s="149">
        <f>[1]Sheet2!$F42</f>
        <v>0</v>
      </c>
      <c r="Z43" s="149" t="str">
        <f>[1]Sheet2!$G42</f>
        <v>Nov 12, 2025</v>
      </c>
      <c r="AA43" s="150">
        <f>[1]Sheet2!$H42</f>
        <v>0</v>
      </c>
      <c r="AB43" s="151">
        <v>1E-4</v>
      </c>
      <c r="AC43" s="152">
        <v>3.0000000000000001E-3</v>
      </c>
      <c r="AD43" s="103">
        <v>11.8</v>
      </c>
      <c r="AE43" s="153">
        <f>_xlfn.LET(_xlpm.New1YT,RTData[[#This Row],[1YT]],        _xlpm.Old1YT,IF(ISNUMBER(RTData[[#This Row],[Old1YT]]),RTData[[#This Row],[Old1YT]],VALUE(LEFT(RTData[[#This Row],[Old1YT]],FIND("/",RTData[[#This Row],[Old1YT]],1)-1))),       IF(OR(RTData[[#This Row],[1YT]]=0,_xlpm.Old1YT=0),0,(_xlpm.New1YT-_xlpm.Old1YT)/_xlpm.Old1YT))</f>
        <v>0.12994322033898301</v>
      </c>
      <c r="AF43" s="153" t="str">
        <f>TEXT(RTData[[#This Row],[1YT]],"#,#0.00")&amp;" &lt; "&amp;RTData[[#This Row],[Old1YT]]</f>
        <v>13.33 &lt; 11.8</v>
      </c>
    </row>
    <row r="44" spans="1:33" x14ac:dyDescent="0.3">
      <c r="A44" s="15" t="str" cm="1">
        <f t="array" aca="1" ref="A44" ca="1">_xlfn.SINGLE(RTData[suffix])&amp;_FV(RTData[[#This Row],[Company Name]],"Ticker symbol",TRUE)</f>
        <v>TSLA</v>
      </c>
      <c r="B44" s="15">
        <f ca="1">D98</f>
        <v>0.84990651028386865</v>
      </c>
      <c r="C44" s="25" t="e" vm="42">
        <v>#VALUE!</v>
      </c>
      <c r="D44" s="17" t="str" cm="1">
        <f t="array" aca="1" ref="D44" ca="1">_FV(RTData[[#This Row],[Company Name]],"Currency")</f>
        <v>USD</v>
      </c>
      <c r="E44" s="18" cm="1">
        <f t="array" aca="1" ref="E44" ca="1">_FV(RTData[[#This Row],[Company Name]],"Last trade time",TRUE)</f>
        <v>45908.970529027341</v>
      </c>
      <c r="F44" s="19" cm="1">
        <f t="array" aca="1" ref="F44" ca="1">_FV(RTData[[#This Row],[Company Name]],"Previous close",TRUE)</f>
        <v>350.84</v>
      </c>
      <c r="G44" s="19" cm="1">
        <f t="array" aca="1" ref="G44" ca="1">_FV(RTData[[#This Row],[Company Name]],"Open")</f>
        <v>354.64</v>
      </c>
      <c r="H44" s="19" cm="1">
        <f t="array" aca="1" ref="H44" ca="1">_FV(RTData[[#This Row],[Company Name]],"Price")</f>
        <v>346.4</v>
      </c>
      <c r="I44" s="19" cm="1">
        <f t="array" aca="1" ref="I44" ca="1">_FV(RTData[[#This Row],[Company Name]],"Low")</f>
        <v>344.84</v>
      </c>
      <c r="J44" s="19" cm="1">
        <f t="array" aca="1" ref="J44" ca="1">_FV(RTData[[#This Row],[Company Name]],"High")</f>
        <v>358.44</v>
      </c>
      <c r="K44" s="20" cm="1">
        <f t="array" aca="1" ref="K44" ca="1">IFERROR(_FV(RTData[[#This Row],[Company Name]],"P/E",TRUE),99)</f>
        <v>195.5129</v>
      </c>
      <c r="L44" s="21" cm="1">
        <f t="array" aca="1" ref="L44" ca="1">_FV(RTData[[#This Row],[Company Name]],"Change")</f>
        <v>-4.4400000000000004</v>
      </c>
      <c r="M44" s="22" cm="1">
        <f t="array" aca="1" ref="M44" ca="1">_FV(RTData[[#This Row],[Company Name]],"Change (%)",TRUE)</f>
        <v>-1.2655000000000001E-2</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75096155</v>
      </c>
      <c r="Q44" s="23" cm="1">
        <f t="array" aca="1" ref="Q44" ca="1">_FV(RTData[[#This Row],[Company Name]],"Volume average",TRUE)</f>
        <v>76807579</v>
      </c>
      <c r="R44" s="19" cm="1">
        <f t="array" aca="1" ref="R44" ca="1">_FV(RTData[[#This Row],[Company Name]],"Beta")</f>
        <v>2.0363000000000002</v>
      </c>
      <c r="T44" t="s">
        <v>20</v>
      </c>
      <c r="U44" t="str" cm="1">
        <f t="array" aca="1" ref="U44" ca="1">_FV(RTData[[#This Row],[Company Name]],"Exchange abbreviation",TRUE)</f>
        <v>XNAS</v>
      </c>
      <c r="V44" s="24">
        <f ca="1">IFERROR(RTData[[#This Row],[Volume]]/RTData[[#This Row],[Volume average]],1)</f>
        <v>0.97771803222700193</v>
      </c>
      <c r="W44" s="24"/>
      <c r="X44" s="103">
        <f>[1]Sheet2!$E43</f>
        <v>310.53410000000002</v>
      </c>
      <c r="Y44" s="149">
        <f>[1]Sheet2!$F43</f>
        <v>0</v>
      </c>
      <c r="Z44" s="149" t="str">
        <f>[1]Sheet2!$G43</f>
        <v>Oct 22, 2025</v>
      </c>
      <c r="AA44" s="150">
        <f>[1]Sheet2!$H43</f>
        <v>0</v>
      </c>
      <c r="AB44" s="151">
        <v>1E-4</v>
      </c>
      <c r="AC44" s="152">
        <v>3.0000000000000001E-3</v>
      </c>
      <c r="AD44" s="103">
        <v>209.14</v>
      </c>
      <c r="AE44" s="153">
        <f>_xlfn.LET(_xlpm.New1YT,RTData[[#This Row],[1YT]],        _xlpm.Old1YT,IF(ISNUMBER(RTData[[#This Row],[Old1YT]]),RTData[[#This Row],[Old1YT]],VALUE(LEFT(RTData[[#This Row],[Old1YT]],FIND("/",RTData[[#This Row],[Old1YT]],1)-1))),       IF(OR(RTData[[#This Row],[1YT]]=0,_xlpm.Old1YT=0),0,(_xlpm.New1YT-_xlpm.Old1YT)/_xlpm.Old1YT))</f>
        <v>0.48481447833986824</v>
      </c>
      <c r="AF44" s="153" t="str">
        <f>TEXT(RTData[[#This Row],[1YT]],"#,#0.00")&amp;" &lt; "&amp;RTData[[#This Row],[Old1YT]]</f>
        <v>310.53 &lt; 209.14</v>
      </c>
    </row>
    <row r="45" spans="1:33" x14ac:dyDescent="0.3">
      <c r="A45" s="15" t="str" cm="1">
        <f t="array" aca="1" ref="A45" ca="1">_xlfn.SINGLE(RTData[suffix])&amp;_FV(RTData[[#This Row],[Company Name]],"Ticker symbol",TRUE)</f>
        <v>TSM</v>
      </c>
      <c r="B45" s="15">
        <f ca="1">D98</f>
        <v>0.84990651028386865</v>
      </c>
      <c r="C45" s="25" t="e" vm="43">
        <v>#VALUE!</v>
      </c>
      <c r="D45" s="17" t="str" cm="1">
        <f t="array" aca="1" ref="D45" ca="1">_FV(RTData[[#This Row],[Company Name]],"Currency")</f>
        <v>USD</v>
      </c>
      <c r="E45" s="18" cm="1">
        <f t="array" aca="1" ref="E45" ca="1">_FV(RTData[[#This Row],[Company Name]],"Last trade time",TRUE)</f>
        <v>45908.970651712501</v>
      </c>
      <c r="F45" s="19" cm="1">
        <f t="array" aca="1" ref="F45" ca="1">_FV(RTData[[#This Row],[Company Name]],"Previous close",TRUE)</f>
        <v>243.41</v>
      </c>
      <c r="G45" s="19" cm="1">
        <f t="array" aca="1" ref="G45" ca="1">_FV(RTData[[#This Row],[Company Name]],"Open")</f>
        <v>241.99</v>
      </c>
      <c r="H45" s="19" cm="1">
        <f t="array" aca="1" ref="H45" ca="1">_FV(RTData[[#This Row],[Company Name]],"Price")</f>
        <v>247.18</v>
      </c>
      <c r="I45" s="19" cm="1">
        <f t="array" aca="1" ref="I45" ca="1">_FV(RTData[[#This Row],[Company Name]],"Low")</f>
        <v>241.62</v>
      </c>
      <c r="J45" s="19" cm="1">
        <f t="array" aca="1" ref="J45" ca="1">_FV(RTData[[#This Row],[Company Name]],"High")</f>
        <v>247.88</v>
      </c>
      <c r="K45" s="20" cm="1">
        <f t="array" aca="1" ref="K45" ca="1">IFERROR(_FV(RTData[[#This Row],[Company Name]],"P/E",TRUE),99)</f>
        <v>25.6235</v>
      </c>
      <c r="L45" s="21" cm="1">
        <f t="array" aca="1" ref="L45" ca="1">_FV(RTData[[#This Row],[Company Name]],"Change")</f>
        <v>3.77</v>
      </c>
      <c r="M45" s="22" cm="1">
        <f t="array" aca="1" ref="M45" ca="1">_FV(RTData[[#This Row],[Company Name]],"Change (%)",TRUE)</f>
        <v>1.5488E-2</v>
      </c>
      <c r="N45" s="19" cm="1">
        <f t="array" aca="1" ref="N45" ca="1">_FV(RTData[[#This Row],[Company Name]],"52 week low",TRUE)</f>
        <v>134.25</v>
      </c>
      <c r="O45" s="19" cm="1">
        <f t="array" aca="1" ref="O45" ca="1">_FV(RTData[[#This Row],[Company Name]],"52 week high",TRUE)</f>
        <v>248.28</v>
      </c>
      <c r="P45" s="23" cm="1">
        <f t="array" aca="1" ref="P45" ca="1">_FV(RTData[[#This Row],[Company Name]],"Volume")</f>
        <v>12981288</v>
      </c>
      <c r="Q45" s="23" cm="1">
        <f t="array" aca="1" ref="Q45" ca="1">_FV(RTData[[#This Row],[Company Name]],"Volume average",TRUE)</f>
        <v>10446785</v>
      </c>
      <c r="R45" s="19" cm="1">
        <f t="array" aca="1" ref="R45" ca="1">_FV(RTData[[#This Row],[Company Name]],"Beta")</f>
        <v>1.2579</v>
      </c>
      <c r="T45" t="s">
        <v>20</v>
      </c>
      <c r="U45" t="str" cm="1">
        <f t="array" aca="1" ref="U45" ca="1">_FV(RTData[[#This Row],[Company Name]],"Exchange abbreviation",TRUE)</f>
        <v>XNYS</v>
      </c>
      <c r="V45" s="24">
        <f ca="1">IFERROR(RTData[[#This Row],[Volume]]/RTData[[#This Row],[Volume average]],1)</f>
        <v>1.2426108128003017</v>
      </c>
      <c r="W45" s="24"/>
      <c r="X45" s="103">
        <v>269.76</v>
      </c>
      <c r="Y45" s="149">
        <f>[1]Sheet2!$F44</f>
        <v>45916</v>
      </c>
      <c r="Z45" s="149" t="str">
        <f>[1]Sheet2!$G44</f>
        <v>Oct 16, 2025</v>
      </c>
      <c r="AA45" s="150">
        <f>[1]Sheet2!$H44</f>
        <v>1.37E-2</v>
      </c>
      <c r="AB45" s="151">
        <v>1E-4</v>
      </c>
      <c r="AC45" s="152">
        <v>3.0000000000000001E-3</v>
      </c>
      <c r="AD45" s="103" t="s">
        <v>107</v>
      </c>
      <c r="AE45" s="153">
        <f>_xlfn.LET(_xlpm.New1YT,RTData[[#This Row],[1YT]],        _xlpm.Old1YT,IF(ISNUMBER(RTData[[#This Row],[Old1YT]]),RTData[[#This Row],[Old1YT]],VALUE(LEFT(RTData[[#This Row],[Old1YT]],FIND("/",RTData[[#This Row],[Old1YT]],1)-1))),       IF(OR(RTData[[#This Row],[1YT]]=0,_xlpm.Old1YT=0),0,(_xlpm.New1YT-_xlpm.Old1YT)/_xlpm.Old1YT))</f>
        <v>0.17343077123841841</v>
      </c>
      <c r="AF45" s="153" t="str">
        <f>TEXT(RTData[[#This Row],[1YT]],"#,#0.00")&amp;" &lt; "&amp;RTData[[#This Row],[Old1YT]]</f>
        <v>269.76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45908.836805555555</v>
      </c>
      <c r="F46" s="29" cm="1">
        <f t="array" aca="1" ref="F46" ca="1">_FV(RTData[[#This Row],[Company Name]],"Previous close",TRUE)</f>
        <v>35.450000000000003</v>
      </c>
      <c r="G46" s="29" cm="1">
        <f t="array" aca="1" ref="G46" ca="1">_FV(RTData[[#This Row],[Company Name]],"Open")</f>
        <v>35.5</v>
      </c>
      <c r="H46" s="29" cm="1">
        <f t="array" aca="1" ref="H46" ca="1">_FV(RTData[[#This Row],[Company Name]],"Price")</f>
        <v>35.200000000000003</v>
      </c>
      <c r="I46" s="29" cm="1">
        <f t="array" aca="1" ref="I46" ca="1">_FV(RTData[[#This Row],[Company Name]],"Low")</f>
        <v>35.200000000000003</v>
      </c>
      <c r="J46" s="29" cm="1">
        <f t="array" aca="1" ref="J46" ca="1">_FV(RTData[[#This Row],[Company Name]],"High")</f>
        <v>35.65</v>
      </c>
      <c r="K46" s="20" cm="1">
        <f t="array" ref="K46">IFERROR(_FV(RTData[[#This Row],[Company Name]],"P/E",TRUE),99)</f>
        <v>99</v>
      </c>
      <c r="L46" s="21" cm="1">
        <f t="array" aca="1" ref="L46" ca="1">_FV(RTData[[#This Row],[Company Name]],"Change")</f>
        <v>-0.25</v>
      </c>
      <c r="M46" s="22" cm="1">
        <f t="array" aca="1" ref="M46" ca="1">_FV(RTData[[#This Row],[Company Name]],"Change (%)",TRUE)</f>
        <v>-7.0520000000000001E-3</v>
      </c>
      <c r="N46" s="29" cm="1">
        <f t="array" aca="1" ref="N46" ca="1">_FV(RTData[[#This Row],[Company Name]],"52 week low",TRUE)</f>
        <v>2.1</v>
      </c>
      <c r="O46" s="29" cm="1">
        <f t="array" aca="1" ref="O46" ca="1">_FV(RTData[[#This Row],[Company Name]],"52 week high",TRUE)</f>
        <v>73.5</v>
      </c>
      <c r="P46" s="23" cm="1">
        <f t="array" aca="1" ref="P46" ca="1">_FV(RTData[[#This Row],[Company Name]],"Volume")</f>
        <v>79</v>
      </c>
      <c r="Q46" s="23" cm="1">
        <f t="array" aca="1" ref="Q46" ca="1">_FV(RTData[[#This Row],[Company Name]],"Volume average",TRUE)</f>
        <v>1510</v>
      </c>
      <c r="R46" s="29" cm="1">
        <f t="array" aca="1" ref="R46" ca="1">_FV(RTData[[#This Row],[Company Name]],"Beta")</f>
        <v>1.0089999999999999</v>
      </c>
      <c r="T46" t="s">
        <v>20</v>
      </c>
      <c r="U46" t="str" cm="1">
        <f t="array" aca="1" ref="U46" ca="1">_FV(RTData[[#This Row],[Company Name]],"Exchange abbreviation",TRUE)</f>
        <v>XFRA</v>
      </c>
      <c r="V46" s="24">
        <f ca="1">IFERROR(RTData[[#This Row],[Volume]]/RTData[[#This Row],[Volume average]],1)</f>
        <v>5.2317880794701989E-2</v>
      </c>
      <c r="W46" s="24"/>
      <c r="X46" s="103">
        <f>[1]Sheet2!$E45</f>
        <v>0</v>
      </c>
      <c r="Y46" s="149">
        <f>[1]Sheet2!$F45</f>
        <v>0</v>
      </c>
      <c r="Z46" s="149">
        <f>[1]Sheet2!$G45</f>
        <v>0</v>
      </c>
      <c r="AA46" s="150">
        <f>[1]Sheet2!$H45</f>
        <v>0</v>
      </c>
      <c r="AB46" s="151"/>
      <c r="AC46" s="152">
        <v>3.0000000000000001E-3</v>
      </c>
      <c r="AD46" s="103">
        <v>42.3</v>
      </c>
      <c r="AE46" s="153">
        <f>_xlfn.LET(_xlpm.New1YT,RTData[[#This Row],[1YT]],        _xlpm.Old1YT,IF(ISNUMBER(RTData[[#This Row],[Old1YT]]),RTData[[#This Row],[Old1YT]],VALUE(LEFT(RTData[[#This Row],[Old1YT]],FIND("/",RTData[[#This Row],[Old1YT]],1)-1))),       IF(OR(RTData[[#This Row],[1YT]]=0,_xlpm.Old1YT=0),0,(_xlpm.New1YT-_xlpm.Old1YT)/_xlpm.Old1YT))</f>
        <v>0</v>
      </c>
      <c r="AF46" s="153" t="str">
        <f>TEXT(RTData[[#This Row],[1YT]],"#,#0.00")&amp;" &lt; "&amp;RTData[[#This Row],[Old1YT]]</f>
        <v>0.00 &lt; 42.3</v>
      </c>
    </row>
    <row r="47" spans="1:33" x14ac:dyDescent="0.3">
      <c r="A47" s="15" t="str" cm="1">
        <f t="array" aca="1" ref="A47" ca="1">_xlfn.SINGLE(RTData[suffix])&amp;_FV(RTData[[#This Row],[Company Name]],"Ticker symbol",TRUE)</f>
        <v>UNIT</v>
      </c>
      <c r="B47" s="15">
        <f ca="1">D98</f>
        <v>0.84990651028386865</v>
      </c>
      <c r="C47" s="25" t="e" vm="45">
        <v>#VALUE!</v>
      </c>
      <c r="D47" s="17" t="str" cm="1">
        <f t="array" aca="1" ref="D47" ca="1">_FV(RTData[[#This Row],[Company Name]],"Currency")</f>
        <v>USD</v>
      </c>
      <c r="E47" s="18" cm="1">
        <f t="array" aca="1" ref="E47" ca="1">_FV(RTData[[#This Row],[Company Name]],"Last trade time",TRUE)</f>
        <v>45908.961518089847</v>
      </c>
      <c r="F47" s="19" cm="1">
        <f t="array" aca="1" ref="F47" ca="1">_FV(RTData[[#This Row],[Company Name]],"Previous close",TRUE)</f>
        <v>6.44</v>
      </c>
      <c r="G47" s="19" cm="1">
        <f t="array" aca="1" ref="G47" ca="1">_FV(RTData[[#This Row],[Company Name]],"Open")</f>
        <v>6.48</v>
      </c>
      <c r="H47" s="19" cm="1">
        <f t="array" aca="1" ref="H47" ca="1">_FV(RTData[[#This Row],[Company Name]],"Price")</f>
        <v>7.2450000000000001</v>
      </c>
      <c r="I47" s="19" cm="1">
        <f t="array" aca="1" ref="I47" ca="1">_FV(RTData[[#This Row],[Company Name]],"Low")</f>
        <v>6.4649999999999999</v>
      </c>
      <c r="J47" s="19" cm="1">
        <f t="array" aca="1" ref="J47" ca="1">_FV(RTData[[#This Row],[Company Name]],"High")</f>
        <v>7.48</v>
      </c>
      <c r="K47" s="20" cm="1">
        <f t="array" aca="1" ref="K47" ca="1">IFERROR(_FV(RTData[[#This Row],[Company Name]],"P/E",TRUE),99)</f>
        <v>30.454000000000001</v>
      </c>
      <c r="L47" s="21" cm="1">
        <f t="array" aca="1" ref="L47" ca="1">_FV(RTData[[#This Row],[Company Name]],"Change")</f>
        <v>0.80500000000000005</v>
      </c>
      <c r="M47" s="22" cm="1">
        <f t="array" aca="1" ref="M47" ca="1">_FV(RTData[[#This Row],[Company Name]],"Change (%)",TRUE)</f>
        <v>0.125</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9158005</v>
      </c>
      <c r="Q47" s="23" cm="1">
        <f t="array" aca="1" ref="Q47" ca="1">_FV(RTData[[#This Row],[Company Name]],"Volume average",TRUE)</f>
        <v>3046379</v>
      </c>
      <c r="R47" s="19" cm="1">
        <f t="array" aca="1" ref="R47" ca="1">_FV(RTData[[#This Row],[Company Name]],"Beta")</f>
        <v>1.5765</v>
      </c>
      <c r="T47" t="s">
        <v>20</v>
      </c>
      <c r="U47" t="str" cm="1">
        <f t="array" aca="1" ref="U47" ca="1">_FV(RTData[[#This Row],[Company Name]],"Exchange abbreviation",TRUE)</f>
        <v>XNAS</v>
      </c>
      <c r="V47" s="24">
        <f ca="1">IFERROR(RTData[[#This Row],[Volume]]/RTData[[#This Row],[Volume average]],1)</f>
        <v>3.0061935826106994</v>
      </c>
      <c r="W47" s="24"/>
      <c r="X47" s="103">
        <f>[1]Sheet2!$E46</f>
        <v>8.2502700000000004</v>
      </c>
      <c r="Y47" s="149">
        <f>[1]Sheet2!$F46</f>
        <v>45457</v>
      </c>
      <c r="Z47" s="149" t="str">
        <f>[1]Sheet2!$G46</f>
        <v>Oct 30, 2025</v>
      </c>
      <c r="AA47" s="150">
        <f>[1]Sheet2!$H46</f>
        <v>0</v>
      </c>
      <c r="AB47" s="151">
        <v>1E-4</v>
      </c>
      <c r="AC47" s="152">
        <v>3.0000000000000001E-3</v>
      </c>
      <c r="AD47" s="103">
        <v>5.8</v>
      </c>
      <c r="AE47" s="153">
        <f>_xlfn.LET(_xlpm.New1YT,RTData[[#This Row],[1YT]],        _xlpm.Old1YT,IF(ISNUMBER(RTData[[#This Row],[Old1YT]]),RTData[[#This Row],[Old1YT]],VALUE(LEFT(RTData[[#This Row],[Old1YT]],FIND("/",RTData[[#This Row],[Old1YT]],1)-1))),       IF(OR(RTData[[#This Row],[1YT]]=0,_xlpm.Old1YT=0),0,(_xlpm.New1YT-_xlpm.Old1YT)/_xlpm.Old1YT))</f>
        <v>0.42246034482758632</v>
      </c>
      <c r="AF47" s="153" t="str">
        <f>TEXT(RTData[[#This Row],[1YT]],"#,#0.00")&amp;" &lt; "&amp;RTData[[#This Row],[Old1YT]]</f>
        <v>8.25 &lt; 5.8</v>
      </c>
    </row>
    <row r="48" spans="1:33" x14ac:dyDescent="0.3">
      <c r="A48" s="15" t="str" cm="1">
        <f t="array" aca="1" ref="A48" ca="1">_xlfn.SINGLE(RTData[suffix])&amp;_FV(RTData[[#This Row],[Company Name]],"Ticker symbol",TRUE)</f>
        <v>AVGO</v>
      </c>
      <c r="B48" s="15">
        <f ca="1">D98</f>
        <v>0.84990651028386865</v>
      </c>
      <c r="C48" s="25" t="e" vm="46">
        <v>#VALUE!</v>
      </c>
      <c r="D48" s="17" t="str" cm="1">
        <f t="array" aca="1" ref="D48" ca="1">_FV(RTData[[#This Row],[Company Name]],"Currency")</f>
        <v>USD</v>
      </c>
      <c r="E48" s="18" cm="1">
        <f t="array" aca="1" ref="E48" ca="1">_FV(RTData[[#This Row],[Company Name]],"Last trade time",TRUE)</f>
        <v>45908.970584860937</v>
      </c>
      <c r="F48" s="19" cm="1">
        <f t="array" aca="1" ref="F48" ca="1">_FV(RTData[[#This Row],[Company Name]],"Previous close",TRUE)</f>
        <v>334.89</v>
      </c>
      <c r="G48" s="19" cm="1">
        <f t="array" aca="1" ref="G48" ca="1">_FV(RTData[[#This Row],[Company Name]],"Open")</f>
        <v>342.75</v>
      </c>
      <c r="H48" s="19" cm="1">
        <f t="array" aca="1" ref="H48" ca="1">_FV(RTData[[#This Row],[Company Name]],"Price")</f>
        <v>345.65</v>
      </c>
      <c r="I48" s="19" cm="1">
        <f t="array" aca="1" ref="I48" ca="1">_FV(RTData[[#This Row],[Company Name]],"Low")</f>
        <v>341.25009999999997</v>
      </c>
      <c r="J48" s="19" cm="1">
        <f t="array" aca="1" ref="J48" ca="1">_FV(RTData[[#This Row],[Company Name]],"High")</f>
        <v>354.16559999999998</v>
      </c>
      <c r="K48" s="20" cm="1">
        <f t="array" aca="1" ref="K48" ca="1">IFERROR(_FV(RTData[[#This Row],[Company Name]],"P/E",TRUE),99)</f>
        <v>88.605500000000006</v>
      </c>
      <c r="L48" s="21" cm="1">
        <f t="array" aca="1" ref="L48" ca="1">_FV(RTData[[#This Row],[Company Name]],"Change")</f>
        <v>10.76</v>
      </c>
      <c r="M48" s="22" cm="1">
        <f t="array" aca="1" ref="M48" ca="1">_FV(RTData[[#This Row],[Company Name]],"Change (%)",TRUE)</f>
        <v>3.2129999999999999E-2</v>
      </c>
      <c r="N48" s="19" cm="1">
        <f t="array" aca="1" ref="N48" ca="1">_FV(RTData[[#This Row],[Company Name]],"52 week low",TRUE)</f>
        <v>134.9</v>
      </c>
      <c r="O48" s="19" cm="1">
        <f t="array" aca="1" ref="O48" ca="1">_FV(RTData[[#This Row],[Company Name]],"52 week high",TRUE)</f>
        <v>356.34</v>
      </c>
      <c r="P48" s="23" cm="1">
        <f t="array" aca="1" ref="P48" ca="1">_FV(RTData[[#This Row],[Company Name]],"Volume")</f>
        <v>43509873</v>
      </c>
      <c r="Q48" s="23" cm="1">
        <f t="array" aca="1" ref="Q48" ca="1">_FV(RTData[[#This Row],[Company Name]],"Volume average",TRUE)</f>
        <v>20875428</v>
      </c>
      <c r="R48" s="19" cm="1">
        <f t="array" aca="1" ref="R48" ca="1">_FV(RTData[[#This Row],[Company Name]],"Beta")</f>
        <v>1.1936</v>
      </c>
      <c r="T48" t="s">
        <v>20</v>
      </c>
      <c r="U48" t="str" cm="1">
        <f t="array" aca="1" ref="U48" ca="1">_FV(RTData[[#This Row],[Company Name]],"Exchange abbreviation",TRUE)</f>
        <v>XNAS</v>
      </c>
      <c r="V48" s="24">
        <f ca="1">IFERROR(RTData[[#This Row],[Volume]]/RTData[[#This Row],[Volume average]],1)</f>
        <v>2.0842625597903908</v>
      </c>
      <c r="W48" s="24"/>
      <c r="X48" s="103">
        <f>[1]Sheet2!$E47</f>
        <v>355.06</v>
      </c>
      <c r="Y48" s="149">
        <f>[1]Sheet2!$F47</f>
        <v>45922</v>
      </c>
      <c r="Z48" s="149" t="str">
        <f>[1]Sheet2!$G47</f>
        <v>Sep 4, 2025</v>
      </c>
      <c r="AA48" s="150">
        <f>[1]Sheet2!$H47</f>
        <v>6.9999998000000001E-3</v>
      </c>
      <c r="AB48" s="151">
        <v>1E-4</v>
      </c>
      <c r="AC48" s="152">
        <v>3.0000000000000001E-3</v>
      </c>
      <c r="AD48" s="103">
        <v>244.32</v>
      </c>
      <c r="AE48" s="153">
        <f>_xlfn.LET(_xlpm.New1YT,RTData[[#This Row],[1YT]],        _xlpm.Old1YT,IF(ISNUMBER(RTData[[#This Row],[Old1YT]]),RTData[[#This Row],[Old1YT]],VALUE(LEFT(RTData[[#This Row],[Old1YT]],FIND("/",RTData[[#This Row],[Old1YT]],1)-1))),       IF(OR(RTData[[#This Row],[1YT]]=0,_xlpm.Old1YT=0),0,(_xlpm.New1YT-_xlpm.Old1YT)/_xlpm.Old1YT))</f>
        <v>0.45325802226588086</v>
      </c>
      <c r="AF48" s="153" t="str">
        <f>TEXT(RTData[[#This Row],[1YT]],"#,#0.00")&amp;" &lt; "&amp;RTData[[#This Row],[Old1YT]]</f>
        <v>355.06 &lt; 244.32</v>
      </c>
    </row>
    <row r="49" spans="1:34" x14ac:dyDescent="0.3">
      <c r="A49" s="15" t="str" cm="1">
        <f t="array" aca="1" ref="A49" ca="1">_xlfn.SINGLE(RTData[suffix])&amp;_FV(RTData[[#This Row],[Company Name]],"Ticker symbol",TRUE)</f>
        <v>VLVLY</v>
      </c>
      <c r="B49" s="15">
        <f ca="1">D98</f>
        <v>0.84990651028386865</v>
      </c>
      <c r="C49" s="16" t="e" vm="47">
        <v>#VALUE!</v>
      </c>
      <c r="D49" s="17" t="str" cm="1">
        <f t="array" aca="1" ref="D49" ca="1">_FV(RTData[[#This Row],[Company Name]],"Currency")</f>
        <v>USD</v>
      </c>
      <c r="E49" s="18" cm="1">
        <f t="array" aca="1" ref="E49" ca="1">_FV(RTData[[#This Row],[Company Name]],"Last trade time",TRUE)</f>
        <v>45908.888888888891</v>
      </c>
      <c r="F49" s="19" cm="1">
        <f t="array" aca="1" ref="F49" ca="1">_FV(RTData[[#This Row],[Company Name]],"Previous close",TRUE)</f>
        <v>29.51</v>
      </c>
      <c r="G49" s="19" cm="1">
        <f t="array" aca="1" ref="G49" ca="1">_FV(RTData[[#This Row],[Company Name]],"Open")</f>
        <v>28.93</v>
      </c>
      <c r="H49" s="19" cm="1">
        <f t="array" aca="1" ref="H49" ca="1">_FV(RTData[[#This Row],[Company Name]],"Price")</f>
        <v>29.18</v>
      </c>
      <c r="I49" s="19" cm="1">
        <f t="array" aca="1" ref="I49" ca="1">_FV(RTData[[#This Row],[Company Name]],"Low")</f>
        <v>28.809000000000001</v>
      </c>
      <c r="J49" s="19" cm="1">
        <f t="array" aca="1" ref="J49" ca="1">_FV(RTData[[#This Row],[Company Name]],"High")</f>
        <v>29.38</v>
      </c>
      <c r="K49" s="20" cm="1">
        <f t="array" aca="1" ref="K49" ca="1">IFERROR(_FV(RTData[[#This Row],[Company Name]],"P/E",TRUE),99)</f>
        <v>0</v>
      </c>
      <c r="L49" s="21" cm="1">
        <f t="array" aca="1" ref="L49" ca="1">_FV(RTData[[#This Row],[Company Name]],"Change")</f>
        <v>-0.33</v>
      </c>
      <c r="M49" s="22" cm="1">
        <f t="array" aca="1" ref="M49" ca="1">_FV(RTData[[#This Row],[Company Name]],"Change (%)",TRUE)</f>
        <v>-1.1183E-2</v>
      </c>
      <c r="N49" s="19" cm="1">
        <f t="array" aca="1" ref="N49" ca="1">_FV(RTData[[#This Row],[Company Name]],"52 week low",TRUE)</f>
        <v>22.55</v>
      </c>
      <c r="O49" s="19" cm="1">
        <f t="array" aca="1" ref="O49" ca="1">_FV(RTData[[#This Row],[Company Name]],"52 week high",TRUE)</f>
        <v>33.33</v>
      </c>
      <c r="P49" s="23" cm="1">
        <f t="array" aca="1" ref="P49" ca="1">_FV(RTData[[#This Row],[Company Name]],"Volume")</f>
        <v>39399</v>
      </c>
      <c r="Q49" s="23" cm="1">
        <f t="array" aca="1" ref="Q49" ca="1">_FV(RTData[[#This Row],[Company Name]],"Volume average",TRUE)</f>
        <v>2325820</v>
      </c>
      <c r="R49" s="19" cm="1">
        <f t="array" aca="1" ref="R49" ca="1">_FV(RTData[[#This Row],[Company Name]],"Beta")</f>
        <v>0.90749999999999997</v>
      </c>
      <c r="T49" t="s">
        <v>20</v>
      </c>
      <c r="U49" t="str" cm="1">
        <f t="array" aca="1" ref="U49" ca="1">_FV(RTData[[#This Row],[Company Name]],"Exchange abbreviation",TRUE)</f>
        <v>OTCM</v>
      </c>
      <c r="V49" s="24">
        <f ca="1">IFERROR(RTData[[#This Row],[Volume]]/RTData[[#This Row],[Volume average]],1)</f>
        <v>1.6939831973239547E-2</v>
      </c>
      <c r="W49" s="24"/>
      <c r="X49" s="103">
        <f>[1]Sheet2!$E48</f>
        <v>36</v>
      </c>
      <c r="Y49" s="149">
        <f>[1]Sheet2!$F48</f>
        <v>45751</v>
      </c>
      <c r="Z49" s="149">
        <f>[1]Sheet2!$G48</f>
        <v>0</v>
      </c>
      <c r="AA49" s="150">
        <f>[1]Sheet2!$H48</f>
        <v>2.7099999999999999E-2</v>
      </c>
      <c r="AB49" s="151">
        <v>1E-4</v>
      </c>
      <c r="AC49" s="152">
        <v>3.0000000000000001E-3</v>
      </c>
      <c r="AD49" s="103">
        <v>29.73</v>
      </c>
      <c r="AE49" s="153">
        <f>_xlfn.LET(_xlpm.New1YT,RTData[[#This Row],[1YT]],        _xlpm.Old1YT,IF(ISNUMBER(RTData[[#This Row],[Old1YT]]),RTData[[#This Row],[Old1YT]],VALUE(LEFT(RTData[[#This Row],[Old1YT]],FIND("/",RTData[[#This Row],[Old1YT]],1)-1))),       IF(OR(RTData[[#This Row],[1YT]]=0,_xlpm.Old1YT=0),0,(_xlpm.New1YT-_xlpm.Old1YT)/_xlpm.Old1YT))</f>
        <v>0.21089808274470231</v>
      </c>
      <c r="AF49" s="153" t="str">
        <f>TEXT(RTData[[#This Row],[1YT]],"#,#0.00")&amp;" &lt; "&amp;RTData[[#This Row],[Old1YT]]</f>
        <v>36.00 &lt; 29.73</v>
      </c>
    </row>
    <row r="50" spans="1:34" x14ac:dyDescent="0.3">
      <c r="A50" s="15" t="str" cm="1">
        <f t="array" aca="1" ref="A50" ca="1">_xlfn.SINGLE(RTData[suffix])&amp;_FV(RTData[[#This Row],[Company Name]],"Ticker symbol",TRUE)</f>
        <v>VONN</v>
      </c>
      <c r="B50" s="15">
        <f ca="1">D99</f>
        <v>1.0720411663807892</v>
      </c>
      <c r="C50" s="25" t="e" vm="48">
        <v>#VALUE!</v>
      </c>
      <c r="D50" s="17" t="str" cm="1">
        <f t="array" aca="1" ref="D50" ca="1">_FV(RTData[[#This Row],[Company Name]],"Currency")</f>
        <v>CHF</v>
      </c>
      <c r="E50" s="18" cm="1">
        <f t="array" aca="1" ref="E50" ca="1">_FV(RTData[[#This Row],[Company Name]],"Last trade time",TRUE)</f>
        <v>45908.652777777781</v>
      </c>
      <c r="F50" s="38" cm="1">
        <f t="array" aca="1" ref="F50" ca="1">_FV(RTData[[#This Row],[Company Name]],"Previous close",TRUE)</f>
        <v>61.5</v>
      </c>
      <c r="G50" s="38" cm="1">
        <f t="array" aca="1" ref="G50" ca="1">_FV(RTData[[#This Row],[Company Name]],"Open")</f>
        <v>61.5</v>
      </c>
      <c r="H50" s="38" cm="1">
        <f t="array" aca="1" ref="H50" ca="1">_FV(RTData[[#This Row],[Company Name]],"Price")</f>
        <v>61.8</v>
      </c>
      <c r="I50" s="39" cm="1">
        <f t="array" aca="1" ref="I50" ca="1">_FV(RTData[[#This Row],[Company Name]],"Low")</f>
        <v>61.3</v>
      </c>
      <c r="J50" s="39" cm="1">
        <f t="array" aca="1" ref="J50" ca="1">_FV(RTData[[#This Row],[Company Name]],"High")</f>
        <v>61.9</v>
      </c>
      <c r="K50" s="20" cm="1">
        <f t="array" aca="1" ref="K50" ca="1">IFERROR(_FV(RTData[[#This Row],[Company Name]],"P/E",TRUE),99)</f>
        <v>13.8826</v>
      </c>
      <c r="L50" s="21" cm="1">
        <f t="array" aca="1" ref="L50" ca="1">_FV(RTData[[#This Row],[Company Name]],"Change")</f>
        <v>0.3</v>
      </c>
      <c r="M50" s="40" cm="1">
        <f t="array" aca="1" ref="M50" ca="1">_FV(RTData[[#This Row],[Company Name]],"Change (%)",TRUE)</f>
        <v>4.8780000000000004E-3</v>
      </c>
      <c r="N50" s="39" cm="1">
        <f t="array" aca="1" ref="N50" ca="1">_FV(RTData[[#This Row],[Company Name]],"52 week low",TRUE)</f>
        <v>51.1</v>
      </c>
      <c r="O50" s="39" cm="1">
        <f t="array" aca="1" ref="O50" ca="1">_FV(RTData[[#This Row],[Company Name]],"52 week high",TRUE)</f>
        <v>69.5</v>
      </c>
      <c r="P50" s="23" cm="1">
        <f t="array" aca="1" ref="P50" ca="1">_FV(RTData[[#This Row],[Company Name]],"Volume")</f>
        <v>33569</v>
      </c>
      <c r="Q50" s="23" cm="1">
        <f t="array" aca="1" ref="Q50" ca="1">_FV(RTData[[#This Row],[Company Name]],"Volume average",TRUE)</f>
        <v>26770</v>
      </c>
      <c r="R50" s="19" cm="1">
        <f t="array" aca="1" ref="R50" ca="1">_FV(RTData[[#This Row],[Company Name]],"Beta")</f>
        <v>1.0319</v>
      </c>
      <c r="T50" t="s">
        <v>20</v>
      </c>
      <c r="U50" t="str" cm="1">
        <f t="array" aca="1" ref="U50" ca="1">_FV(RTData[[#This Row],[Company Name]],"Exchange abbreviation",TRUE)</f>
        <v>XSWX</v>
      </c>
      <c r="V50" s="24">
        <f ca="1">IFERROR(RTData[[#This Row],[Volume]]/RTData[[#This Row],[Volume average]],1)</f>
        <v>1.2539783339559207</v>
      </c>
      <c r="W50" s="24"/>
      <c r="X50" s="103">
        <v>63.33</v>
      </c>
      <c r="Y50" s="149">
        <f>[1]Sheet2!$F49</f>
        <v>45751</v>
      </c>
      <c r="Z50" s="149" t="str">
        <f>[1]Sheet2!$G49</f>
        <v>Jul 24, 2025</v>
      </c>
      <c r="AA50" s="150">
        <f>[1]Sheet2!$H49</f>
        <v>4.8800003000000002E-2</v>
      </c>
      <c r="AB50" s="151"/>
      <c r="AC50" s="152">
        <v>3.0000000000000001E-3</v>
      </c>
      <c r="AD50" s="103" t="s">
        <v>98</v>
      </c>
      <c r="AE50" s="153">
        <f>_xlfn.LET(_xlpm.New1YT,RTData[[#This Row],[1YT]],        _xlpm.Old1YT,IF(ISNUMBER(RTData[[#This Row],[Old1YT]]),RTData[[#This Row],[Old1YT]],VALUE(LEFT(RTData[[#This Row],[Old1YT]],FIND("/",RTData[[#This Row],[Old1YT]],1)-1))),       IF(OR(RTData[[#This Row],[1YT]]=0,_xlpm.Old1YT=0),0,(_xlpm.New1YT-_xlpm.Old1YT)/_xlpm.Old1YT))</f>
        <v>3.8196721311475383E-2</v>
      </c>
      <c r="AF50" s="153" t="str">
        <f>TEXT(RTData[[#This Row],[1YT]],"#,#0.00")&amp;" &lt; "&amp;RTData[[#This Row],[Old1YT]]</f>
        <v>63.33 &lt; 61/57</v>
      </c>
    </row>
    <row r="51" spans="1:34" x14ac:dyDescent="0.3">
      <c r="A51" s="15" t="str" cm="1">
        <f t="array" aca="1" ref="A51" ca="1">_xlfn.SINGLE(RTData[suffix])&amp;_FV(RTData[[#This Row],[Company Name]],"Ticker symbol",TRUE)</f>
        <v>VTRS</v>
      </c>
      <c r="B51" s="15">
        <f ca="1">D98</f>
        <v>0.84990651028386865</v>
      </c>
      <c r="C51" s="25" t="e" vm="49">
        <v>#VALUE!</v>
      </c>
      <c r="D51" s="17" t="str" cm="1">
        <f t="array" aca="1" ref="D51" ca="1">_FV(RTData[[#This Row],[Company Name]],"Currency")</f>
        <v>USD</v>
      </c>
      <c r="E51" s="18" cm="1">
        <f t="array" aca="1" ref="E51" ca="1">_FV(RTData[[#This Row],[Company Name]],"Last trade time",TRUE)</f>
        <v>45908.960415173438</v>
      </c>
      <c r="F51" s="19" cm="1">
        <f t="array" aca="1" ref="F51" ca="1">_FV(RTData[[#This Row],[Company Name]],"Previous close",TRUE)</f>
        <v>10.5</v>
      </c>
      <c r="G51" s="19" cm="1">
        <f t="array" aca="1" ref="G51" ca="1">_FV(RTData[[#This Row],[Company Name]],"Open")</f>
        <v>10.46</v>
      </c>
      <c r="H51" s="19" cm="1">
        <f t="array" aca="1" ref="H51" ca="1">_FV(RTData[[#This Row],[Company Name]],"Price")</f>
        <v>10.48</v>
      </c>
      <c r="I51" s="19" cm="1">
        <f t="array" aca="1" ref="I51" ca="1">_FV(RTData[[#This Row],[Company Name]],"Low")</f>
        <v>10.33</v>
      </c>
      <c r="J51" s="19" cm="1">
        <f t="array" aca="1" ref="J51" ca="1">_FV(RTData[[#This Row],[Company Name]],"High")</f>
        <v>10.5099</v>
      </c>
      <c r="K51" s="20" cm="1">
        <f t="array" aca="1" ref="K51" ca="1">IFERROR(_FV(RTData[[#This Row],[Company Name]],"P/E",TRUE),99)</f>
        <v>0</v>
      </c>
      <c r="L51" s="21" cm="1">
        <f t="array" aca="1" ref="L51" ca="1">_FV(RTData[[#This Row],[Company Name]],"Change")</f>
        <v>-0.02</v>
      </c>
      <c r="M51" s="22" cm="1">
        <f t="array" aca="1" ref="M51" ca="1">_FV(RTData[[#This Row],[Company Name]],"Change (%)",TRUE)</f>
        <v>-1.905E-3</v>
      </c>
      <c r="N51" s="19" cm="1">
        <f t="array" aca="1" ref="N51" ca="1">_FV(RTData[[#This Row],[Company Name]],"52 week low",TRUE)</f>
        <v>6.85</v>
      </c>
      <c r="O51" s="19" cm="1">
        <f t="array" aca="1" ref="O51" ca="1">_FV(RTData[[#This Row],[Company Name]],"52 week high",TRUE)</f>
        <v>13.55</v>
      </c>
      <c r="P51" s="23" cm="1">
        <f t="array" aca="1" ref="P51" ca="1">_FV(RTData[[#This Row],[Company Name]],"Volume")</f>
        <v>8808495</v>
      </c>
      <c r="Q51" s="23" cm="1">
        <f t="array" aca="1" ref="Q51" ca="1">_FV(RTData[[#This Row],[Company Name]],"Volume average",TRUE)</f>
        <v>9144667</v>
      </c>
      <c r="R51" s="19" cm="1">
        <f t="array" aca="1" ref="R51" ca="1">_FV(RTData[[#This Row],[Company Name]],"Beta")</f>
        <v>0.90439999999999998</v>
      </c>
      <c r="T51" t="s">
        <v>20</v>
      </c>
      <c r="U51" t="str" cm="1">
        <f t="array" aca="1" ref="U51" ca="1">_FV(RTData[[#This Row],[Company Name]],"Exchange abbreviation",TRUE)</f>
        <v>XNAS</v>
      </c>
      <c r="V51" s="24">
        <f ca="1">IFERROR(RTData[[#This Row],[Volume]]/RTData[[#This Row],[Volume average]],1)</f>
        <v>0.96323846456081996</v>
      </c>
      <c r="W51" s="24"/>
      <c r="X51" s="103">
        <f>[1]Sheet2!$E50</f>
        <v>11.428570000000001</v>
      </c>
      <c r="Y51" s="149">
        <f>[1]Sheet2!$F50</f>
        <v>45891</v>
      </c>
      <c r="Z51" s="149" t="str">
        <f>[1]Sheet2!$G50</f>
        <v>Nov 6, 2025</v>
      </c>
      <c r="AA51" s="150">
        <f>[1]Sheet2!$H50</f>
        <v>4.5700002000000003E-2</v>
      </c>
      <c r="AB51" s="151">
        <v>1E-4</v>
      </c>
      <c r="AC51" s="152">
        <v>3.0000000000000001E-3</v>
      </c>
      <c r="AD51" s="103" t="s">
        <v>108</v>
      </c>
      <c r="AE51" s="153">
        <f>_xlfn.LET(_xlpm.New1YT,RTData[[#This Row],[1YT]],        _xlpm.Old1YT,IF(ISNUMBER(RTData[[#This Row],[Old1YT]]),RTData[[#This Row],[Old1YT]],VALUE(LEFT(RTData[[#This Row],[Old1YT]],FIND("/",RTData[[#This Row],[Old1YT]],1)-1))),       IF(OR(RTData[[#This Row],[1YT]]=0,_xlpm.Old1YT=0),0,(_xlpm.New1YT-_xlpm.Old1YT)/_xlpm.Old1YT))</f>
        <v>4.268014059753935E-3</v>
      </c>
      <c r="AF51" s="153" t="str">
        <f>TEXT(RTData[[#This Row],[1YT]],"#,#0.00")&amp;" &lt; "&amp;RTData[[#This Row],[Old1YT]]</f>
        <v>11.43 &lt; 11.38/11.59/15.57</v>
      </c>
    </row>
    <row r="52" spans="1:34" x14ac:dyDescent="0.3">
      <c r="A52" s="15" t="str" cm="1">
        <f t="array" aca="1" ref="A52" ca="1">_xlfn.SINGLE(RTData[suffix])&amp;_FV(RTData[[#This Row],[Company Name]],"Ticker symbol",TRUE)</f>
        <v>WBA</v>
      </c>
      <c r="B52" s="15">
        <f ca="1">D98</f>
        <v>0.84990651028386865</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3">
        <f>[1]Sheet2!$E51</f>
        <v>12.11429</v>
      </c>
      <c r="Y52" s="149">
        <f>[1]Sheet2!$F51</f>
        <v>45614</v>
      </c>
      <c r="Z52" s="149">
        <f>[1]Sheet2!$G51</f>
        <v>0</v>
      </c>
      <c r="AA52" s="150">
        <f>[1]Sheet2!$H51</f>
        <v>8.3500005000000002E-2</v>
      </c>
      <c r="AB52" s="151">
        <v>1E-4</v>
      </c>
      <c r="AC52" s="152">
        <v>3.0000000000000001E-3</v>
      </c>
      <c r="AD52" s="103">
        <v>21.58</v>
      </c>
      <c r="AE52" s="153">
        <f>_xlfn.LET(_xlpm.New1YT,RTData[[#This Row],[1YT]],        _xlpm.Old1YT,IF(ISNUMBER(RTData[[#This Row],[Old1YT]]),RTData[[#This Row],[Old1YT]],VALUE(LEFT(RTData[[#This Row],[Old1YT]],FIND("/",RTData[[#This Row],[Old1YT]],1)-1))),       IF(OR(RTData[[#This Row],[1YT]]=0,_xlpm.Old1YT=0),0,(_xlpm.New1YT-_xlpm.Old1YT)/_xlpm.Old1YT))</f>
        <v>-0.4386334569045412</v>
      </c>
      <c r="AF52" s="153" t="str">
        <f>TEXT(RTData[[#This Row],[1YT]],"#,#0.00")&amp;" &lt; "&amp;RTData[[#This Row],[Old1YT]]</f>
        <v>12.11 &lt; 21.58</v>
      </c>
    </row>
    <row r="53" spans="1:34" x14ac:dyDescent="0.3">
      <c r="A53" s="15" t="str" cm="1">
        <f t="array" aca="1" ref="A53" ca="1">_xlfn.SINGLE(RTData[suffix])&amp;_FV(RTData[[#This Row],[Company Name]],"Ticker symbol",TRUE)</f>
        <v>XOM</v>
      </c>
      <c r="B53" s="15">
        <f ca="1">D98</f>
        <v>0.84990651028386865</v>
      </c>
      <c r="C53" s="25" t="e" vm="51">
        <v>#VALUE!</v>
      </c>
      <c r="D53" s="17" t="str" cm="1">
        <f t="array" aca="1" ref="D53" ca="1">_FV(RTData[[#This Row],[Company Name]],"Currency")</f>
        <v>USD</v>
      </c>
      <c r="E53" s="18" cm="1">
        <f t="array" aca="1" ref="E53" ca="1">_FV(RTData[[#This Row],[Company Name]],"Last trade time",TRUE)</f>
        <v>45908.968587128904</v>
      </c>
      <c r="F53" s="19" cm="1">
        <f t="array" aca="1" ref="F53" ca="1">_FV(RTData[[#This Row],[Company Name]],"Previous close",TRUE)</f>
        <v>109.23</v>
      </c>
      <c r="G53" s="19" cm="1">
        <f t="array" aca="1" ref="G53" ca="1">_FV(RTData[[#This Row],[Company Name]],"Open")</f>
        <v>109.73</v>
      </c>
      <c r="H53" s="19" cm="1">
        <f t="array" aca="1" ref="H53" ca="1">_FV(RTData[[#This Row],[Company Name]],"Price")</f>
        <v>109.9</v>
      </c>
      <c r="I53" s="19" cm="1">
        <f t="array" aca="1" ref="I53" ca="1">_FV(RTData[[#This Row],[Company Name]],"Low")</f>
        <v>108.35</v>
      </c>
      <c r="J53" s="19" cm="1">
        <f t="array" aca="1" ref="J53" ca="1">_FV(RTData[[#This Row],[Company Name]],"High")</f>
        <v>110.045</v>
      </c>
      <c r="K53" s="20" cm="1">
        <f t="array" aca="1" ref="K53" ca="1">IFERROR(_FV(RTData[[#This Row],[Company Name]],"P/E",TRUE),99)</f>
        <v>15.594200000000001</v>
      </c>
      <c r="L53" s="21" cm="1">
        <f t="array" aca="1" ref="L53" ca="1">_FV(RTData[[#This Row],[Company Name]],"Change")</f>
        <v>0.67</v>
      </c>
      <c r="M53" s="22" cm="1">
        <f t="array" aca="1" ref="M53" ca="1">_FV(RTData[[#This Row],[Company Name]],"Change (%)",TRUE)</f>
        <v>6.1339999999999997E-3</v>
      </c>
      <c r="N53" s="19" cm="1">
        <f t="array" aca="1" ref="N53" ca="1">_FV(RTData[[#This Row],[Company Name]],"52 week low",TRUE)</f>
        <v>97.8</v>
      </c>
      <c r="O53" s="19" cm="1">
        <f t="array" aca="1" ref="O53" ca="1">_FV(RTData[[#This Row],[Company Name]],"52 week high",TRUE)</f>
        <v>126.34</v>
      </c>
      <c r="P53" s="23" cm="1">
        <f t="array" aca="1" ref="P53" ca="1">_FV(RTData[[#This Row],[Company Name]],"Volume")</f>
        <v>15439930</v>
      </c>
      <c r="Q53" s="23" cm="1">
        <f t="array" aca="1" ref="Q53" ca="1">_FV(RTData[[#This Row],[Company Name]],"Volume average",TRUE)</f>
        <v>15502136</v>
      </c>
      <c r="R53" s="19" cm="1">
        <f t="array" aca="1" ref="R53" ca="1">_FV(RTData[[#This Row],[Company Name]],"Beta")</f>
        <v>0.4975</v>
      </c>
      <c r="T53" t="s">
        <v>20</v>
      </c>
      <c r="U53" t="str" cm="1">
        <f t="array" aca="1" ref="U53" ca="1">_FV(RTData[[#This Row],[Company Name]],"Exchange abbreviation",TRUE)</f>
        <v>XNYS</v>
      </c>
      <c r="V53" s="24">
        <f ca="1">IFERROR(RTData[[#This Row],[Volume]]/RTData[[#This Row],[Volume average]],1)</f>
        <v>0.99598726265851367</v>
      </c>
      <c r="W53" s="24"/>
      <c r="X53" s="103">
        <f>[1]Sheet2!$E52</f>
        <v>124.79167</v>
      </c>
      <c r="Y53" s="149">
        <f>[1]Sheet2!$F52</f>
        <v>45884</v>
      </c>
      <c r="Z53" s="149" t="str">
        <f>[1]Sheet2!$G52</f>
        <v>Oct 31, 2025</v>
      </c>
      <c r="AA53" s="150">
        <f>[1]Sheet2!$H52</f>
        <v>3.6299999999999999E-2</v>
      </c>
      <c r="AB53" s="151">
        <v>1E-4</v>
      </c>
      <c r="AC53" s="152">
        <v>3.0000000000000001E-3</v>
      </c>
      <c r="AD53" s="103">
        <v>132.88</v>
      </c>
      <c r="AE53" s="153">
        <f>_xlfn.LET(_xlpm.New1YT,RTData[[#This Row],[1YT]],        _xlpm.Old1YT,IF(ISNUMBER(RTData[[#This Row],[Old1YT]]),RTData[[#This Row],[Old1YT]],VALUE(LEFT(RTData[[#This Row],[Old1YT]],FIND("/",RTData[[#This Row],[Old1YT]],1)-1))),       IF(OR(RTData[[#This Row],[1YT]]=0,_xlpm.Old1YT=0),0,(_xlpm.New1YT-_xlpm.Old1YT)/_xlpm.Old1YT))</f>
        <v>-6.0869431065623113E-2</v>
      </c>
      <c r="AF53" s="153" t="str">
        <f>TEXT(RTData[[#This Row],[1YT]],"#,#0.00")&amp;" &lt; "&amp;RTData[[#This Row],[Old1YT]]</f>
        <v>124.79 &lt; 132.88</v>
      </c>
    </row>
    <row r="54" spans="1:34" x14ac:dyDescent="0.3">
      <c r="A54" s="15" t="str" cm="1">
        <f t="array" aca="1" ref="A54" ca="1">_xlfn.SINGLE(RTData[suffix])&amp;_FV(RTData[[#This Row],[Company Name]],"Ticker symbol",TRUE)</f>
        <v>XPER</v>
      </c>
      <c r="B54" s="15">
        <f ca="1">D98</f>
        <v>0.84990651028386865</v>
      </c>
      <c r="C54" s="25" t="e" vm="52">
        <v>#VALUE!</v>
      </c>
      <c r="D54" s="17" t="str" cm="1">
        <f t="array" aca="1" ref="D54" ca="1">_FV(RTData[[#This Row],[Company Name]],"Currency")</f>
        <v>USD</v>
      </c>
      <c r="E54" s="18" cm="1">
        <f t="array" aca="1" ref="E54" ca="1">_FV(RTData[[#This Row],[Company Name]],"Last trade time",TRUE)</f>
        <v>45908.958333356248</v>
      </c>
      <c r="F54" s="19" cm="1">
        <f t="array" aca="1" ref="F54" ca="1">_FV(RTData[[#This Row],[Company Name]],"Previous close",TRUE)</f>
        <v>6.13</v>
      </c>
      <c r="G54" s="19" cm="1">
        <f t="array" aca="1" ref="G54" ca="1">_FV(RTData[[#This Row],[Company Name]],"Open")</f>
        <v>6.15</v>
      </c>
      <c r="H54" s="19" cm="1">
        <f t="array" aca="1" ref="H54" ca="1">_FV(RTData[[#This Row],[Company Name]],"Price")</f>
        <v>6.13</v>
      </c>
      <c r="I54" s="19" cm="1">
        <f t="array" aca="1" ref="I54" ca="1">_FV(RTData[[#This Row],[Company Name]],"Low")</f>
        <v>6.06</v>
      </c>
      <c r="J54" s="19" cm="1">
        <f t="array" aca="1" ref="J54" ca="1">_FV(RTData[[#This Row],[Company Name]],"High")</f>
        <v>6.1802999999999999</v>
      </c>
      <c r="K54" s="20" cm="1">
        <f t="array" ref="K54">IFERROR(_FV(RTData[[#This Row],[Company Name]],"P/E",TRUE),99)</f>
        <v>99</v>
      </c>
      <c r="L54" s="21" cm="1">
        <f t="array" aca="1" ref="L54" ca="1">_FV(RTData[[#This Row],[Company Name]],"Change")</f>
        <v>0</v>
      </c>
      <c r="M54" s="22" cm="1">
        <f t="array" aca="1" ref="M54" ca="1">_FV(RTData[[#This Row],[Company Name]],"Change (%)",TRUE)</f>
        <v>0</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355173</v>
      </c>
      <c r="Q54" s="23" cm="1">
        <f t="array" aca="1" ref="Q54" ca="1">_FV(RTData[[#This Row],[Company Name]],"Volume average",TRUE)</f>
        <v>552111</v>
      </c>
      <c r="R54" s="19" cm="1">
        <f t="array" aca="1" ref="R54" ca="1">_FV(RTData[[#This Row],[Company Name]],"Beta")</f>
        <v>1.149</v>
      </c>
      <c r="T54" t="s">
        <v>20</v>
      </c>
      <c r="U54" t="str" cm="1">
        <f t="array" aca="1" ref="U54" ca="1">_FV(RTData[[#This Row],[Company Name]],"Exchange abbreviation",TRUE)</f>
        <v>XNYS</v>
      </c>
      <c r="V54" s="24">
        <f ca="1">IFERROR(RTData[[#This Row],[Volume]]/RTData[[#This Row],[Volume average]],1)</f>
        <v>0.64329998858925108</v>
      </c>
      <c r="W54" s="24"/>
      <c r="X54" s="103">
        <f>[1]Sheet2!$E53</f>
        <v>11</v>
      </c>
      <c r="Y54" s="149">
        <f>[1]Sheet2!$F53</f>
        <v>0</v>
      </c>
      <c r="Z54" s="149">
        <f>[1]Sheet2!$G53</f>
        <v>0</v>
      </c>
      <c r="AA54" s="150">
        <f>[1]Sheet2!$H53</f>
        <v>0</v>
      </c>
      <c r="AB54" s="151">
        <v>1E-4</v>
      </c>
      <c r="AC54" s="152">
        <v>3.0000000000000001E-3</v>
      </c>
      <c r="AD54" s="103">
        <v>18.75</v>
      </c>
      <c r="AE54" s="153">
        <f>_xlfn.LET(_xlpm.New1YT,RTData[[#This Row],[1YT]],        _xlpm.Old1YT,IF(ISNUMBER(RTData[[#This Row],[Old1YT]]),RTData[[#This Row],[Old1YT]],VALUE(LEFT(RTData[[#This Row],[Old1YT]],FIND("/",RTData[[#This Row],[Old1YT]],1)-1))),       IF(OR(RTData[[#This Row],[1YT]]=0,_xlpm.Old1YT=0),0,(_xlpm.New1YT-_xlpm.Old1YT)/_xlpm.Old1YT))</f>
        <v>-0.41333333333333333</v>
      </c>
      <c r="AF54" s="153" t="str">
        <f>TEXT(RTData[[#This Row],[1YT]],"#,#0.00")&amp;" &lt; "&amp;RTData[[#This Row],[Old1YT]]</f>
        <v>11.00 &lt; 18.75</v>
      </c>
    </row>
    <row r="55" spans="1:34" x14ac:dyDescent="0.3">
      <c r="A55" s="68" t="str" cm="1">
        <f t="array" aca="1" ref="A55" ca="1">_xlfn.SINGLE(RTData[suffix])&amp;_FV(RTData[[#This Row],[Company Name]],"Ticker symbol",TRUE)</f>
        <v>MVEALDNE</v>
      </c>
      <c r="B55" s="69">
        <v>1</v>
      </c>
      <c r="C55" s="70" t="e" vm="5">
        <v>#VALUE!</v>
      </c>
      <c r="D55" s="74" t="str" cm="1">
        <f t="array" aca="1" ref="D55" ca="1">_FV(RTData[[#This Row],[Company Name]],"Currency")</f>
        <v>EUR</v>
      </c>
      <c r="E55" s="75" cm="1">
        <f t="array" aca="1" ref="E55" ca="1">_FV(RTData[[#This Row],[Company Name]],"Last trade time",TRUE)</f>
        <v>45908.666666666664</v>
      </c>
      <c r="F55" s="81" cm="1">
        <f t="array" aca="1" ref="F55" ca="1">_FV(RTData[[#This Row],[Company Name]],"Previous close",TRUE)</f>
        <v>0.91</v>
      </c>
      <c r="G55" s="81" cm="1">
        <f t="array" aca="1" ref="G55" ca="1">_FV(RTData[[#This Row],[Company Name]],"Open")</f>
        <v>0.9</v>
      </c>
      <c r="H55" s="81" cm="1">
        <f t="array" aca="1" ref="H55" ca="1">_FV(RTData[[#This Row],[Company Name]],"Price")</f>
        <v>0.89</v>
      </c>
      <c r="I55" s="81" cm="1">
        <f t="array" aca="1" ref="I55" ca="1">_FV(RTData[[#This Row],[Company Name]],"Low")</f>
        <v>0.89</v>
      </c>
      <c r="J55" s="81" cm="1">
        <f t="array" aca="1" ref="J55" ca="1">_FV(RTData[[#This Row],[Company Name]],"High")</f>
        <v>0.90800000000000003</v>
      </c>
      <c r="K55" s="76" cm="1">
        <f t="array" aca="1" ref="K55" ca="1">IFERROR(_FV(RTData[[#This Row],[Company Name]],"P/E",TRUE),99)</f>
        <v>0</v>
      </c>
      <c r="L55" s="77" cm="1">
        <f t="array" aca="1" ref="L55" ca="1">_FV(RTData[[#This Row],[Company Name]],"Change")</f>
        <v>-0.02</v>
      </c>
      <c r="M55" s="78" cm="1">
        <f t="array" aca="1" ref="M55" ca="1">_FV(RTData[[#This Row],[Company Name]],"Change (%)",TRUE)</f>
        <v>-2.1978000000000001E-2</v>
      </c>
      <c r="N55" s="81" cm="1">
        <f t="array" aca="1" ref="N55" ca="1">_FV(RTData[[#This Row],[Company Name]],"52 week low",TRUE)</f>
        <v>0.65</v>
      </c>
      <c r="O55" s="81" cm="1">
        <f t="array" aca="1" ref="O55" ca="1">_FV(RTData[[#This Row],[Company Name]],"52 week high",TRUE)</f>
        <v>1.91</v>
      </c>
      <c r="P55" s="79" cm="1">
        <f t="array" aca="1" ref="P55" ca="1">_FV(RTData[[#This Row],[Company Name]],"Volume")</f>
        <v>1964</v>
      </c>
      <c r="Q55" s="79" cm="1">
        <f t="array" aca="1" ref="Q55" ca="1">_FV(RTData[[#This Row],[Company Name]],"Volume average",TRUE)</f>
        <v>4060</v>
      </c>
      <c r="R55" s="74" cm="1">
        <f t="array" aca="1" ref="R55" ca="1">_FV(RTData[[#This Row],[Company Name]],"Beta")</f>
        <v>0.99280000000000002</v>
      </c>
      <c r="S55" s="80" t="s">
        <v>23</v>
      </c>
      <c r="T55" s="80" t="s">
        <v>20</v>
      </c>
      <c r="U55" s="80" t="str" cm="1">
        <f t="array" aca="1" ref="U55" ca="1">_FV(RTData[[#This Row],[Company Name]],"Exchange abbreviation",TRUE)</f>
        <v>XPAR</v>
      </c>
      <c r="V55" s="141">
        <f ca="1">IFERROR(RTData[[#This Row],[Volume]]/RTData[[#This Row],[Volume average]],1)</f>
        <v>0.483743842364532</v>
      </c>
      <c r="W55" s="141"/>
      <c r="X55" s="103">
        <f>[1]Sheet2!$E54</f>
        <v>1.5333300000000001</v>
      </c>
      <c r="Y55" s="149">
        <f>[1]Sheet2!$F54</f>
        <v>0</v>
      </c>
      <c r="Z55" s="149">
        <f>[1]Sheet2!$G54</f>
        <v>0</v>
      </c>
      <c r="AA55" s="150">
        <f>[1]Sheet2!$H54</f>
        <v>0</v>
      </c>
      <c r="AB55" s="151"/>
      <c r="AC55" s="152">
        <v>3.0000000000000001E-3</v>
      </c>
      <c r="AD55" s="103">
        <v>3.87</v>
      </c>
      <c r="AE55" s="153">
        <f>_xlfn.LET(_xlpm.New1YT,RTData[[#This Row],[1YT]],        _xlpm.Old1YT,IF(ISNUMBER(RTData[[#This Row],[Old1YT]]),RTData[[#This Row],[Old1YT]],VALUE(LEFT(RTData[[#This Row],[Old1YT]],FIND("/",RTData[[#This Row],[Old1YT]],1)-1))),       IF(OR(RTData[[#This Row],[1YT]]=0,_xlpm.Old1YT=0),0,(_xlpm.New1YT-_xlpm.Old1YT)/_xlpm.Old1YT))</f>
        <v>-0.60379069767441851</v>
      </c>
      <c r="AF55" s="153" t="str">
        <f>TEXT(RTData[[#This Row],[1YT]],"#,#0.00")&amp;" &lt; "&amp;RTData[[#This Row],[Old1YT]]</f>
        <v>1.53 &lt; 3.87</v>
      </c>
      <c r="AG55" s="24"/>
      <c r="AH55" s="55"/>
    </row>
    <row r="56" spans="1:34" x14ac:dyDescent="0.3">
      <c r="A56" s="69" t="str" cm="1">
        <f t="array" aca="1" ref="A56" ca="1">_xlfn.SINGLE(RTData[suffix])&amp;_FV(RTData[[#This Row],[Company Name]],"Ticker symbol",TRUE)</f>
        <v>MVEDDD</v>
      </c>
      <c r="B56" s="69">
        <f ca="1">D98</f>
        <v>0.84990651028386865</v>
      </c>
      <c r="C56" s="71" t="e" vm="13">
        <v>#VALUE!</v>
      </c>
      <c r="D56" s="74" t="str" cm="1">
        <f t="array" aca="1" ref="D56" ca="1">_FV(RTData[[#This Row],[Company Name]],"Currency")</f>
        <v>USD</v>
      </c>
      <c r="E56" s="75" cm="1">
        <f t="array" aca="1" ref="E56" ca="1">_FV(RTData[[#This Row],[Company Name]],"Last trade time",TRUE)</f>
        <v>45908.966721573437</v>
      </c>
      <c r="F56" s="74" cm="1">
        <f t="array" aca="1" ref="F56" ca="1">_FV(RTData[[#This Row],[Company Name]],"Previous close",TRUE)</f>
        <v>2.12</v>
      </c>
      <c r="G56" s="74" cm="1">
        <f t="array" aca="1" ref="G56" ca="1">_FV(RTData[[#This Row],[Company Name]],"Open")</f>
        <v>2.13</v>
      </c>
      <c r="H56" s="74" cm="1">
        <f t="array" aca="1" ref="H56" ca="1">_FV(RTData[[#This Row],[Company Name]],"Price")</f>
        <v>2.17</v>
      </c>
      <c r="I56" s="74" cm="1">
        <f t="array" aca="1" ref="I56" ca="1">_FV(RTData[[#This Row],[Company Name]],"Low")</f>
        <v>2.0499999999999998</v>
      </c>
      <c r="J56" s="74" cm="1">
        <f t="array" aca="1" ref="J56" ca="1">_FV(RTData[[#This Row],[Company Name]],"High")</f>
        <v>2.17</v>
      </c>
      <c r="K56" s="76" cm="1">
        <f t="array" aca="1" ref="K56" ca="1">IFERROR(_FV(RTData[[#This Row],[Company Name]],"P/E",TRUE),99)</f>
        <v>0</v>
      </c>
      <c r="L56" s="77" cm="1">
        <f t="array" aca="1" ref="L56" ca="1">_FV(RTData[[#This Row],[Company Name]],"Change")</f>
        <v>0.05</v>
      </c>
      <c r="M56" s="78" cm="1">
        <f t="array" aca="1" ref="M56" ca="1">_FV(RTData[[#This Row],[Company Name]],"Change (%)",TRUE)</f>
        <v>2.3584999999999998E-2</v>
      </c>
      <c r="N56" s="74" cm="1">
        <f t="array" aca="1" ref="N56" ca="1">_FV(RTData[[#This Row],[Company Name]],"52 week low",TRUE)</f>
        <v>1.32</v>
      </c>
      <c r="O56" s="74" cm="1">
        <f t="array" aca="1" ref="O56" ca="1">_FV(RTData[[#This Row],[Company Name]],"52 week high",TRUE)</f>
        <v>4.9991000000000003</v>
      </c>
      <c r="P56" s="79" cm="1">
        <f t="array" aca="1" ref="P56" ca="1">_FV(RTData[[#This Row],[Company Name]],"Volume")</f>
        <v>2291476</v>
      </c>
      <c r="Q56" s="79" cm="1">
        <f t="array" aca="1" ref="Q56" ca="1">_FV(RTData[[#This Row],[Company Name]],"Volume average",TRUE)</f>
        <v>4649994</v>
      </c>
      <c r="R56" s="74" cm="1">
        <f t="array" aca="1" ref="R56" ca="1">_FV(RTData[[#This Row],[Company Name]],"Beta")</f>
        <v>2.0886</v>
      </c>
      <c r="S56" s="80" t="s">
        <v>23</v>
      </c>
      <c r="T56" s="80" t="s">
        <v>24</v>
      </c>
      <c r="U56" s="80" t="str" cm="1">
        <f t="array" aca="1" ref="U56" ca="1">_FV(RTData[[#This Row],[Company Name]],"Exchange abbreviation",TRUE)</f>
        <v>XNYS</v>
      </c>
      <c r="V56" s="141">
        <f ca="1">IFERROR(RTData[[#This Row],[Volume]]/RTData[[#This Row],[Volume average]],1)</f>
        <v>0.49279117349398732</v>
      </c>
      <c r="W56" s="141"/>
      <c r="X56" s="103">
        <f>[1]Sheet2!$E55</f>
        <v>3.25</v>
      </c>
      <c r="Y56" s="149">
        <f>[1]Sheet2!$F55</f>
        <v>0</v>
      </c>
      <c r="Z56" s="149" t="str">
        <f>[1]Sheet2!$G55</f>
        <v>Nov 10, 2025</v>
      </c>
      <c r="AA56" s="150">
        <f>[1]Sheet2!$H55</f>
        <v>0</v>
      </c>
      <c r="AB56" s="151">
        <v>1E-4</v>
      </c>
      <c r="AC56" s="152">
        <v>3.0000000000000001E-3</v>
      </c>
      <c r="AD56" s="103">
        <v>3.94</v>
      </c>
      <c r="AE56" s="153">
        <f>_xlfn.LET(_xlpm.New1YT,RTData[[#This Row],[1YT]],        _xlpm.Old1YT,IF(ISNUMBER(RTData[[#This Row],[Old1YT]]),RTData[[#This Row],[Old1YT]],VALUE(LEFT(RTData[[#This Row],[Old1YT]],FIND("/",RTData[[#This Row],[Old1YT]],1)-1))),       IF(OR(RTData[[#This Row],[1YT]]=0,_xlpm.Old1YT=0),0,(_xlpm.New1YT-_xlpm.Old1YT)/_xlpm.Old1YT))</f>
        <v>-0.17512690355329949</v>
      </c>
      <c r="AF56" s="153" t="str">
        <f>TEXT(RTData[[#This Row],[1YT]],"#,#0.00")&amp;" &lt; "&amp;RTData[[#This Row],[Old1YT]]</f>
        <v>3.25 &lt; 3.94</v>
      </c>
      <c r="AG56" s="55"/>
    </row>
    <row r="57" spans="1:34" x14ac:dyDescent="0.3">
      <c r="A57" s="69" t="str" cm="1">
        <f t="array" aca="1" ref="A57" ca="1">_xlfn.SINGLE(RTData[suffix])&amp;_FV(RTData[[#This Row],[Company Name]],"Ticker symbol",TRUE)</f>
        <v>MVEDSY</v>
      </c>
      <c r="B57" s="69">
        <v>1</v>
      </c>
      <c r="C57" s="71" t="e" vm="15">
        <v>#VALUE!</v>
      </c>
      <c r="D57" s="74" t="str" cm="1">
        <f t="array" aca="1" ref="D57" ca="1">_FV(RTData[[#This Row],[Company Name]],"Currency")</f>
        <v>EUR</v>
      </c>
      <c r="E57" s="75" cm="1">
        <f t="array" aca="1" ref="E57" ca="1">_FV(RTData[[#This Row],[Company Name]],"Last trade time",TRUE)</f>
        <v>45908.666666666664</v>
      </c>
      <c r="F57" s="81" cm="1">
        <f t="array" aca="1" ref="F57" ca="1">_FV(RTData[[#This Row],[Company Name]],"Previous close",TRUE)</f>
        <v>26.8</v>
      </c>
      <c r="G57" s="81" cm="1">
        <f t="array" aca="1" ref="G57" ca="1">_FV(RTData[[#This Row],[Company Name]],"Open")</f>
        <v>26.89</v>
      </c>
      <c r="H57" s="81" cm="1">
        <f t="array" aca="1" ref="H57" ca="1">_FV(RTData[[#This Row],[Company Name]],"Price")</f>
        <v>27.38</v>
      </c>
      <c r="I57" s="81" cm="1">
        <f t="array" aca="1" ref="I57" ca="1">_FV(RTData[[#This Row],[Company Name]],"Low")</f>
        <v>26.76</v>
      </c>
      <c r="J57" s="81" cm="1">
        <f t="array" aca="1" ref="J57" ca="1">_FV(RTData[[#This Row],[Company Name]],"High")</f>
        <v>27.39</v>
      </c>
      <c r="K57" s="76" cm="1">
        <f t="array" aca="1" ref="K57" ca="1">IFERROR(_FV(RTData[[#This Row],[Company Name]],"P/E",TRUE),99)</f>
        <v>30.794</v>
      </c>
      <c r="L57" s="77" cm="1">
        <f t="array" aca="1" ref="L57" ca="1">_FV(RTData[[#This Row],[Company Name]],"Change")</f>
        <v>0.57999999999999996</v>
      </c>
      <c r="M57" s="78" cm="1">
        <f t="array" aca="1" ref="M57" ca="1">_FV(RTData[[#This Row],[Company Name]],"Change (%)",TRUE)</f>
        <v>2.1642000000000002E-2</v>
      </c>
      <c r="N57" s="81" cm="1">
        <f t="array" aca="1" ref="N57" ca="1">_FV(RTData[[#This Row],[Company Name]],"52 week low",TRUE)</f>
        <v>26.25</v>
      </c>
      <c r="O57" s="81" cm="1">
        <f t="array" aca="1" ref="O57" ca="1">_FV(RTData[[#This Row],[Company Name]],"52 week high",TRUE)</f>
        <v>41.17</v>
      </c>
      <c r="P57" s="79" cm="1">
        <f t="array" aca="1" ref="P57" ca="1">_FV(RTData[[#This Row],[Company Name]],"Volume")</f>
        <v>1160764</v>
      </c>
      <c r="Q57" s="79" cm="1">
        <f t="array" aca="1" ref="Q57" ca="1">_FV(RTData[[#This Row],[Company Name]],"Volume average",TRUE)</f>
        <v>1799050</v>
      </c>
      <c r="R57" s="74" cm="1">
        <f t="array" aca="1" ref="R57" ca="1">_FV(RTData[[#This Row],[Company Name]],"Beta")</f>
        <v>0.68440000000000001</v>
      </c>
      <c r="S57" s="80" t="s">
        <v>23</v>
      </c>
      <c r="T57" s="80" t="s">
        <v>24</v>
      </c>
      <c r="U57" s="80" t="str" cm="1">
        <f t="array" aca="1" ref="U57" ca="1">_FV(RTData[[#This Row],[Company Name]],"Exchange abbreviation",TRUE)</f>
        <v>XPAR</v>
      </c>
      <c r="V57" s="141">
        <f ca="1">IFERROR(RTData[[#This Row],[Volume]]/RTData[[#This Row],[Volume average]],1)</f>
        <v>0.64520941608070925</v>
      </c>
      <c r="W57" s="141"/>
      <c r="X57" s="103">
        <f>X17</f>
        <v>35.56</v>
      </c>
      <c r="Y57" s="149">
        <f t="shared" ref="Y57:AE57" si="0">Y17</f>
        <v>45803</v>
      </c>
      <c r="Z57" s="149">
        <f t="shared" si="0"/>
        <v>0</v>
      </c>
      <c r="AA57" s="150">
        <f t="shared" si="0"/>
        <v>9.7000000000000003E-3</v>
      </c>
      <c r="AB57" s="151">
        <f t="shared" si="0"/>
        <v>0</v>
      </c>
      <c r="AC57" s="152">
        <f t="shared" si="0"/>
        <v>3.0000000000000001E-3</v>
      </c>
      <c r="AD57" s="103" t="str">
        <f t="shared" si="0"/>
        <v>37.97/38.13/38.23</v>
      </c>
      <c r="AE57" s="153">
        <f t="shared" si="0"/>
        <v>-6.3471161443244578E-2</v>
      </c>
      <c r="AF57" s="153" t="str">
        <f>TEXT(RTData[[#This Row],[1YT]],"#,#0.00")&amp;" &lt; "&amp;RTData[[#This Row],[Old1YT]]</f>
        <v>35.56 &lt; 37.97/38.13/38.23</v>
      </c>
    </row>
    <row r="58" spans="1:34" x14ac:dyDescent="0.3">
      <c r="A58" s="69" t="str" cm="1">
        <f t="array" aca="1" ref="A58" ca="1">_xlfn.SINGLE(RTData[suffix])&amp;_FV(RTData[[#This Row],[Company Name]],"Ticker symbol",TRUE)</f>
        <v>MVEEOAN</v>
      </c>
      <c r="B58" s="69">
        <v>1</v>
      </c>
      <c r="C58" s="71" t="e" vm="18">
        <v>#VALUE!</v>
      </c>
      <c r="D58" s="74" t="str" cm="1">
        <f t="array" aca="1" ref="D58" ca="1">_FV(RTData[[#This Row],[Company Name]],"Currency")</f>
        <v>EUR</v>
      </c>
      <c r="E58" s="75" cm="1">
        <f t="array" aca="1" ref="E58" ca="1">_FV(RTData[[#This Row],[Company Name]],"Last trade time",TRUE)</f>
        <v>45908.907187500001</v>
      </c>
      <c r="F58" s="81" cm="1">
        <f t="array" aca="1" ref="F58" ca="1">_FV(RTData[[#This Row],[Company Name]],"Previous close",TRUE)</f>
        <v>15.175000000000001</v>
      </c>
      <c r="G58" s="81" cm="1">
        <f t="array" aca="1" ref="G58" ca="1">_FV(RTData[[#This Row],[Company Name]],"Open")</f>
        <v>15.244999999999999</v>
      </c>
      <c r="H58" s="81" cm="1">
        <f t="array" aca="1" ref="H58" ca="1">_FV(RTData[[#This Row],[Company Name]],"Price")</f>
        <v>15.345000000000001</v>
      </c>
      <c r="I58" s="81" cm="1">
        <f t="array" aca="1" ref="I58" ca="1">_FV(RTData[[#This Row],[Company Name]],"Low")</f>
        <v>15.205</v>
      </c>
      <c r="J58" s="81" cm="1">
        <f t="array" aca="1" ref="J58" ca="1">_FV(RTData[[#This Row],[Company Name]],"High")</f>
        <v>15.4</v>
      </c>
      <c r="K58" s="76" cm="1">
        <f t="array" aca="1" ref="K58" ca="1">IFERROR(_FV(RTData[[#This Row],[Company Name]],"P/E",TRUE),99)</f>
        <v>12.567299999999999</v>
      </c>
      <c r="L58" s="77" cm="1">
        <f t="array" aca="1" ref="L58" ca="1">_FV(RTData[[#This Row],[Company Name]],"Change")</f>
        <v>0.17</v>
      </c>
      <c r="M58" s="78" cm="1">
        <f t="array" aca="1" ref="M58" ca="1">_FV(RTData[[#This Row],[Company Name]],"Change (%)",TRUE)</f>
        <v>1.1203000000000001E-2</v>
      </c>
      <c r="N58" s="81" cm="1">
        <f t="array" aca="1" ref="N58" ca="1">_FV(RTData[[#This Row],[Company Name]],"52 week low",TRUE)</f>
        <v>10.435</v>
      </c>
      <c r="O58" s="81" cm="1">
        <f t="array" aca="1" ref="O58" ca="1">_FV(RTData[[#This Row],[Company Name]],"52 week high",TRUE)</f>
        <v>16.55</v>
      </c>
      <c r="P58" s="79" cm="1">
        <f t="array" aca="1" ref="P58" ca="1">_FV(RTData[[#This Row],[Company Name]],"Volume")</f>
        <v>4999432</v>
      </c>
      <c r="Q58" s="79" cm="1">
        <f t="array" aca="1" ref="Q58" ca="1">_FV(RTData[[#This Row],[Company Name]],"Volume average",TRUE)</f>
        <v>4158470</v>
      </c>
      <c r="R58" s="74" cm="1">
        <f t="array" aca="1" ref="R58" ca="1">_FV(RTData[[#This Row],[Company Name]],"Beta")</f>
        <v>0.71319999999999995</v>
      </c>
      <c r="S58" s="80" t="s">
        <v>23</v>
      </c>
      <c r="T58" s="80" t="s">
        <v>24</v>
      </c>
      <c r="U58" s="80" t="str" cm="1">
        <f t="array" aca="1" ref="U58" ca="1">_FV(RTData[[#This Row],[Company Name]],"Exchange abbreviation",TRUE)</f>
        <v>XETR</v>
      </c>
      <c r="V58" s="141">
        <f ca="1">IFERROR(RTData[[#This Row],[Volume]]/RTData[[#This Row],[Volume average]],1)</f>
        <v>1.2022287043071129</v>
      </c>
      <c r="W58" s="141"/>
      <c r="X58" s="103">
        <f>[1]Sheet2!$E57</f>
        <v>16.88824</v>
      </c>
      <c r="Y58" s="149">
        <f>[1]Sheet2!$F57</f>
        <v>45793</v>
      </c>
      <c r="Z58" s="149">
        <f>[1]Sheet2!$G57</f>
        <v>0</v>
      </c>
      <c r="AA58" s="150">
        <f>[1]Sheet2!$H57</f>
        <v>3.6199997999999997E-2</v>
      </c>
      <c r="AB58" s="151"/>
      <c r="AC58" s="152">
        <v>3.0000000000000001E-3</v>
      </c>
      <c r="AD58" s="103">
        <v>14.8</v>
      </c>
      <c r="AE58" s="153">
        <f>_xlfn.LET(_xlpm.New1YT,RTData[[#This Row],[1YT]],        _xlpm.Old1YT,IF(ISNUMBER(RTData[[#This Row],[Old1YT]]),RTData[[#This Row],[Old1YT]],VALUE(LEFT(RTData[[#This Row],[Old1YT]],FIND("/",RTData[[#This Row],[Old1YT]],1)-1))),       IF(OR(RTData[[#This Row],[1YT]]=0,_xlpm.Old1YT=0),0,(_xlpm.New1YT-_xlpm.Old1YT)/_xlpm.Old1YT))</f>
        <v>0.14109729729729723</v>
      </c>
      <c r="AF58" s="153" t="str">
        <f>TEXT(RTData[[#This Row],[1YT]],"#,#0.00")&amp;" &lt; "&amp;RTData[[#This Row],[Old1YT]]</f>
        <v>16.89 &lt; 14.8</v>
      </c>
    </row>
    <row r="59" spans="1:34" x14ac:dyDescent="0.3">
      <c r="A59" s="68" t="str" cm="1">
        <f t="array" aca="1" ref="A59" ca="1">_xlfn.SINGLE(RTData[suffix])&amp;_FV(RTData[[#This Row],[Company Name]],"Ticker symbol",TRUE)</f>
        <v>MVEENI</v>
      </c>
      <c r="B59" s="69">
        <v>1</v>
      </c>
      <c r="C59" s="70" t="e" vm="53">
        <v>#VALUE!</v>
      </c>
      <c r="D59" s="74" t="str" cm="1">
        <f t="array" aca="1" ref="D59" ca="1">_FV(RTData[[#This Row],[Company Name]],"Currency")</f>
        <v>EUR</v>
      </c>
      <c r="E59" s="75" cm="1">
        <f t="array" aca="1" ref="E59" ca="1">_FV(RTData[[#This Row],[Company Name]],"Last trade time",TRUE)</f>
        <v>45908.666666666664</v>
      </c>
      <c r="F59" s="81" cm="1">
        <f t="array" aca="1" ref="F59" ca="1">_FV(RTData[[#This Row],[Company Name]],"Previous close",TRUE)</f>
        <v>14.625999999999999</v>
      </c>
      <c r="G59" s="81" cm="1">
        <f t="array" aca="1" ref="G59" ca="1">_FV(RTData[[#This Row],[Company Name]],"Open")</f>
        <v>14.74</v>
      </c>
      <c r="H59" s="81" cm="1">
        <f t="array" aca="1" ref="H59" ca="1">_FV(RTData[[#This Row],[Company Name]],"Price")</f>
        <v>14.688000000000001</v>
      </c>
      <c r="I59" s="81" cm="1">
        <f t="array" aca="1" ref="I59" ca="1">_FV(RTData[[#This Row],[Company Name]],"Low")</f>
        <v>14.644</v>
      </c>
      <c r="J59" s="81" cm="1">
        <f t="array" aca="1" ref="J59" ca="1">_FV(RTData[[#This Row],[Company Name]],"High")</f>
        <v>14.78</v>
      </c>
      <c r="K59" s="76" cm="1">
        <f t="array" aca="1" ref="K59" ca="1">IFERROR(_FV(RTData[[#This Row],[Company Name]],"P/E",TRUE),99)</f>
        <v>18.273399999999999</v>
      </c>
      <c r="L59" s="77" cm="1">
        <f t="array" aca="1" ref="L59" ca="1">_FV(RTData[[#This Row],[Company Name]],"Change")</f>
        <v>6.2E-2</v>
      </c>
      <c r="M59" s="78" cm="1">
        <f t="array" aca="1" ref="M59" ca="1">_FV(RTData[[#This Row],[Company Name]],"Change (%)",TRUE)</f>
        <v>4.2389999999999997E-3</v>
      </c>
      <c r="N59" s="81" cm="1">
        <f t="array" aca="1" ref="N59" ca="1">_FV(RTData[[#This Row],[Company Name]],"52 week low",TRUE)</f>
        <v>11.01</v>
      </c>
      <c r="O59" s="81" cm="1">
        <f t="array" aca="1" ref="O59" ca="1">_FV(RTData[[#This Row],[Company Name]],"52 week high",TRUE)</f>
        <v>15.39</v>
      </c>
      <c r="P59" s="79" cm="1">
        <f t="array" aca="1" ref="P59" ca="1">_FV(RTData[[#This Row],[Company Name]],"Volume")</f>
        <v>7965752</v>
      </c>
      <c r="Q59" s="79" cm="1">
        <f t="array" aca="1" ref="Q59" ca="1">_FV(RTData[[#This Row],[Company Name]],"Volume average",TRUE)</f>
        <v>10934450</v>
      </c>
      <c r="R59" s="74" cm="1">
        <f t="array" aca="1" ref="R59" ca="1">_FV(RTData[[#This Row],[Company Name]],"Beta")</f>
        <v>1.1044</v>
      </c>
      <c r="S59" s="80" t="s">
        <v>23</v>
      </c>
      <c r="T59" s="80" t="s">
        <v>24</v>
      </c>
      <c r="U59" s="80" t="str" cm="1">
        <f t="array" aca="1" ref="U59" ca="1">_FV(RTData[[#This Row],[Company Name]],"Exchange abbreviation",TRUE)</f>
        <v>XMIL</v>
      </c>
      <c r="V59" s="141">
        <f ca="1">IFERROR(RTData[[#This Row],[Volume]]/RTData[[#This Row],[Volume average]],1)</f>
        <v>0.72850047327483325</v>
      </c>
      <c r="W59" s="141"/>
      <c r="X59" s="103">
        <f>X75</f>
        <v>15.23</v>
      </c>
      <c r="Y59" s="149">
        <f t="shared" ref="Y59:AD59" si="1">Y75</f>
        <v>45922</v>
      </c>
      <c r="Z59" s="149">
        <f t="shared" si="1"/>
        <v>0</v>
      </c>
      <c r="AA59" s="150">
        <f t="shared" si="1"/>
        <v>7.1100003999999994E-2</v>
      </c>
      <c r="AB59" s="151">
        <f t="shared" si="1"/>
        <v>0</v>
      </c>
      <c r="AC59" s="152">
        <f t="shared" si="1"/>
        <v>3.0000000000000001E-3</v>
      </c>
      <c r="AD59" s="103" t="str">
        <f t="shared" si="1"/>
        <v>14.71/14.81/16.46</v>
      </c>
      <c r="AE59" s="153">
        <f>_xlfn.LET(_xlpm.New1YT,RTData[[#This Row],[1YT]],        _xlpm.Old1YT,IF(ISNUMBER(RTData[[#This Row],[Old1YT]]),RTData[[#This Row],[Old1YT]],VALUE(LEFT(RTData[[#This Row],[Old1YT]],FIND("/",RTData[[#This Row],[Old1YT]],1)-1))),       IF(OR(RTData[[#This Row],[1YT]]=0,_xlpm.Old1YT=0),0,(_xlpm.New1YT-_xlpm.Old1YT)/_xlpm.Old1YT))</f>
        <v>3.5350101971447966E-2</v>
      </c>
      <c r="AF59" s="153" t="str">
        <f>TEXT(RTData[[#This Row],[1YT]],"#,#0.00")&amp;" &lt; "&amp;RTData[[#This Row],[Old1YT]]</f>
        <v>15.23 &lt; 14.71/14.81/16.46</v>
      </c>
    </row>
    <row r="60" spans="1:34" x14ac:dyDescent="0.3">
      <c r="A60" s="69" t="str" cm="1">
        <f t="array" aca="1" ref="A60" ca="1">_xlfn.SINGLE(RTData[suffix])&amp;_FV(RTData[[#This Row],[Company Name]],"Ticker symbol",TRUE)</f>
        <v>MVEEPIX</v>
      </c>
      <c r="B60" s="69">
        <f ca="1">D98</f>
        <v>0.84990651028386865</v>
      </c>
      <c r="C60" s="71" t="e" vm="19">
        <f>C21</f>
        <v>#VALUE!</v>
      </c>
      <c r="D60" s="74" t="str" cm="1">
        <f t="array" aca="1" ref="D60" ca="1">_FV(RTData[[#This Row],[Company Name]],"Currency")</f>
        <v>USD</v>
      </c>
      <c r="E60" s="75" cm="1">
        <f t="array" aca="1" ref="E60" ca="1">_FV(RTData[[#This Row],[Company Name]],"Last trade time",TRUE)</f>
        <v>45908.968290763281</v>
      </c>
      <c r="F60" s="74" cm="1">
        <f t="array" aca="1" ref="F60" ca="1">_FV(RTData[[#This Row],[Company Name]],"Previous close",TRUE)</f>
        <v>0.2329</v>
      </c>
      <c r="G60" s="74" cm="1">
        <f t="array" aca="1" ref="G60" ca="1">_FV(RTData[[#This Row],[Company Name]],"Open")</f>
        <v>0.2329</v>
      </c>
      <c r="H60" s="74" cm="1">
        <f t="array" aca="1" ref="H60" ca="1">_FV(RTData[[#This Row],[Company Name]],"Price")</f>
        <v>0.2369</v>
      </c>
      <c r="I60" s="74" cm="1">
        <f t="array" aca="1" ref="I60" ca="1">_FV(RTData[[#This Row],[Company Name]],"Low")</f>
        <v>0.23139999999999999</v>
      </c>
      <c r="J60" s="74" cm="1">
        <f t="array" aca="1" ref="J60" ca="1">_FV(RTData[[#This Row],[Company Name]],"High")</f>
        <v>0.2399</v>
      </c>
      <c r="K60" s="76" cm="1">
        <f t="array" aca="1" ref="K60" ca="1">IFERROR(_FV(RTData[[#This Row],[Company Name]],"P/E",TRUE),99)</f>
        <v>0</v>
      </c>
      <c r="L60" s="77" cm="1">
        <f t="array" aca="1" ref="L60" ca="1">_FV(RTData[[#This Row],[Company Name]],"Change")</f>
        <v>4.0000000000000001E-3</v>
      </c>
      <c r="M60" s="78" cm="1">
        <f t="array" aca="1" ref="M60" ca="1">_FV(RTData[[#This Row],[Company Name]],"Change (%)",TRUE)</f>
        <v>1.7174999999999999E-2</v>
      </c>
      <c r="N60" s="74" cm="1">
        <f t="array" aca="1" ref="N60" ca="1">_FV(RTData[[#This Row],[Company Name]],"52 week low",TRUE)</f>
        <v>0.17330000000000001</v>
      </c>
      <c r="O60" s="74" cm="1">
        <f t="array" aca="1" ref="O60" ca="1">_FV(RTData[[#This Row],[Company Name]],"52 week high",TRUE)</f>
        <v>0.97570000000000001</v>
      </c>
      <c r="P60" s="79" cm="1">
        <f t="array" aca="1" ref="P60" ca="1">_FV(RTData[[#This Row],[Company Name]],"Volume")</f>
        <v>2408030</v>
      </c>
      <c r="Q60" s="79" cm="1">
        <f t="array" aca="1" ref="Q60" ca="1">_FV(RTData[[#This Row],[Company Name]],"Volume average",TRUE)</f>
        <v>13911904</v>
      </c>
      <c r="R60" s="74" cm="1">
        <f t="array" aca="1" ref="R60" ca="1">_FV(RTData[[#This Row],[Company Name]],"Beta")</f>
        <v>1.6245000000000001</v>
      </c>
      <c r="S60" s="80" t="s">
        <v>23</v>
      </c>
      <c r="T60" s="80" t="s">
        <v>24</v>
      </c>
      <c r="U60" s="80" t="str" cm="1">
        <f t="array" aca="1" ref="U60" ca="1">_FV(RTData[[#This Row],[Company Name]],"Exchange abbreviation",TRUE)</f>
        <v>XNAS</v>
      </c>
      <c r="V60" s="141">
        <f ca="1">IFERROR(RTData[[#This Row],[Volume]]/RTData[[#This Row],[Volume average]],1)</f>
        <v>0.17309133243012603</v>
      </c>
      <c r="W60" s="141"/>
      <c r="X60" s="103">
        <f>[1]Sheet2!$E59</f>
        <v>0</v>
      </c>
      <c r="Y60" s="149">
        <f>[1]Sheet2!$F59</f>
        <v>45894</v>
      </c>
      <c r="Z60" s="149" t="str">
        <f>[1]Sheet2!$G59</f>
        <v>Aug 7, 2025</v>
      </c>
      <c r="AA60" s="150">
        <f>[1]Sheet2!$H59</f>
        <v>0</v>
      </c>
      <c r="AB60" s="151">
        <v>1E-4</v>
      </c>
      <c r="AC60" s="152">
        <v>3.0000000000000001E-3</v>
      </c>
      <c r="AD60" s="103">
        <v>9.32</v>
      </c>
      <c r="AE60" s="153">
        <f>_xlfn.LET(_xlpm.New1YT,RTData[[#This Row],[1YT]],        _xlpm.Old1YT,IF(ISNUMBER(RTData[[#This Row],[Old1YT]]),RTData[[#This Row],[Old1YT]],VALUE(LEFT(RTData[[#This Row],[Old1YT]],FIND("/",RTData[[#This Row],[Old1YT]],1)-1))),       IF(OR(RTData[[#This Row],[1YT]]=0,_xlpm.Old1YT=0),0,(_xlpm.New1YT-_xlpm.Old1YT)/_xlpm.Old1YT))</f>
        <v>0</v>
      </c>
      <c r="AF60" s="153" t="str">
        <f>TEXT(RTData[[#This Row],[1YT]],"#,#0.00")&amp;" &lt; "&amp;RTData[[#This Row],[Old1YT]]</f>
        <v>0.00 &lt; 9.32</v>
      </c>
    </row>
    <row r="61" spans="1:34" x14ac:dyDescent="0.3">
      <c r="A61" s="69" t="str" cm="1">
        <f t="array" aca="1" ref="A61" ca="1">_xlfn.SINGLE(RTData[suffix])&amp;_FV(RTData[[#This Row],[Company Name]],"Ticker symbol",TRUE)</f>
        <v>MVEGLE</v>
      </c>
      <c r="B61" s="69">
        <v>1</v>
      </c>
      <c r="C61" s="70" t="e" vm="54">
        <v>#VALUE!</v>
      </c>
      <c r="D61" s="74" t="str" cm="1">
        <f t="array" aca="1" ref="D61" ca="1">_FV(RTData[[#This Row],[Company Name]],"Currency")</f>
        <v>EUR</v>
      </c>
      <c r="E61" s="75" cm="1">
        <f t="array" aca="1" ref="E61" ca="1">_FV(RTData[[#This Row],[Company Name]],"Last trade time",TRUE)</f>
        <v>45908.666666666664</v>
      </c>
      <c r="F61" s="81" cm="1">
        <f t="array" aca="1" ref="F61" ca="1">_FV(RTData[[#This Row],[Company Name]],"Previous close",TRUE)</f>
        <v>53.04</v>
      </c>
      <c r="G61" s="81" cm="1">
        <f t="array" aca="1" ref="G61" ca="1">_FV(RTData[[#This Row],[Company Name]],"Open")</f>
        <v>53.26</v>
      </c>
      <c r="H61" s="81" cm="1">
        <f t="array" aca="1" ref="H61" ca="1">_FV(RTData[[#This Row],[Company Name]],"Price")</f>
        <v>53.76</v>
      </c>
      <c r="I61" s="81" cm="1">
        <f t="array" aca="1" ref="I61" ca="1">_FV(RTData[[#This Row],[Company Name]],"Low")</f>
        <v>52.88</v>
      </c>
      <c r="J61" s="81" cm="1">
        <f t="array" aca="1" ref="J61" ca="1">_FV(RTData[[#This Row],[Company Name]],"High")</f>
        <v>53.78</v>
      </c>
      <c r="K61" s="76" cm="1">
        <f t="array" aca="1" ref="K61" ca="1">IFERROR(_FV(RTData[[#This Row],[Company Name]],"P/E",TRUE),99)</f>
        <v>8.8834</v>
      </c>
      <c r="L61" s="77" cm="1">
        <f t="array" aca="1" ref="L61" ca="1">_FV(RTData[[#This Row],[Company Name]],"Change")</f>
        <v>0.72</v>
      </c>
      <c r="M61" s="78" cm="1">
        <f t="array" aca="1" ref="M61" ca="1">_FV(RTData[[#This Row],[Company Name]],"Change (%)",TRUE)</f>
        <v>1.3574999999999999E-2</v>
      </c>
      <c r="N61" s="81" cm="1">
        <f t="array" aca="1" ref="N61" ca="1">_FV(RTData[[#This Row],[Company Name]],"52 week low",TRUE)</f>
        <v>21.55</v>
      </c>
      <c r="O61" s="81" cm="1">
        <f t="array" aca="1" ref="O61" ca="1">_FV(RTData[[#This Row],[Company Name]],"52 week high",TRUE)</f>
        <v>59.42</v>
      </c>
      <c r="P61" s="79" cm="1">
        <f t="array" aca="1" ref="P61" ca="1">_FV(RTData[[#This Row],[Company Name]],"Volume")</f>
        <v>2302225</v>
      </c>
      <c r="Q61" s="79" cm="1">
        <f t="array" aca="1" ref="Q61" ca="1">_FV(RTData[[#This Row],[Company Name]],"Volume average",TRUE)</f>
        <v>3182130</v>
      </c>
      <c r="R61" s="74" cm="1">
        <f t="array" aca="1" ref="R61" ca="1">_FV(RTData[[#This Row],[Company Name]],"Beta")</f>
        <v>1.5658000000000001</v>
      </c>
      <c r="S61" s="80" t="s">
        <v>23</v>
      </c>
      <c r="T61" s="80" t="s">
        <v>24</v>
      </c>
      <c r="U61" s="80" t="str" cm="1">
        <f t="array" aca="1" ref="U61" ca="1">_FV(RTData[[#This Row],[Company Name]],"Exchange abbreviation",TRUE)</f>
        <v>XPAR</v>
      </c>
      <c r="V61" s="141">
        <f ca="1">IFERROR(RTData[[#This Row],[Volume]]/RTData[[#This Row],[Volume average]],1)</f>
        <v>0.72348552698978352</v>
      </c>
      <c r="W61" s="141"/>
      <c r="X61" s="103">
        <f>X78</f>
        <v>60.69</v>
      </c>
      <c r="Y61" s="149">
        <f t="shared" ref="Y61:AD61" si="2">Y78</f>
        <v>45937</v>
      </c>
      <c r="Z61" s="149" t="str">
        <f t="shared" si="2"/>
        <v>Oct 30, 2025</v>
      </c>
      <c r="AA61" s="150">
        <f t="shared" si="2"/>
        <v>3.2099999999999997E-2</v>
      </c>
      <c r="AB61" s="151">
        <f t="shared" si="2"/>
        <v>0</v>
      </c>
      <c r="AC61" s="152">
        <f t="shared" si="2"/>
        <v>3.0000000000000001E-3</v>
      </c>
      <c r="AD61" s="103" t="str">
        <f t="shared" si="2"/>
        <v>59.77/51.92/30.4</v>
      </c>
      <c r="AE61" s="153">
        <f>_xlfn.LET(_xlpm.New1YT,RTData[[#This Row],[1YT]],        _xlpm.Old1YT,IF(ISNUMBER(RTData[[#This Row],[Old1YT]]),RTData[[#This Row],[Old1YT]],VALUE(LEFT(RTData[[#This Row],[Old1YT]],FIND("/",RTData[[#This Row],[Old1YT]],1)-1))),       IF(OR(RTData[[#This Row],[1YT]]=0,_xlpm.Old1YT=0),0,(_xlpm.New1YT-_xlpm.Old1YT)/_xlpm.Old1YT))</f>
        <v>1.5392337292956242E-2</v>
      </c>
      <c r="AF61" s="153" t="str">
        <f>TEXT(RTData[[#This Row],[1YT]],"#,#0.00")&amp;" &lt; "&amp;RTData[[#This Row],[Old1YT]]</f>
        <v>60.69 &lt; 59.77/51.92/30.4</v>
      </c>
    </row>
    <row r="62" spans="1:34" x14ac:dyDescent="0.3">
      <c r="A62" s="69" t="str" cm="1">
        <f t="array" aca="1" ref="A62" ca="1">_xlfn.SINGLE(RTData[suffix])&amp;_FV(RTData[[#This Row],[Company Name]],"Ticker symbol",TRUE)</f>
        <v>MVEORA</v>
      </c>
      <c r="B62" s="69">
        <v>1</v>
      </c>
      <c r="C62" s="71" t="e" vm="55">
        <v>#VALUE!</v>
      </c>
      <c r="D62" s="74" t="str" cm="1">
        <f t="array" aca="1" ref="D62" ca="1">_FV(RTData[[#This Row],[Company Name]],"Currency")</f>
        <v>EUR</v>
      </c>
      <c r="E62" s="75" cm="1">
        <f t="array" aca="1" ref="E62" ca="1">_FV(RTData[[#This Row],[Company Name]],"Last trade time",TRUE)</f>
        <v>45908.666666666664</v>
      </c>
      <c r="F62" s="81" cm="1">
        <f t="array" aca="1" ref="F62" ca="1">_FV(RTData[[#This Row],[Company Name]],"Previous close",TRUE)</f>
        <v>13.625</v>
      </c>
      <c r="G62" s="81" cm="1">
        <f t="array" aca="1" ref="G62" ca="1">_FV(RTData[[#This Row],[Company Name]],"Open")</f>
        <v>13.615</v>
      </c>
      <c r="H62" s="81" cm="1">
        <f t="array" aca="1" ref="H62" ca="1">_FV(RTData[[#This Row],[Company Name]],"Price")</f>
        <v>13.525</v>
      </c>
      <c r="I62" s="81" cm="1">
        <f t="array" aca="1" ref="I62" ca="1">_FV(RTData[[#This Row],[Company Name]],"Low")</f>
        <v>13.465</v>
      </c>
      <c r="J62" s="81" cm="1">
        <f t="array" aca="1" ref="J62" ca="1">_FV(RTData[[#This Row],[Company Name]],"High")</f>
        <v>13.615</v>
      </c>
      <c r="K62" s="76" cm="1">
        <f t="array" aca="1" ref="K62" ca="1">IFERROR(_FV(RTData[[#This Row],[Company Name]],"P/E",TRUE),99)</f>
        <v>43.035400000000003</v>
      </c>
      <c r="L62" s="77" cm="1">
        <f t="array" aca="1" ref="L62" ca="1">_FV(RTData[[#This Row],[Company Name]],"Change")</f>
        <v>-0.1</v>
      </c>
      <c r="M62" s="78" cm="1">
        <f t="array" aca="1" ref="M62" ca="1">_FV(RTData[[#This Row],[Company Name]],"Change (%)",TRUE)</f>
        <v>-7.339E-3</v>
      </c>
      <c r="N62" s="81" cm="1">
        <f t="array" aca="1" ref="N62" ca="1">_FV(RTData[[#This Row],[Company Name]],"52 week low",TRUE)</f>
        <v>9.3699999999999992</v>
      </c>
      <c r="O62" s="81" cm="1">
        <f t="array" aca="1" ref="O62" ca="1">_FV(RTData[[#This Row],[Company Name]],"52 week high",TRUE)</f>
        <v>14.56</v>
      </c>
      <c r="P62" s="79" cm="1">
        <f t="array" aca="1" ref="P62" ca="1">_FV(RTData[[#This Row],[Company Name]],"Volume")</f>
        <v>3572600</v>
      </c>
      <c r="Q62" s="79" cm="1">
        <f t="array" aca="1" ref="Q62" ca="1">_FV(RTData[[#This Row],[Company Name]],"Volume average",TRUE)</f>
        <v>5804800</v>
      </c>
      <c r="R62" s="74" cm="1">
        <f t="array" aca="1" ref="R62" ca="1">_FV(RTData[[#This Row],[Company Name]],"Beta")</f>
        <v>0.27610000000000001</v>
      </c>
      <c r="S62" s="80" t="s">
        <v>23</v>
      </c>
      <c r="T62" s="80" t="s">
        <v>24</v>
      </c>
      <c r="U62" s="80" t="str" cm="1">
        <f t="array" aca="1" ref="U62" ca="1">_FV(RTData[[#This Row],[Company Name]],"Exchange abbreviation",TRUE)</f>
        <v>XPAR</v>
      </c>
      <c r="V62" s="141">
        <f ca="1">IFERROR(RTData[[#This Row],[Volume]]/RTData[[#This Row],[Volume average]],1)</f>
        <v>0.61545617420066157</v>
      </c>
      <c r="W62" s="141"/>
      <c r="X62" s="103">
        <f>X86</f>
        <v>14.92</v>
      </c>
      <c r="Y62" s="149">
        <f t="shared" ref="Y62:AD62" si="3">Y86</f>
        <v>45993</v>
      </c>
      <c r="Z62" s="149">
        <f t="shared" si="3"/>
        <v>45953</v>
      </c>
      <c r="AA62" s="150">
        <f t="shared" si="3"/>
        <v>5.5E-2</v>
      </c>
      <c r="AB62" s="151">
        <f t="shared" si="3"/>
        <v>0</v>
      </c>
      <c r="AC62" s="152">
        <f t="shared" si="3"/>
        <v>3.0000000000000001E-3</v>
      </c>
      <c r="AD62" s="103" t="str">
        <f t="shared" si="3"/>
        <v>14.83/14/12.94</v>
      </c>
      <c r="AE62" s="153">
        <f>_xlfn.LET(_xlpm.New1YT,RTData[[#This Row],[1YT]],        _xlpm.Old1YT,IF(ISNUMBER(RTData[[#This Row],[Old1YT]]),RTData[[#This Row],[Old1YT]],VALUE(LEFT(RTData[[#This Row],[Old1YT]],FIND("/",RTData[[#This Row],[Old1YT]],1)-1))),       IF(OR(RTData[[#This Row],[1YT]]=0,_xlpm.Old1YT=0),0,(_xlpm.New1YT-_xlpm.Old1YT)/_xlpm.Old1YT))</f>
        <v>6.0687795010114535E-3</v>
      </c>
      <c r="AF62" s="153" t="str">
        <f>TEXT(RTData[[#This Row],[1YT]],"#,#0.00")&amp;" &lt; "&amp;RTData[[#This Row],[Old1YT]]</f>
        <v>14.92 &lt; 14.83/14/12.94</v>
      </c>
    </row>
    <row r="63" spans="1:34" x14ac:dyDescent="0.3">
      <c r="A63" s="69" t="str" cm="1">
        <f t="array" aca="1" ref="A63" ca="1">_xlfn.SINGLE(RTData[suffix])&amp;_FV(RTData[[#This Row],[Company Name]],"Ticker symbol",TRUE)</f>
        <v>MVERWE</v>
      </c>
      <c r="B63" s="69">
        <v>1</v>
      </c>
      <c r="C63" s="71" t="e" vm="38">
        <v>#VALUE!</v>
      </c>
      <c r="D63" s="74" t="str" cm="1">
        <f t="array" aca="1" ref="D63" ca="1">_FV(RTData[[#This Row],[Company Name]],"Currency")</f>
        <v>EUR</v>
      </c>
      <c r="E63" s="75" cm="1">
        <f t="array" aca="1" ref="E63" ca="1">_FV(RTData[[#This Row],[Company Name]],"Last trade time",TRUE)</f>
        <v>45908.907222222224</v>
      </c>
      <c r="F63" s="81" cm="1">
        <f t="array" aca="1" ref="F63" ca="1">_FV(RTData[[#This Row],[Company Name]],"Previous close",TRUE)</f>
        <v>35.020000000000003</v>
      </c>
      <c r="G63" s="81" cm="1">
        <f t="array" aca="1" ref="G63" ca="1">_FV(RTData[[#This Row],[Company Name]],"Open")</f>
        <v>35.53</v>
      </c>
      <c r="H63" s="81" cm="1">
        <f t="array" aca="1" ref="H63" ca="1">_FV(RTData[[#This Row],[Company Name]],"Price")</f>
        <v>35.82</v>
      </c>
      <c r="I63" s="81" cm="1">
        <f t="array" aca="1" ref="I63" ca="1">_FV(RTData[[#This Row],[Company Name]],"Low")</f>
        <v>35.340000000000003</v>
      </c>
      <c r="J63" s="81" cm="1">
        <f t="array" aca="1" ref="J63" ca="1">_FV(RTData[[#This Row],[Company Name]],"High")</f>
        <v>35.93</v>
      </c>
      <c r="K63" s="76" cm="1">
        <f t="array" aca="1" ref="K63" ca="1">IFERROR(_FV(RTData[[#This Row],[Company Name]],"P/E",TRUE),99)</f>
        <v>10.0223</v>
      </c>
      <c r="L63" s="77" cm="1">
        <f t="array" aca="1" ref="L63" ca="1">_FV(RTData[[#This Row],[Company Name]],"Change")</f>
        <v>0.8</v>
      </c>
      <c r="M63" s="78" cm="1">
        <f t="array" aca="1" ref="M63" ca="1">_FV(RTData[[#This Row],[Company Name]],"Change (%)",TRUE)</f>
        <v>2.2844000000000003E-2</v>
      </c>
      <c r="N63" s="81" cm="1">
        <f t="array" aca="1" ref="N63" ca="1">_FV(RTData[[#This Row],[Company Name]],"52 week low",TRUE)</f>
        <v>27.76</v>
      </c>
      <c r="O63" s="81" cm="1">
        <f t="array" aca="1" ref="O63" ca="1">_FV(RTData[[#This Row],[Company Name]],"52 week high",TRUE)</f>
        <v>37.78</v>
      </c>
      <c r="P63" s="79" cm="1">
        <f t="array" aca="1" ref="P63" ca="1">_FV(RTData[[#This Row],[Company Name]],"Volume")</f>
        <v>2035799</v>
      </c>
      <c r="Q63" s="79" cm="1">
        <f t="array" aca="1" ref="Q63" ca="1">_FV(RTData[[#This Row],[Company Name]],"Volume average",TRUE)</f>
        <v>1284620</v>
      </c>
      <c r="R63" s="74" cm="1">
        <f t="array" aca="1" ref="R63" ca="1">_FV(RTData[[#This Row],[Company Name]],"Beta")</f>
        <v>0.48559999999999998</v>
      </c>
      <c r="S63" s="80" t="s">
        <v>23</v>
      </c>
      <c r="T63" s="80" t="s">
        <v>24</v>
      </c>
      <c r="U63" s="80" t="str" cm="1">
        <f t="array" aca="1" ref="U63" ca="1">_FV(RTData[[#This Row],[Company Name]],"Exchange abbreviation",TRUE)</f>
        <v>XETR</v>
      </c>
      <c r="V63" s="141">
        <f ca="1">IFERROR(RTData[[#This Row],[Volume]]/RTData[[#This Row],[Volume average]],1)</f>
        <v>1.5847480188693932</v>
      </c>
      <c r="W63" s="141"/>
      <c r="X63" s="103">
        <f>[1]Sheet2!$E62</f>
        <v>42.911110000000001</v>
      </c>
      <c r="Y63" s="149">
        <f>[1]Sheet2!$F62</f>
        <v>45779</v>
      </c>
      <c r="Z63" s="149">
        <f>[1]Sheet2!$G62</f>
        <v>0</v>
      </c>
      <c r="AA63" s="150">
        <f>[1]Sheet2!$H62</f>
        <v>3.1400003000000003E-2</v>
      </c>
      <c r="AB63" s="151"/>
      <c r="AC63" s="152">
        <v>3.0000000000000001E-3</v>
      </c>
      <c r="AD63" s="103">
        <v>44.4</v>
      </c>
      <c r="AE63" s="153">
        <f>_xlfn.LET(_xlpm.New1YT,RTData[[#This Row],[1YT]],        _xlpm.Old1YT,IF(ISNUMBER(RTData[[#This Row],[Old1YT]]),RTData[[#This Row],[Old1YT]],VALUE(LEFT(RTData[[#This Row],[Old1YT]],FIND("/",RTData[[#This Row],[Old1YT]],1)-1))),       IF(OR(RTData[[#This Row],[1YT]]=0,_xlpm.Old1YT=0),0,(_xlpm.New1YT-_xlpm.Old1YT)/_xlpm.Old1YT))</f>
        <v>-3.353355855855851E-2</v>
      </c>
      <c r="AF63" s="153" t="str">
        <f>TEXT(RTData[[#This Row],[1YT]],"#,#0.00")&amp;" &lt; "&amp;RTData[[#This Row],[Old1YT]]</f>
        <v>42.91 &lt; 44.4</v>
      </c>
    </row>
    <row r="64" spans="1:34" x14ac:dyDescent="0.3">
      <c r="A64" s="69" t="str" cm="1">
        <f t="array" aca="1" ref="A64" ca="1">_xlfn.SINGLE(RTData[suffix])&amp;_FV(RTData[[#This Row],[Company Name]],"Ticker symbol",TRUE)</f>
        <v>MVESAP</v>
      </c>
      <c r="B64" s="69">
        <v>1</v>
      </c>
      <c r="C64" s="71" t="e" vm="39">
        <v>#VALUE!</v>
      </c>
      <c r="D64" s="74" t="str" cm="1">
        <f t="array" aca="1" ref="D64" ca="1">_FV(RTData[[#This Row],[Company Name]],"Currency")</f>
        <v>EUR</v>
      </c>
      <c r="E64" s="75" cm="1">
        <f t="array" aca="1" ref="E64" ca="1">_FV(RTData[[#This Row],[Company Name]],"Last trade time",TRUE)</f>
        <v>45908.907222222224</v>
      </c>
      <c r="F64" s="81" cm="1">
        <f t="array" aca="1" ref="F64" ca="1">_FV(RTData[[#This Row],[Company Name]],"Previous close",TRUE)</f>
        <v>228.25</v>
      </c>
      <c r="G64" s="81" cm="1">
        <f t="array" aca="1" ref="G64" ca="1">_FV(RTData[[#This Row],[Company Name]],"Open")</f>
        <v>229.45</v>
      </c>
      <c r="H64" s="81" cm="1">
        <f t="array" aca="1" ref="H64" ca="1">_FV(RTData[[#This Row],[Company Name]],"Price")</f>
        <v>230.45</v>
      </c>
      <c r="I64" s="81" cm="1">
        <f t="array" aca="1" ref="I64" ca="1">_FV(RTData[[#This Row],[Company Name]],"Low")</f>
        <v>228.2</v>
      </c>
      <c r="J64" s="81" cm="1">
        <f t="array" aca="1" ref="J64" ca="1">_FV(RTData[[#This Row],[Company Name]],"High")</f>
        <v>231.45</v>
      </c>
      <c r="K64" s="76" cm="1">
        <f t="array" aca="1" ref="K64" ca="1">IFERROR(_FV(RTData[[#This Row],[Company Name]],"P/E",TRUE),99)</f>
        <v>40.753100000000003</v>
      </c>
      <c r="L64" s="77" cm="1">
        <f t="array" aca="1" ref="L64" ca="1">_FV(RTData[[#This Row],[Company Name]],"Change")</f>
        <v>2.2000000000000002</v>
      </c>
      <c r="M64" s="78" cm="1">
        <f t="array" aca="1" ref="M64" ca="1">_FV(RTData[[#This Row],[Company Name]],"Change (%)",TRUE)</f>
        <v>9.639E-3</v>
      </c>
      <c r="N64" s="81" cm="1">
        <f t="array" aca="1" ref="N64" ca="1">_FV(RTData[[#This Row],[Company Name]],"52 week low",TRUE)</f>
        <v>191.54</v>
      </c>
      <c r="O64" s="81" cm="1">
        <f t="array" aca="1" ref="O64" ca="1">_FV(RTData[[#This Row],[Company Name]],"52 week high",TRUE)</f>
        <v>283.5</v>
      </c>
      <c r="P64" s="79" cm="1">
        <f t="array" aca="1" ref="P64" ca="1">_FV(RTData[[#This Row],[Company Name]],"Volume")</f>
        <v>1277894</v>
      </c>
      <c r="Q64" s="79" cm="1">
        <f t="array" aca="1" ref="Q64" ca="1">_FV(RTData[[#This Row],[Company Name]],"Volume average",TRUE)</f>
        <v>1127920</v>
      </c>
      <c r="R64" s="81" cm="1">
        <f t="array" aca="1" ref="R64" ca="1">_FV(RTData[[#This Row],[Company Name]],"Beta")</f>
        <v>1.1692</v>
      </c>
      <c r="S64" s="80" t="s">
        <v>23</v>
      </c>
      <c r="T64" s="80" t="s">
        <v>24</v>
      </c>
      <c r="U64" s="80" t="str" cm="1">
        <f t="array" aca="1" ref="U64" ca="1">_FV(RTData[[#This Row],[Company Name]],"Exchange abbreviation",TRUE)</f>
        <v>XETR</v>
      </c>
      <c r="V64" s="141">
        <f ca="1">IFERROR(RTData[[#This Row],[Volume]]/RTData[[#This Row],[Volume average]],1)</f>
        <v>1.1329651039080786</v>
      </c>
      <c r="W64" s="141"/>
      <c r="X64" s="103">
        <f>[1]Sheet2!$E63</f>
        <v>291.91037</v>
      </c>
      <c r="Y64" s="149">
        <f>[1]Sheet2!$F63</f>
        <v>45791</v>
      </c>
      <c r="Z64" s="149">
        <f>[1]Sheet2!$G63</f>
        <v>0</v>
      </c>
      <c r="AA64" s="150">
        <f>[1]Sheet2!$H63</f>
        <v>1.0299999000000001E-2</v>
      </c>
      <c r="AB64" s="151"/>
      <c r="AC64" s="152">
        <v>3.0000000000000001E-3</v>
      </c>
      <c r="AD64" s="103">
        <v>312.72000000000003</v>
      </c>
      <c r="AE64" s="153">
        <f>_xlfn.LET(_xlpm.New1YT,RTData[[#This Row],[1YT]],        _xlpm.Old1YT,IF(ISNUMBER(RTData[[#This Row],[Old1YT]]),RTData[[#This Row],[Old1YT]],VALUE(LEFT(RTData[[#This Row],[Old1YT]],FIND("/",RTData[[#This Row],[Old1YT]],1)-1))),       IF(OR(RTData[[#This Row],[1YT]]=0,_xlpm.Old1YT=0),0,(_xlpm.New1YT-_xlpm.Old1YT)/_xlpm.Old1YT))</f>
        <v>-6.6543969045791837E-2</v>
      </c>
      <c r="AF64" s="153" t="str">
        <f>TEXT(RTData[[#This Row],[1YT]],"#,#0.00")&amp;" &lt; "&amp;RTData[[#This Row],[Old1YT]]</f>
        <v>291.91 &lt; 312.72</v>
      </c>
    </row>
    <row r="65" spans="1:32" x14ac:dyDescent="0.3">
      <c r="A65" s="69" t="str" cm="1">
        <f t="array" aca="1" ref="A65" ca="1">_xlfn.SINGLE(RTData[suffix])&amp;_FV(RTData[[#This Row],[Company Name]],"Ticker symbol",TRUE)</f>
        <v>MVEUN0</v>
      </c>
      <c r="B65" s="69">
        <v>1</v>
      </c>
      <c r="C65" s="70" t="e" vm="44">
        <v>#VALUE!</v>
      </c>
      <c r="D65" s="74" t="str" cm="1">
        <f t="array" aca="1" ref="D65" ca="1">_FV(RTData[[#This Row],[Company Name]],"Currency")</f>
        <v>EUR</v>
      </c>
      <c r="E65" s="75" cm="1">
        <f t="array" aca="1" ref="E65" ca="1">_FV(RTData[[#This Row],[Company Name]],"Last trade time",TRUE)</f>
        <v>45908.836805555555</v>
      </c>
      <c r="F65" s="81" cm="1">
        <f t="array" aca="1" ref="F65" ca="1">_FV(RTData[[#This Row],[Company Name]],"Previous close",TRUE)</f>
        <v>35.450000000000003</v>
      </c>
      <c r="G65" s="81" cm="1">
        <f t="array" aca="1" ref="G65" ca="1">_FV(RTData[[#This Row],[Company Name]],"Open")</f>
        <v>35.5</v>
      </c>
      <c r="H65" s="81" cm="1">
        <f t="array" aca="1" ref="H65" ca="1">_FV(RTData[[#This Row],[Company Name]],"Price")</f>
        <v>35.200000000000003</v>
      </c>
      <c r="I65" s="81" cm="1">
        <f t="array" aca="1" ref="I65" ca="1">_FV(RTData[[#This Row],[Company Name]],"Low")</f>
        <v>35.200000000000003</v>
      </c>
      <c r="J65" s="81" cm="1">
        <f t="array" aca="1" ref="J65" ca="1">_FV(RTData[[#This Row],[Company Name]],"High")</f>
        <v>35.65</v>
      </c>
      <c r="K65" s="76" cm="1">
        <f t="array" ref="K65">IFERROR(_FV(RTData[[#This Row],[Company Name]],"P/E",TRUE),99)</f>
        <v>99</v>
      </c>
      <c r="L65" s="77" cm="1">
        <f t="array" aca="1" ref="L65" ca="1">_FV(RTData[[#This Row],[Company Name]],"Change")</f>
        <v>-0.25</v>
      </c>
      <c r="M65" s="78" cm="1">
        <f t="array" aca="1" ref="M65" ca="1">_FV(RTData[[#This Row],[Company Name]],"Change (%)",TRUE)</f>
        <v>-7.0520000000000001E-3</v>
      </c>
      <c r="N65" s="81" cm="1">
        <f t="array" aca="1" ref="N65" ca="1">_FV(RTData[[#This Row],[Company Name]],"52 week low",TRUE)</f>
        <v>2.1</v>
      </c>
      <c r="O65" s="81" cm="1">
        <f t="array" aca="1" ref="O65" ca="1">_FV(RTData[[#This Row],[Company Name]],"52 week high",TRUE)</f>
        <v>73.5</v>
      </c>
      <c r="P65" s="79" cm="1">
        <f t="array" aca="1" ref="P65" ca="1">_FV(RTData[[#This Row],[Company Name]],"Volume")</f>
        <v>79</v>
      </c>
      <c r="Q65" s="79" cm="1">
        <f t="array" aca="1" ref="Q65" ca="1">_FV(RTData[[#This Row],[Company Name]],"Volume average",TRUE)</f>
        <v>1510</v>
      </c>
      <c r="R65" s="74" cm="1">
        <f t="array" aca="1" ref="R65" ca="1">_FV(RTData[[#This Row],[Company Name]],"Beta")</f>
        <v>1.0089999999999999</v>
      </c>
      <c r="S65" s="80" t="s">
        <v>23</v>
      </c>
      <c r="T65" s="80" t="s">
        <v>24</v>
      </c>
      <c r="U65" s="80" t="str" cm="1">
        <f t="array" aca="1" ref="U65" ca="1">_FV(RTData[[#This Row],[Company Name]],"Exchange abbreviation",TRUE)</f>
        <v>XFRA</v>
      </c>
      <c r="V65" s="141">
        <f ca="1">IFERROR(RTData[[#This Row],[Volume]]/RTData[[#This Row],[Volume average]],1)</f>
        <v>5.2317880794701989E-2</v>
      </c>
      <c r="W65" s="141"/>
      <c r="X65" s="103">
        <f>[1]Sheet2!$E64</f>
        <v>0</v>
      </c>
      <c r="Y65" s="149">
        <f>[1]Sheet2!$F64</f>
        <v>0</v>
      </c>
      <c r="Z65" s="149">
        <f>[1]Sheet2!$G64</f>
        <v>0</v>
      </c>
      <c r="AA65" s="150">
        <f>[1]Sheet2!$H64</f>
        <v>0</v>
      </c>
      <c r="AB65" s="151">
        <f t="shared" ref="AB65:AC65" si="4">AB46</f>
        <v>0</v>
      </c>
      <c r="AC65" s="152">
        <f t="shared" si="4"/>
        <v>3.0000000000000001E-3</v>
      </c>
      <c r="AD65" s="103">
        <v>45.9</v>
      </c>
      <c r="AE65" s="153">
        <f>_xlfn.LET(_xlpm.New1YT,RTData[[#This Row],[1YT]],        _xlpm.Old1YT,IF(ISNUMBER(RTData[[#This Row],[Old1YT]]),RTData[[#This Row],[Old1YT]],VALUE(LEFT(RTData[[#This Row],[Old1YT]],FIND("/",RTData[[#This Row],[Old1YT]],1)-1))),       IF(OR(RTData[[#This Row],[1YT]]=0,_xlpm.Old1YT=0),0,(_xlpm.New1YT-_xlpm.Old1YT)/_xlpm.Old1YT))</f>
        <v>0</v>
      </c>
      <c r="AF65" s="153" t="str">
        <f>TEXT(RTData[[#This Row],[1YT]],"#,#0.00")&amp;" &lt; "&amp;RTData[[#This Row],[Old1YT]]</f>
        <v>0.00 &lt; 45.9</v>
      </c>
    </row>
    <row r="66" spans="1:32" x14ac:dyDescent="0.3">
      <c r="A66" s="41" t="str" cm="1">
        <f t="array" aca="1" ref="A66" ca="1">_xlfn.SINGLE(RTData[suffix])&amp;_FV(RTData[[#This Row],[Company Name]],"Ticker symbol",TRUE)</f>
        <v>SAFAAPL</v>
      </c>
      <c r="B66" s="41">
        <f ca="1">D98</f>
        <v>0.84990651028386865</v>
      </c>
      <c r="C66" s="43" t="e" vm="1">
        <v>#VALUE!</v>
      </c>
      <c r="D66" s="17" t="str" cm="1">
        <f t="array" aca="1" ref="D66" ca="1">_FV(RTData[[#This Row],[Company Name]],"Currency")</f>
        <v>USD</v>
      </c>
      <c r="E66" s="18" cm="1">
        <f t="array" aca="1" ref="E66" ca="1">_FV(RTData[[#This Row],[Company Name]],"Last trade time",TRUE)</f>
        <v>45908.970603633592</v>
      </c>
      <c r="F66" s="19" cm="1">
        <f t="array" aca="1" ref="F66" ca="1">_FV(RTData[[#This Row],[Company Name]],"Previous close",TRUE)</f>
        <v>239.69</v>
      </c>
      <c r="G66" s="19" cm="1">
        <f t="array" aca="1" ref="G66" ca="1">_FV(RTData[[#This Row],[Company Name]],"Open")</f>
        <v>239.3</v>
      </c>
      <c r="H66" s="19" cm="1">
        <f t="array" aca="1" ref="H66" ca="1">_FV(RTData[[#This Row],[Company Name]],"Price")</f>
        <v>237.88</v>
      </c>
      <c r="I66" s="19" cm="1">
        <f t="array" aca="1" ref="I66" ca="1">_FV(RTData[[#This Row],[Company Name]],"Low")</f>
        <v>236.34</v>
      </c>
      <c r="J66" s="19" cm="1">
        <f t="array" aca="1" ref="J66" ca="1">_FV(RTData[[#This Row],[Company Name]],"High")</f>
        <v>240.15</v>
      </c>
      <c r="K66" s="20" cm="1">
        <f t="array" aca="1" ref="K66" ca="1">IFERROR(_FV(RTData[[#This Row],[Company Name]],"P/E",TRUE),99)</f>
        <v>32.809699999999999</v>
      </c>
      <c r="L66" s="21" cm="1">
        <f t="array" aca="1" ref="L66" ca="1">_FV(RTData[[#This Row],[Company Name]],"Change")</f>
        <v>-1.81</v>
      </c>
      <c r="M66" s="22" cm="1">
        <f t="array" aca="1" ref="M66" ca="1">_FV(RTData[[#This Row],[Company Name]],"Change (%)",TRUE)</f>
        <v>-7.5509999999999996E-3</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48978572</v>
      </c>
      <c r="Q66" s="23" cm="1">
        <f t="array" aca="1" ref="Q66" ca="1">_FV(RTData[[#This Row],[Company Name]],"Volume average",TRUE)</f>
        <v>57241941</v>
      </c>
      <c r="R66" s="19" cm="1">
        <f t="array" aca="1" ref="R66" ca="1">_FV(RTData[[#This Row],[Company Name]],"Beta")</f>
        <v>1.0818000000000001</v>
      </c>
      <c r="S66" t="s">
        <v>25</v>
      </c>
      <c r="T66" t="s">
        <v>26</v>
      </c>
      <c r="U66" t="str" cm="1">
        <f t="array" aca="1" ref="U66" ca="1">_FV(RTData[[#This Row],[Company Name]],"Exchange abbreviation",TRUE)</f>
        <v>XNAS</v>
      </c>
      <c r="V66" s="24">
        <f ca="1">IFERROR(RTData[[#This Row],[Volume]]/RTData[[#This Row],[Volume average]],1)</f>
        <v>0.8556413556975645</v>
      </c>
      <c r="W66" s="24"/>
      <c r="X66" s="103">
        <f>[1]Sheet2!$E65</f>
        <v>235.52553</v>
      </c>
      <c r="Y66" s="149">
        <f>[1]Sheet2!$F65</f>
        <v>45880</v>
      </c>
      <c r="Z66" s="149" t="str">
        <f>[1]Sheet2!$G65</f>
        <v>Oct 30, 2025</v>
      </c>
      <c r="AA66" s="150">
        <f>[1]Sheet2!$H65</f>
        <v>4.3E-3</v>
      </c>
      <c r="AB66" s="151">
        <v>1E-4</v>
      </c>
      <c r="AC66" s="152">
        <v>3.0000000000000001E-3</v>
      </c>
      <c r="AD66" s="103">
        <v>207.58</v>
      </c>
      <c r="AE66" s="153">
        <f>_xlfn.LET(_xlpm.New1YT,RTData[[#This Row],[1YT]],        _xlpm.Old1YT,IF(ISNUMBER(RTData[[#This Row],[Old1YT]]),RTData[[#This Row],[Old1YT]],VALUE(LEFT(RTData[[#This Row],[Old1YT]],FIND("/",RTData[[#This Row],[Old1YT]],1)-1))),       IF(OR(RTData[[#This Row],[1YT]]=0,_xlpm.Old1YT=0),0,(_xlpm.New1YT-_xlpm.Old1YT)/_xlpm.Old1YT))</f>
        <v>0.13462534926293471</v>
      </c>
      <c r="AF66" s="153" t="str">
        <f>TEXT(RTData[[#This Row],[1YT]],"#,#0.00")&amp;" &lt; "&amp;RTData[[#This Row],[Old1YT]]</f>
        <v>235.53 &lt; 207.58</v>
      </c>
    </row>
    <row r="67" spans="1:32" x14ac:dyDescent="0.3">
      <c r="A67" s="41" t="str" cm="1">
        <f t="array" aca="1" ref="A67" ca="1">_xlfn.SINGLE(RTData[suffix])&amp;_FV(RTData[[#This Row],[Company Name]],"Ticker symbol",TRUE)</f>
        <v>SAFAMZN</v>
      </c>
      <c r="B67" s="41">
        <f ca="1">D98</f>
        <v>0.84990651028386865</v>
      </c>
      <c r="C67" t="e" vm="4">
        <v>#VALUE!</v>
      </c>
      <c r="D67" s="17" t="str" cm="1">
        <f t="array" aca="1" ref="D67" ca="1">_FV(RTData[[#This Row],[Company Name]],"Currency")</f>
        <v>USD</v>
      </c>
      <c r="E67" s="18" cm="1">
        <f t="array" aca="1" ref="E67" ca="1">_FV(RTData[[#This Row],[Company Name]],"Last trade time",TRUE)</f>
        <v>45908.970467360938</v>
      </c>
      <c r="F67" s="19" cm="1">
        <f t="array" aca="1" ref="F67" ca="1">_FV(RTData[[#This Row],[Company Name]],"Previous close",TRUE)</f>
        <v>232.33</v>
      </c>
      <c r="G67" s="19" cm="1">
        <f t="array" aca="1" ref="G67" ca="1">_FV(RTData[[#This Row],[Company Name]],"Open")</f>
        <v>234.94</v>
      </c>
      <c r="H67" s="19" cm="1">
        <f t="array" aca="1" ref="H67" ca="1">_FV(RTData[[#This Row],[Company Name]],"Price")</f>
        <v>235.84</v>
      </c>
      <c r="I67" s="19" cm="1">
        <f t="array" aca="1" ref="I67" ca="1">_FV(RTData[[#This Row],[Company Name]],"Low")</f>
        <v>233.75</v>
      </c>
      <c r="J67" s="19" cm="1">
        <f t="array" aca="1" ref="J67" ca="1">_FV(RTData[[#This Row],[Company Name]],"High")</f>
        <v>237.6</v>
      </c>
      <c r="K67" s="20" cm="1">
        <f t="array" aca="1" ref="K67" ca="1">IFERROR(_FV(RTData[[#This Row],[Company Name]],"P/E",TRUE),99)</f>
        <v>35.453000000000003</v>
      </c>
      <c r="L67" s="21" cm="1">
        <f t="array" aca="1" ref="L67" ca="1">_FV(RTData[[#This Row],[Company Name]],"Change")</f>
        <v>3.51</v>
      </c>
      <c r="M67" s="22" cm="1">
        <f t="array" aca="1" ref="M67" ca="1">_FV(RTData[[#This Row],[Company Name]],"Change (%)",TRUE)</f>
        <v>1.5108E-2</v>
      </c>
      <c r="N67" s="19" cm="1">
        <f t="array" aca="1" ref="N67" ca="1">_FV(RTData[[#This Row],[Company Name]],"52 week low",TRUE)</f>
        <v>161.38</v>
      </c>
      <c r="O67" s="19" cm="1">
        <f t="array" aca="1" ref="O67" ca="1">_FV(RTData[[#This Row],[Company Name]],"52 week high",TRUE)</f>
        <v>242.52</v>
      </c>
      <c r="P67" s="23" cm="1">
        <f t="array" aca="1" ref="P67" ca="1">_FV(RTData[[#This Row],[Company Name]],"Volume")</f>
        <v>33934939</v>
      </c>
      <c r="Q67" s="23" cm="1">
        <f t="array" aca="1" ref="Q67" ca="1">_FV(RTData[[#This Row],[Company Name]],"Volume average",TRUE)</f>
        <v>41676334</v>
      </c>
      <c r="R67" s="19" cm="1">
        <f t="array" aca="1" ref="R67" ca="1">_FV(RTData[[#This Row],[Company Name]],"Beta")</f>
        <v>1.2955000000000001</v>
      </c>
      <c r="S67" t="s">
        <v>25</v>
      </c>
      <c r="T67" t="s">
        <v>26</v>
      </c>
      <c r="U67" t="str" cm="1">
        <f t="array" aca="1" ref="U67" ca="1">_FV(RTData[[#This Row],[Company Name]],"Exchange abbreviation",TRUE)</f>
        <v>XNAS</v>
      </c>
      <c r="V67" s="24">
        <f ca="1">IFERROR(RTData[[#This Row],[Volume]]/RTData[[#This Row],[Volume average]],1)</f>
        <v>0.81424961706084797</v>
      </c>
      <c r="W67" s="24"/>
      <c r="X67" s="103">
        <f>[1]Sheet2!$E66</f>
        <v>263.18033000000003</v>
      </c>
      <c r="Y67" s="149">
        <f>[1]Sheet2!$F66</f>
        <v>0</v>
      </c>
      <c r="Z67" s="149" t="str">
        <f>[1]Sheet2!$G66</f>
        <v>Oct 30, 2025</v>
      </c>
      <c r="AA67" s="150">
        <f>[1]Sheet2!$H66</f>
        <v>0</v>
      </c>
      <c r="AB67" s="151">
        <v>1E-4</v>
      </c>
      <c r="AC67" s="152">
        <v>3.0000000000000001E-3</v>
      </c>
      <c r="AD67" s="103">
        <v>227.1</v>
      </c>
      <c r="AE67" s="153">
        <f>_xlfn.LET(_xlpm.New1YT,RTData[[#This Row],[1YT]],        _xlpm.Old1YT,IF(ISNUMBER(RTData[[#This Row],[Old1YT]]),RTData[[#This Row],[Old1YT]],VALUE(LEFT(RTData[[#This Row],[Old1YT]],FIND("/",RTData[[#This Row],[Old1YT]],1)-1))),       IF(OR(RTData[[#This Row],[1YT]]=0,_xlpm.Old1YT=0),0,(_xlpm.New1YT-_xlpm.Old1YT)/_xlpm.Old1YT))</f>
        <v>0.15887419638925598</v>
      </c>
      <c r="AF67" s="153"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45908.666666666664</v>
      </c>
      <c r="F68" s="29" cm="1">
        <f t="array" aca="1" ref="F68" ca="1">_FV(RTData[[#This Row],[Company Name]],"Previous close",TRUE)</f>
        <v>660.2</v>
      </c>
      <c r="G68" s="29" cm="1">
        <f t="array" aca="1" ref="G68" ca="1">_FV(RTData[[#This Row],[Company Name]],"Open")</f>
        <v>667.2</v>
      </c>
      <c r="H68" s="29" cm="1">
        <f t="array" aca="1" ref="H68" ca="1">_FV(RTData[[#This Row],[Company Name]],"Price")</f>
        <v>676.6</v>
      </c>
      <c r="I68" s="29" cm="1">
        <f t="array" aca="1" ref="I68" ca="1">_FV(RTData[[#This Row],[Company Name]],"Low")</f>
        <v>664.1</v>
      </c>
      <c r="J68" s="29" cm="1">
        <f t="array" aca="1" ref="J68" ca="1">_FV(RTData[[#This Row],[Company Name]],"High")</f>
        <v>677.3</v>
      </c>
      <c r="K68" s="20" cm="1">
        <f t="array" aca="1" ref="K68" ca="1">IFERROR(_FV(RTData[[#This Row],[Company Name]],"P/E",TRUE),99)</f>
        <v>25.978999999999999</v>
      </c>
      <c r="L68" s="21" cm="1">
        <f t="array" aca="1" ref="L68" ca="1">_FV(RTData[[#This Row],[Company Name]],"Change")</f>
        <v>16.399999999999999</v>
      </c>
      <c r="M68" s="22" cm="1">
        <f t="array" aca="1" ref="M68" ca="1">_FV(RTData[[#This Row],[Company Name]],"Change (%)",TRUE)</f>
        <v>2.4841000000000002E-2</v>
      </c>
      <c r="N68" s="29" cm="1">
        <f t="array" aca="1" ref="N68" ca="1">_FV(RTData[[#This Row],[Company Name]],"52 week low",TRUE)</f>
        <v>508.4</v>
      </c>
      <c r="O68" s="29" cm="1">
        <f t="array" aca="1" ref="O68" ca="1">_FV(RTData[[#This Row],[Company Name]],"52 week high",TRUE)</f>
        <v>804.6</v>
      </c>
      <c r="P68" s="23" cm="1">
        <f t="array" aca="1" ref="P68" ca="1">_FV(RTData[[#This Row],[Company Name]],"Volume")</f>
        <v>514335</v>
      </c>
      <c r="Q68" s="23" cm="1">
        <f t="array" aca="1" ref="Q68" ca="1">_FV(RTData[[#This Row],[Company Name]],"Volume average",TRUE)</f>
        <v>551270</v>
      </c>
      <c r="R68" s="19" cm="1">
        <f t="array" aca="1" ref="R68" ca="1">_FV(RTData[[#This Row],[Company Name]],"Beta")</f>
        <v>1.8642000000000001</v>
      </c>
      <c r="S68" t="s">
        <v>25</v>
      </c>
      <c r="T68" t="s">
        <v>26</v>
      </c>
      <c r="U68" t="str" cm="1">
        <f t="array" aca="1" ref="U68" ca="1">_FV(RTData[[#This Row],[Company Name]],"Exchange abbreviation",TRUE)</f>
        <v>XAMS</v>
      </c>
      <c r="V68" s="24">
        <f ca="1">IFERROR(RTData[[#This Row],[Volume]]/RTData[[#This Row],[Volume average]],1)</f>
        <v>0.93300016325938284</v>
      </c>
      <c r="W68" s="24"/>
      <c r="X68" s="103">
        <f>[1]Sheet2!$E67</f>
        <v>758</v>
      </c>
      <c r="Y68" s="149">
        <f>[1]Sheet2!$F67</f>
        <v>45866</v>
      </c>
      <c r="Z68" s="149">
        <f>[1]Sheet2!$G67</f>
        <v>0</v>
      </c>
      <c r="AA68" s="150">
        <f>[1]Sheet2!$H67</f>
        <v>9.7999999999999997E-3</v>
      </c>
      <c r="AB68" s="151">
        <v>1E-4</v>
      </c>
      <c r="AC68" s="152">
        <v>3.0000000000000001E-3</v>
      </c>
      <c r="AD68" s="103">
        <v>1053.3</v>
      </c>
      <c r="AE68" s="153">
        <f>_xlfn.LET(_xlpm.New1YT,RTData[[#This Row],[1YT]],        _xlpm.Old1YT,IF(ISNUMBER(RTData[[#This Row],[Old1YT]]),RTData[[#This Row],[Old1YT]],VALUE(LEFT(RTData[[#This Row],[Old1YT]],FIND("/",RTData[[#This Row],[Old1YT]],1)-1))),       IF(OR(RTData[[#This Row],[1YT]]=0,_xlpm.Old1YT=0),0,(_xlpm.New1YT-_xlpm.Old1YT)/_xlpm.Old1YT))</f>
        <v>-0.28035697332194054</v>
      </c>
      <c r="AF68" s="153"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D98</f>
        <v>0.84990651028386865</v>
      </c>
      <c r="C69" t="e" vm="13">
        <v>#VALUE!</v>
      </c>
      <c r="D69" s="17" t="str" cm="1">
        <f t="array" aca="1" ref="D69" ca="1">_FV(RTData[[#This Row],[Company Name]],"Currency")</f>
        <v>USD</v>
      </c>
      <c r="E69" s="18" cm="1">
        <f t="array" aca="1" ref="E69" ca="1">_FV(RTData[[#This Row],[Company Name]],"Last trade time",TRUE)</f>
        <v>45908.966721573437</v>
      </c>
      <c r="F69" s="19" cm="1">
        <f t="array" aca="1" ref="F69" ca="1">_FV(RTData[[#This Row],[Company Name]],"Previous close",TRUE)</f>
        <v>2.12</v>
      </c>
      <c r="G69" s="19" cm="1">
        <f t="array" aca="1" ref="G69" ca="1">_FV(RTData[[#This Row],[Company Name]],"Open")</f>
        <v>2.13</v>
      </c>
      <c r="H69" s="19" cm="1">
        <f t="array" aca="1" ref="H69" ca="1">_FV(RTData[[#This Row],[Company Name]],"Price")</f>
        <v>2.17</v>
      </c>
      <c r="I69" s="19" cm="1">
        <f t="array" aca="1" ref="I69" ca="1">_FV(RTData[[#This Row],[Company Name]],"Low")</f>
        <v>2.0499999999999998</v>
      </c>
      <c r="J69" s="19" cm="1">
        <f t="array" aca="1" ref="J69" ca="1">_FV(RTData[[#This Row],[Company Name]],"High")</f>
        <v>2.17</v>
      </c>
      <c r="K69" s="20" cm="1">
        <f t="array" aca="1" ref="K69" ca="1">IFERROR(_FV(RTData[[#This Row],[Company Name]],"P/E",TRUE),99)</f>
        <v>0</v>
      </c>
      <c r="L69" s="21" cm="1">
        <f t="array" aca="1" ref="L69" ca="1">_FV(RTData[[#This Row],[Company Name]],"Change")</f>
        <v>0.05</v>
      </c>
      <c r="M69" s="22" cm="1">
        <f t="array" aca="1" ref="M69" ca="1">_FV(RTData[[#This Row],[Company Name]],"Change (%)",TRUE)</f>
        <v>2.3584999999999998E-2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2291476</v>
      </c>
      <c r="Q69" s="23" cm="1">
        <f t="array" aca="1" ref="Q69" ca="1">_FV(RTData[[#This Row],[Company Name]],"Volume average",TRUE)</f>
        <v>4649994</v>
      </c>
      <c r="R69" s="19" cm="1">
        <f t="array" aca="1" ref="R69" ca="1">_FV(RTData[[#This Row],[Company Name]],"Beta")</f>
        <v>2.0886</v>
      </c>
      <c r="S69" t="s">
        <v>25</v>
      </c>
      <c r="T69" t="s">
        <v>26</v>
      </c>
      <c r="U69" t="str" cm="1">
        <f t="array" aca="1" ref="U69" ca="1">_FV(RTData[[#This Row],[Company Name]],"Exchange abbreviation",TRUE)</f>
        <v>XNYS</v>
      </c>
      <c r="V69" s="24">
        <f ca="1">IFERROR(RTData[[#This Row],[Volume]]/RTData[[#This Row],[Volume average]],1)</f>
        <v>0.49279117349398732</v>
      </c>
      <c r="W69" s="24"/>
      <c r="X69" s="103">
        <f>[1]Sheet2!$E68</f>
        <v>3.25</v>
      </c>
      <c r="Y69" s="149">
        <f>[1]Sheet2!$F68</f>
        <v>0</v>
      </c>
      <c r="Z69" s="149" t="str">
        <f>[1]Sheet2!$G68</f>
        <v>Nov 10, 2025</v>
      </c>
      <c r="AA69" s="150">
        <f>[1]Sheet2!$H68</f>
        <v>0</v>
      </c>
      <c r="AB69" s="151">
        <v>1E-4</v>
      </c>
      <c r="AC69" s="152">
        <v>3.0000000000000001E-3</v>
      </c>
      <c r="AD69" s="103">
        <v>5.45</v>
      </c>
      <c r="AE69" s="153">
        <f>_xlfn.LET(_xlpm.New1YT,RTData[[#This Row],[1YT]],        _xlpm.Old1YT,IF(ISNUMBER(RTData[[#This Row],[Old1YT]]),RTData[[#This Row],[Old1YT]],VALUE(LEFT(RTData[[#This Row],[Old1YT]],FIND("/",RTData[[#This Row],[Old1YT]],1)-1))),       IF(OR(RTData[[#This Row],[1YT]]=0,_xlpm.Old1YT=0),0,(_xlpm.New1YT-_xlpm.Old1YT)/_xlpm.Old1YT))</f>
        <v>-0.40366972477064222</v>
      </c>
      <c r="AF69" s="153" t="str">
        <f>TEXT(RTData[[#This Row],[1YT]],"#,#0.00")&amp;" &lt; "&amp;RTData[[#This Row],[Old1YT]]</f>
        <v>3.25 &lt; 5.45</v>
      </c>
    </row>
    <row r="70" spans="1:32" x14ac:dyDescent="0.3">
      <c r="A70" s="41" t="str" cm="1">
        <f t="array" aca="1" ref="A70" ca="1">_xlfn.SINGLE(RTData[suffix])&amp;_FV(RTData[[#This Row],[Company Name]],"Ticker symbol",TRUE)</f>
        <v>SAFDIS</v>
      </c>
      <c r="B70" s="41">
        <f ca="1">D98</f>
        <v>0.84990651028386865</v>
      </c>
      <c r="C70" s="43" t="e" vm="14">
        <v>#VALUE!</v>
      </c>
      <c r="D70" s="17" t="str" cm="1">
        <f t="array" aca="1" ref="D70" ca="1">_FV(RTData[[#This Row],[Company Name]],"Currency")</f>
        <v>USD</v>
      </c>
      <c r="E70" s="18" cm="1">
        <f t="array" aca="1" ref="E70" ca="1">_FV(RTData[[#This Row],[Company Name]],"Last trade time",TRUE)</f>
        <v>45908.96936598359</v>
      </c>
      <c r="F70" s="19" cm="1">
        <f t="array" aca="1" ref="F70" ca="1">_FV(RTData[[#This Row],[Company Name]],"Previous close",TRUE)</f>
        <v>117.91</v>
      </c>
      <c r="G70" s="19" cm="1">
        <f t="array" aca="1" ref="G70" ca="1">_FV(RTData[[#This Row],[Company Name]],"Open")</f>
        <v>117.96</v>
      </c>
      <c r="H70" s="19" cm="1">
        <f t="array" aca="1" ref="H70" ca="1">_FV(RTData[[#This Row],[Company Name]],"Price")</f>
        <v>118.84</v>
      </c>
      <c r="I70" s="19" cm="1">
        <f t="array" aca="1" ref="I70" ca="1">_FV(RTData[[#This Row],[Company Name]],"Low")</f>
        <v>116.74</v>
      </c>
      <c r="J70" s="19" cm="1">
        <f t="array" aca="1" ref="J70" ca="1">_FV(RTData[[#This Row],[Company Name]],"High")</f>
        <v>118.88</v>
      </c>
      <c r="K70" s="20" cm="1">
        <f t="array" aca="1" ref="K70" ca="1">IFERROR(_FV(RTData[[#This Row],[Company Name]],"P/E",TRUE),99)</f>
        <v>18.631599999999999</v>
      </c>
      <c r="L70" s="21" cm="1">
        <f t="array" aca="1" ref="L70" ca="1">_FV(RTData[[#This Row],[Company Name]],"Change")</f>
        <v>0.93</v>
      </c>
      <c r="M70" s="22" cm="1">
        <f t="array" aca="1" ref="M70" ca="1">_FV(RTData[[#This Row],[Company Name]],"Change (%)",TRUE)</f>
        <v>7.8869999999999999E-3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6450526</v>
      </c>
      <c r="Q70" s="23" cm="1">
        <f t="array" aca="1" ref="Q70" ca="1">_FV(RTData[[#This Row],[Company Name]],"Volume average",TRUE)</f>
        <v>8122087</v>
      </c>
      <c r="R70" s="19" cm="1">
        <f t="array" aca="1" ref="R70" ca="1">_FV(RTData[[#This Row],[Company Name]],"Beta")</f>
        <v>1.5549999999999999</v>
      </c>
      <c r="S70" t="s">
        <v>25</v>
      </c>
      <c r="T70" t="s">
        <v>26</v>
      </c>
      <c r="U70" t="str" cm="1">
        <f t="array" aca="1" ref="U70" ca="1">_FV(RTData[[#This Row],[Company Name]],"Exchange abbreviation",TRUE)</f>
        <v>XNYS</v>
      </c>
      <c r="V70" s="24">
        <f ca="1">IFERROR(RTData[[#This Row],[Volume]]/RTData[[#This Row],[Volume average]],1)</f>
        <v>0.79419562976855584</v>
      </c>
      <c r="W70" s="24"/>
      <c r="X70" s="103">
        <f>[1]Sheet2!$E69</f>
        <v>132.22594000000001</v>
      </c>
      <c r="Y70" s="149">
        <f>[1]Sheet2!$F69</f>
        <v>45832</v>
      </c>
      <c r="Z70" s="149" t="str">
        <f>[1]Sheet2!$G69</f>
        <v>Aug 6, 2025</v>
      </c>
      <c r="AA70" s="150">
        <f>[1]Sheet2!$H69</f>
        <v>8.5000000000000006E-3</v>
      </c>
      <c r="AB70" s="151">
        <v>1E-4</v>
      </c>
      <c r="AC70" s="152">
        <v>3.0000000000000001E-3</v>
      </c>
      <c r="AD70" s="103">
        <v>124.75</v>
      </c>
      <c r="AE70" s="153">
        <f>_xlfn.LET(_xlpm.New1YT,RTData[[#This Row],[1YT]],        _xlpm.Old1YT,IF(ISNUMBER(RTData[[#This Row],[Old1YT]]),RTData[[#This Row],[Old1YT]],VALUE(LEFT(RTData[[#This Row],[Old1YT]],FIND("/",RTData[[#This Row],[Old1YT]],1)-1))),       IF(OR(RTData[[#This Row],[1YT]]=0,_xlpm.Old1YT=0),0,(_xlpm.New1YT-_xlpm.Old1YT)/_xlpm.Old1YT))</f>
        <v>5.9927374749499066E-2</v>
      </c>
      <c r="AF70" s="153" t="str">
        <f>TEXT(RTData[[#This Row],[1YT]],"#,#0.00")&amp;" &lt; "&amp;RTData[[#This Row],[Old1YT]]</f>
        <v>132.23 &lt; 124.75</v>
      </c>
    </row>
    <row r="71" spans="1:32" x14ac:dyDescent="0.3">
      <c r="A71" s="41" t="str" cm="1">
        <f t="array" aca="1" ref="A71" ca="1">_xlfn.SINGLE(RTData[suffix])&amp;_FV(RTData[[#This Row],[Company Name]],"Ticker symbol",TRUE)</f>
        <v>SAFGM</v>
      </c>
      <c r="B71" s="41">
        <f ca="1">D98</f>
        <v>0.84990651028386865</v>
      </c>
      <c r="C71" t="e" vm="20">
        <v>#VALUE!</v>
      </c>
      <c r="D71" s="17" t="str" cm="1">
        <f t="array" aca="1" ref="D71" ca="1">_FV(RTData[[#This Row],[Company Name]],"Currency")</f>
        <v>USD</v>
      </c>
      <c r="E71" s="18" cm="1">
        <f t="array" aca="1" ref="E71" ca="1">_FV(RTData[[#This Row],[Company Name]],"Last trade time",TRUE)</f>
        <v>45908.966986041407</v>
      </c>
      <c r="F71" s="19" cm="1">
        <f t="array" aca="1" ref="F71" ca="1">_FV(RTData[[#This Row],[Company Name]],"Previous close",TRUE)</f>
        <v>58.27</v>
      </c>
      <c r="G71" s="19" cm="1">
        <f t="array" aca="1" ref="G71" ca="1">_FV(RTData[[#This Row],[Company Name]],"Open")</f>
        <v>58.13</v>
      </c>
      <c r="H71" s="19" cm="1">
        <f t="array" aca="1" ref="H71" ca="1">_FV(RTData[[#This Row],[Company Name]],"Price")</f>
        <v>58.24</v>
      </c>
      <c r="I71" s="19" cm="1">
        <f t="array" aca="1" ref="I71" ca="1">_FV(RTData[[#This Row],[Company Name]],"Low")</f>
        <v>57.4</v>
      </c>
      <c r="J71" s="19" cm="1">
        <f t="array" aca="1" ref="J71" ca="1">_FV(RTData[[#This Row],[Company Name]],"High")</f>
        <v>58.255000000000003</v>
      </c>
      <c r="K71" s="20" cm="1">
        <f t="array" aca="1" ref="K71" ca="1">IFERROR(_FV(RTData[[#This Row],[Company Name]],"P/E",TRUE),99)</f>
        <v>8.3948</v>
      </c>
      <c r="L71" s="21" cm="1">
        <f t="array" aca="1" ref="L71" ca="1">_FV(RTData[[#This Row],[Company Name]],"Change")</f>
        <v>-0.03</v>
      </c>
      <c r="M71" s="22" cm="1">
        <f t="array" aca="1" ref="M71" ca="1">_FV(RTData[[#This Row],[Company Name]],"Change (%)",TRUE)</f>
        <v>-5.1479999999999994E-4</v>
      </c>
      <c r="N71" s="19" cm="1">
        <f t="array" aca="1" ref="N71" ca="1">_FV(RTData[[#This Row],[Company Name]],"52 week low",TRUE)</f>
        <v>41.6</v>
      </c>
      <c r="O71" s="19" cm="1">
        <f t="array" aca="1" ref="O71" ca="1">_FV(RTData[[#This Row],[Company Name]],"52 week high",TRUE)</f>
        <v>61.24</v>
      </c>
      <c r="P71" s="23" cm="1">
        <f t="array" aca="1" ref="P71" ca="1">_FV(RTData[[#This Row],[Company Name]],"Volume")</f>
        <v>6399467</v>
      </c>
      <c r="Q71" s="23" cm="1">
        <f t="array" aca="1" ref="Q71" ca="1">_FV(RTData[[#This Row],[Company Name]],"Volume average",TRUE)</f>
        <v>6616708</v>
      </c>
      <c r="R71" s="19" cm="1">
        <f t="array" aca="1" ref="R71" ca="1">_FV(RTData[[#This Row],[Company Name]],"Beta")</f>
        <v>1.3385</v>
      </c>
      <c r="S71" t="s">
        <v>25</v>
      </c>
      <c r="T71" t="s">
        <v>26</v>
      </c>
      <c r="U71" t="str" cm="1">
        <f t="array" aca="1" ref="U71" ca="1">_FV(RTData[[#This Row],[Company Name]],"Exchange abbreviation",TRUE)</f>
        <v>XNYS</v>
      </c>
      <c r="V71" s="24">
        <f ca="1">IFERROR(RTData[[#This Row],[Volume]]/RTData[[#This Row],[Volume average]],1)</f>
        <v>0.96716781215069492</v>
      </c>
      <c r="W71" s="24"/>
      <c r="X71" s="103">
        <f>[1]Sheet2!$E70</f>
        <v>57.2</v>
      </c>
      <c r="Y71" s="149">
        <f>[1]Sheet2!$F70</f>
        <v>45905</v>
      </c>
      <c r="Z71" s="149" t="str">
        <f>[1]Sheet2!$G70</f>
        <v>Oct 21, 2025</v>
      </c>
      <c r="AA71" s="150">
        <f>[1]Sheet2!$H70</f>
        <v>1.0299999000000001E-2</v>
      </c>
      <c r="AB71" s="151">
        <v>1E-4</v>
      </c>
      <c r="AC71" s="152">
        <v>3.0000000000000001E-3</v>
      </c>
      <c r="AD71" s="103">
        <v>54.06</v>
      </c>
      <c r="AE71" s="153">
        <f>_xlfn.LET(_xlpm.New1YT,RTData[[#This Row],[1YT]],        _xlpm.Old1YT,IF(ISNUMBER(RTData[[#This Row],[Old1YT]]),RTData[[#This Row],[Old1YT]],VALUE(LEFT(RTData[[#This Row],[Old1YT]],FIND("/",RTData[[#This Row],[Old1YT]],1)-1))),       IF(OR(RTData[[#This Row],[1YT]]=0,_xlpm.Old1YT=0),0,(_xlpm.New1YT-_xlpm.Old1YT)/_xlpm.Old1YT))</f>
        <v>5.80836108028117E-2</v>
      </c>
      <c r="AF71" s="153" t="str">
        <f>TEXT(RTData[[#This Row],[1YT]],"#,#0.00")&amp;" &lt; "&amp;RTData[[#This Row],[Old1YT]]</f>
        <v>57.20 &lt; 54.06</v>
      </c>
    </row>
    <row r="72" spans="1:32" x14ac:dyDescent="0.3">
      <c r="A72" s="41" t="str" cm="1">
        <f t="array" aca="1" ref="A72" ca="1">_xlfn.SINGLE(RTData[suffix])&amp;_FV(RTData[[#This Row],[Company Name]],"Ticker symbol",TRUE)</f>
        <v>SAFIAG</v>
      </c>
      <c r="B72" s="41">
        <f ca="1">D100/100</f>
        <v>1.1519410206197442E-2</v>
      </c>
      <c r="C72" s="42" t="e" vm="23">
        <v>#VALUE!</v>
      </c>
      <c r="D72" s="17" t="str" cm="1">
        <f t="array" aca="1" ref="D72" ca="1">_FV(RTData[[#This Row],[Company Name]],"Currency")</f>
        <v>GBp</v>
      </c>
      <c r="E72" s="18" cm="1">
        <f t="array" aca="1" ref="E72" ca="1">_FV(RTData[[#This Row],[Company Name]],"Last trade time",TRUE)</f>
        <v>45908.585589964845</v>
      </c>
      <c r="F72" s="19" cm="1">
        <f t="array" aca="1" ref="F72" ca="1">_FV(RTData[[#This Row],[Company Name]],"Previous close",TRUE)</f>
        <v>390.7</v>
      </c>
      <c r="G72" s="19" cm="1">
        <f t="array" aca="1" ref="G72" ca="1">_FV(RTData[[#This Row],[Company Name]],"Open")</f>
        <v>391.4</v>
      </c>
      <c r="H72" s="19" cm="1">
        <f t="array" aca="1" ref="H72" ca="1">_FV(RTData[[#This Row],[Company Name]],"Price")</f>
        <v>394.2</v>
      </c>
      <c r="I72" s="19" cm="1">
        <f t="array" aca="1" ref="I72" ca="1">_FV(RTData[[#This Row],[Company Name]],"Low")</f>
        <v>389.6</v>
      </c>
      <c r="J72" s="19" cm="1">
        <f t="array" aca="1" ref="J72" ca="1">_FV(RTData[[#This Row],[Company Name]],"High")</f>
        <v>394.2</v>
      </c>
      <c r="K72" s="20" cm="1">
        <f t="array" aca="1" ref="K72" ca="1">IFERROR(_FV(RTData[[#This Row],[Company Name]],"P/E",TRUE),99)</f>
        <v>7.0221999999999998</v>
      </c>
      <c r="L72" s="21" cm="1">
        <f t="array" aca="1" ref="L72" ca="1">_FV(RTData[[#This Row],[Company Name]],"Change")</f>
        <v>3.5</v>
      </c>
      <c r="M72" s="22" cm="1">
        <f t="array" aca="1" ref="M72" ca="1">_FV(RTData[[#This Row],[Company Name]],"Change (%)",TRUE)</f>
        <v>8.9580000000000007E-3</v>
      </c>
      <c r="N72" s="19" cm="1">
        <f t="array" aca="1" ref="N72" ca="1">_FV(RTData[[#This Row],[Company Name]],"52 week low",TRUE)</f>
        <v>187</v>
      </c>
      <c r="O72" s="19" cm="1">
        <f t="array" aca="1" ref="O72" ca="1">_FV(RTData[[#This Row],[Company Name]],"52 week high",TRUE)</f>
        <v>396.7</v>
      </c>
      <c r="P72" s="23" cm="1">
        <f t="array" aca="1" ref="P72" ca="1">_FV(RTData[[#This Row],[Company Name]],"Volume")</f>
        <v>9111020</v>
      </c>
      <c r="Q72" s="23" cm="1">
        <f t="array" aca="1" ref="Q72" ca="1">_FV(RTData[[#This Row],[Company Name]],"Volume average",TRUE)</f>
        <v>11107170</v>
      </c>
      <c r="R72" s="19" cm="1">
        <f t="array" aca="1" ref="R72" ca="1">_FV(RTData[[#This Row],[Company Name]],"Beta")</f>
        <v>2.8026</v>
      </c>
      <c r="S72" t="s">
        <v>25</v>
      </c>
      <c r="T72" t="s">
        <v>26</v>
      </c>
      <c r="U72" t="str" cm="1">
        <f t="array" aca="1" ref="U72" ca="1">_FV(RTData[[#This Row],[Company Name]],"Exchange abbreviation",TRUE)</f>
        <v>XLON</v>
      </c>
      <c r="V72" s="24">
        <f ca="1">IFERROR(RTData[[#This Row],[Volume]]/RTData[[#This Row],[Volume average]],1)</f>
        <v>0.82028275429294772</v>
      </c>
      <c r="W72" s="24"/>
      <c r="X72" s="103">
        <f>[1]Sheet2!$E71</f>
        <v>435.83789999999999</v>
      </c>
      <c r="Y72" s="149">
        <f>[1]Sheet2!$F71</f>
        <v>45834</v>
      </c>
      <c r="Z72" s="149">
        <f>[1]Sheet2!$G71</f>
        <v>0</v>
      </c>
      <c r="AA72" s="150">
        <f>[1]Sheet2!$H71</f>
        <v>1.9599999999999999E-2</v>
      </c>
      <c r="AB72" s="151">
        <v>1E-4</v>
      </c>
      <c r="AC72" s="152">
        <v>3.0000000000000001E-3</v>
      </c>
      <c r="AD72" s="103">
        <v>293.75</v>
      </c>
      <c r="AE72" s="153">
        <f>_xlfn.LET(_xlpm.New1YT,RTData[[#This Row],[1YT]],        _xlpm.Old1YT,IF(ISNUMBER(RTData[[#This Row],[Old1YT]]),RTData[[#This Row],[Old1YT]],VALUE(LEFT(RTData[[#This Row],[Old1YT]],FIND("/",RTData[[#This Row],[Old1YT]],1)-1))),       IF(OR(RTData[[#This Row],[1YT]]=0,_xlpm.Old1YT=0),0,(_xlpm.New1YT-_xlpm.Old1YT)/_xlpm.Old1YT))</f>
        <v>0.4837034893617021</v>
      </c>
      <c r="AF72" s="153" t="str">
        <f>TEXT(RTData[[#This Row],[1YT]],"#,#0.00")&amp;" &lt; "&amp;RTData[[#This Row],[Old1YT]]</f>
        <v>435.84 &lt; 293.75</v>
      </c>
    </row>
    <row r="73" spans="1:32" x14ac:dyDescent="0.3">
      <c r="A73" s="41" t="str" cm="1">
        <f t="array" aca="1" ref="A73" ca="1">_xlfn.SINGLE(RTData[suffix])&amp;_FV(RTData[[#This Row],[Company Name]],"Ticker symbol",TRUE)</f>
        <v>SAFMRNA</v>
      </c>
      <c r="B73" s="41">
        <f ca="1">D98</f>
        <v>0.84990651028386865</v>
      </c>
      <c r="C73" t="e" vm="27">
        <v>#VALUE!</v>
      </c>
      <c r="D73" s="17" t="str" cm="1">
        <f t="array" aca="1" ref="D73" ca="1">_FV(RTData[[#This Row],[Company Name]],"Currency")</f>
        <v>USD</v>
      </c>
      <c r="E73" s="18" cm="1">
        <f t="array" aca="1" ref="E73" ca="1">_FV(RTData[[#This Row],[Company Name]],"Last trade time",TRUE)</f>
        <v>45908.969466029688</v>
      </c>
      <c r="F73" s="19" cm="1">
        <f t="array" aca="1" ref="F73" ca="1">_FV(RTData[[#This Row],[Company Name]],"Previous close",TRUE)</f>
        <v>25.14</v>
      </c>
      <c r="G73" s="19" cm="1">
        <f t="array" aca="1" ref="G73" ca="1">_FV(RTData[[#This Row],[Company Name]],"Open")</f>
        <v>24.925000000000001</v>
      </c>
      <c r="H73" s="19" cm="1">
        <f t="array" aca="1" ref="H73" ca="1">_FV(RTData[[#This Row],[Company Name]],"Price")</f>
        <v>24.83</v>
      </c>
      <c r="I73" s="19" cm="1">
        <f t="array" aca="1" ref="I73" ca="1">_FV(RTData[[#This Row],[Company Name]],"Low")</f>
        <v>23.78</v>
      </c>
      <c r="J73" s="19" cm="1">
        <f t="array" aca="1" ref="J73" ca="1">_FV(RTData[[#This Row],[Company Name]],"High")</f>
        <v>24.925000000000001</v>
      </c>
      <c r="K73" s="20" cm="1">
        <f t="array" aca="1" ref="K73" ca="1">IFERROR(_FV(RTData[[#This Row],[Company Name]],"P/E",TRUE),99)</f>
        <v>0</v>
      </c>
      <c r="L73" s="21" cm="1">
        <f t="array" aca="1" ref="L73" ca="1">_FV(RTData[[#This Row],[Company Name]],"Change")</f>
        <v>-0.31</v>
      </c>
      <c r="M73" s="22" cm="1">
        <f t="array" aca="1" ref="M73" ca="1">_FV(RTData[[#This Row],[Company Name]],"Change (%)",TRUE)</f>
        <v>-1.2331000000000002E-2</v>
      </c>
      <c r="N73" s="19" cm="1">
        <f t="array" aca="1" ref="N73" ca="1">_FV(RTData[[#This Row],[Company Name]],"52 week low",TRUE)</f>
        <v>23.15</v>
      </c>
      <c r="O73" s="19" cm="1">
        <f t="array" aca="1" ref="O73" ca="1">_FV(RTData[[#This Row],[Company Name]],"52 week high",TRUE)</f>
        <v>79.958699999999993</v>
      </c>
      <c r="P73" s="23" cm="1">
        <f t="array" aca="1" ref="P73" ca="1">_FV(RTData[[#This Row],[Company Name]],"Volume")</f>
        <v>13095975</v>
      </c>
      <c r="Q73" s="23" cm="1">
        <f t="array" aca="1" ref="Q73" ca="1">_FV(RTData[[#This Row],[Company Name]],"Volume average",TRUE)</f>
        <v>9710608</v>
      </c>
      <c r="R73" s="19" cm="1">
        <f t="array" aca="1" ref="R73" ca="1">_FV(RTData[[#This Row],[Company Name]],"Beta")</f>
        <v>1.9996</v>
      </c>
      <c r="S73" t="s">
        <v>25</v>
      </c>
      <c r="T73" t="s">
        <v>26</v>
      </c>
      <c r="U73" t="str" cm="1">
        <f t="array" aca="1" ref="U73" ca="1">_FV(RTData[[#This Row],[Company Name]],"Exchange abbreviation",TRUE)</f>
        <v>XNAS</v>
      </c>
      <c r="V73" s="24">
        <f ca="1">IFERROR(RTData[[#This Row],[Volume]]/RTData[[#This Row],[Volume average]],1)</f>
        <v>1.348625647333308</v>
      </c>
      <c r="W73" s="24"/>
      <c r="X73" s="103">
        <f>[1]Sheet2!$E72</f>
        <v>44.25</v>
      </c>
      <c r="Y73" s="149">
        <f>[1]Sheet2!$F72</f>
        <v>0</v>
      </c>
      <c r="Z73" s="149" t="str">
        <f>[1]Sheet2!$G72</f>
        <v>Aug 1, 2025</v>
      </c>
      <c r="AA73" s="150">
        <f>[1]Sheet2!$H72</f>
        <v>0</v>
      </c>
      <c r="AB73" s="151">
        <v>1E-4</v>
      </c>
      <c r="AC73" s="152">
        <v>3.0000000000000001E-3</v>
      </c>
      <c r="AD73" s="103">
        <v>99.83</v>
      </c>
      <c r="AE73" s="153">
        <f>_xlfn.LET(_xlpm.New1YT,RTData[[#This Row],[1YT]],        _xlpm.Old1YT,IF(ISNUMBER(RTData[[#This Row],[Old1YT]]),RTData[[#This Row],[Old1YT]],VALUE(LEFT(RTData[[#This Row],[Old1YT]],FIND("/",RTData[[#This Row],[Old1YT]],1)-1))),       IF(OR(RTData[[#This Row],[1YT]]=0,_xlpm.Old1YT=0),0,(_xlpm.New1YT-_xlpm.Old1YT)/_xlpm.Old1YT))</f>
        <v>-0.55674646899729541</v>
      </c>
      <c r="AF73" s="153" t="str">
        <f>TEXT(RTData[[#This Row],[1YT]],"#,#0.00")&amp;" &lt; "&amp;RTData[[#This Row],[Old1YT]]</f>
        <v>44.25 &lt; 99.83</v>
      </c>
    </row>
    <row r="74" spans="1:32" x14ac:dyDescent="0.3">
      <c r="A74" s="41" t="str" cm="1">
        <f t="array" aca="1" ref="A74" ca="1">_xlfn.SINGLE(RTData[suffix])&amp;_FV(RTData[[#This Row],[Company Name]],"Ticker symbol",TRUE)</f>
        <v>BLNK</v>
      </c>
      <c r="B74" s="41">
        <f ca="1">D98</f>
        <v>0.84990651028386865</v>
      </c>
      <c r="C74" s="43" t="e" vm="56">
        <v>#VALUE!</v>
      </c>
      <c r="D74" s="17" t="str" cm="1">
        <f t="array" aca="1" ref="D74" ca="1">_FV(RTData[[#This Row],[Company Name]],"Currency")</f>
        <v>USD</v>
      </c>
      <c r="E74" s="18" cm="1">
        <f t="array" aca="1" ref="E74" ca="1">_FV(RTData[[#This Row],[Company Name]],"Last trade time",TRUE)</f>
        <v>45908.970314606253</v>
      </c>
      <c r="F74" s="19" cm="1">
        <f t="array" aca="1" ref="F74" ca="1">_FV(RTData[[#This Row],[Company Name]],"Previous close",TRUE)</f>
        <v>1.02</v>
      </c>
      <c r="G74" s="19" cm="1">
        <f t="array" aca="1" ref="G74" ca="1">_FV(RTData[[#This Row],[Company Name]],"Open")</f>
        <v>1.1299999999999999</v>
      </c>
      <c r="H74" s="19" cm="1">
        <f t="array" aca="1" ref="H74" ca="1">_FV(RTData[[#This Row],[Company Name]],"Price")</f>
        <v>1.1000000000000001</v>
      </c>
      <c r="I74" s="19" cm="1">
        <f t="array" aca="1" ref="I74" ca="1">_FV(RTData[[#This Row],[Company Name]],"Low")</f>
        <v>1.05</v>
      </c>
      <c r="J74" s="19" cm="1">
        <f t="array" aca="1" ref="J74" ca="1">_FV(RTData[[#This Row],[Company Name]],"High")</f>
        <v>1.1299999999999999</v>
      </c>
      <c r="K74" s="20" cm="1">
        <f t="array" aca="1" ref="K74" ca="1">IFERROR(_FV(RTData[[#This Row],[Company Name]],"P/E",TRUE),99)</f>
        <v>0</v>
      </c>
      <c r="L74" s="21" cm="1">
        <f t="array" aca="1" ref="L74" ca="1">_FV(RTData[[#This Row],[Company Name]],"Change")</f>
        <v>0.08</v>
      </c>
      <c r="M74" s="22" cm="1">
        <f t="array" aca="1" ref="M74" ca="1">_FV(RTData[[#This Row],[Company Name]],"Change (%)",TRUE)</f>
        <v>7.8431000000000001E-2</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2802192</v>
      </c>
      <c r="Q74" s="23" cm="1">
        <f t="array" aca="1" ref="Q74" ca="1">_FV(RTData[[#This Row],[Company Name]],"Volume average",TRUE)</f>
        <v>2810407</v>
      </c>
      <c r="R74" s="19" cm="1">
        <f t="array" aca="1" ref="R74" ca="1">_FV(RTData[[#This Row],[Company Name]],"Beta")</f>
        <v>3.4922</v>
      </c>
      <c r="T74" t="s">
        <v>26</v>
      </c>
      <c r="U74" t="str" cm="1">
        <f t="array" aca="1" ref="U74" ca="1">_FV(RTData[[#This Row],[Company Name]],"Exchange abbreviation",TRUE)</f>
        <v>XNAS</v>
      </c>
      <c r="V74" s="24">
        <f ca="1">IFERROR(RTData[[#This Row],[Volume]]/RTData[[#This Row],[Volume average]],1)</f>
        <v>0.99707693583171408</v>
      </c>
      <c r="W74" s="24"/>
      <c r="X74" s="103">
        <v>2.4</v>
      </c>
      <c r="Y74" s="149">
        <f>[1]Sheet2!$F73</f>
        <v>0</v>
      </c>
      <c r="Z74" s="149" t="str">
        <f>[1]Sheet2!$G73</f>
        <v>Nov 6, 2025</v>
      </c>
      <c r="AA74" s="150">
        <f>[1]Sheet2!$H73</f>
        <v>0</v>
      </c>
      <c r="AB74" s="151">
        <v>1E-4</v>
      </c>
      <c r="AC74" s="152">
        <v>3.0000000000000001E-3</v>
      </c>
      <c r="AD74" s="103" t="s">
        <v>102</v>
      </c>
      <c r="AE74" s="153">
        <f>_xlfn.LET(_xlpm.New1YT,RTData[[#This Row],[1YT]],        _xlpm.Old1YT,IF(ISNUMBER(RTData[[#This Row],[Old1YT]]),RTData[[#This Row],[Old1YT]],VALUE(LEFT(RTData[[#This Row],[Old1YT]],FIND("/",RTData[[#This Row],[Old1YT]],1)-1))),       IF(OR(RTData[[#This Row],[1YT]]=0,_xlpm.Old1YT=0),0,(_xlpm.New1YT-_xlpm.Old1YT)/_xlpm.Old1YT))</f>
        <v>6.6666666666666624E-2</v>
      </c>
      <c r="AF74" s="153"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45908.666666666664</v>
      </c>
      <c r="F75" s="29" cm="1">
        <f t="array" aca="1" ref="F75" ca="1">_FV(RTData[[#This Row],[Company Name]],"Previous close",TRUE)</f>
        <v>14.625999999999999</v>
      </c>
      <c r="G75" s="29" cm="1">
        <f t="array" aca="1" ref="G75" ca="1">_FV(RTData[[#This Row],[Company Name]],"Open")</f>
        <v>14.74</v>
      </c>
      <c r="H75" s="29" cm="1">
        <f t="array" aca="1" ref="H75" ca="1">_FV(RTData[[#This Row],[Company Name]],"Price")</f>
        <v>14.688000000000001</v>
      </c>
      <c r="I75" s="29" cm="1">
        <f t="array" aca="1" ref="I75" ca="1">_FV(RTData[[#This Row],[Company Name]],"Low")</f>
        <v>14.644</v>
      </c>
      <c r="J75" s="29" cm="1">
        <f t="array" aca="1" ref="J75" ca="1">_FV(RTData[[#This Row],[Company Name]],"High")</f>
        <v>14.78</v>
      </c>
      <c r="K75" s="20" cm="1">
        <f t="array" aca="1" ref="K75" ca="1">IFERROR(_FV(RTData[[#This Row],[Company Name]],"P/E",TRUE),99)</f>
        <v>18.273399999999999</v>
      </c>
      <c r="L75" s="21" cm="1">
        <f t="array" aca="1" ref="L75" ca="1">_FV(RTData[[#This Row],[Company Name]],"Change")</f>
        <v>6.2E-2</v>
      </c>
      <c r="M75" s="22" cm="1">
        <f t="array" aca="1" ref="M75" ca="1">_FV(RTData[[#This Row],[Company Name]],"Change (%)",TRUE)</f>
        <v>4.2389999999999997E-3</v>
      </c>
      <c r="N75" s="29" cm="1">
        <f t="array" aca="1" ref="N75" ca="1">_FV(RTData[[#This Row],[Company Name]],"52 week low",TRUE)</f>
        <v>11.01</v>
      </c>
      <c r="O75" s="29" cm="1">
        <f t="array" aca="1" ref="O75" ca="1">_FV(RTData[[#This Row],[Company Name]],"52 week high",TRUE)</f>
        <v>15.39</v>
      </c>
      <c r="P75" s="23" cm="1">
        <f t="array" aca="1" ref="P75" ca="1">_FV(RTData[[#This Row],[Company Name]],"Volume")</f>
        <v>7965752</v>
      </c>
      <c r="Q75" s="23" cm="1">
        <f t="array" aca="1" ref="Q75" ca="1">_FV(RTData[[#This Row],[Company Name]],"Volume average",TRUE)</f>
        <v>10934450</v>
      </c>
      <c r="R75" s="19" cm="1">
        <f t="array" aca="1" ref="R75" ca="1">_FV(RTData[[#This Row],[Company Name]],"Beta")</f>
        <v>1.1044</v>
      </c>
      <c r="T75" t="s">
        <v>26</v>
      </c>
      <c r="U75" t="str" cm="1">
        <f t="array" aca="1" ref="U75" ca="1">_FV(RTData[[#This Row],[Company Name]],"Exchange abbreviation",TRUE)</f>
        <v>XMIL</v>
      </c>
      <c r="V75" s="24">
        <f ca="1">IFERROR(RTData[[#This Row],[Volume]]/RTData[[#This Row],[Volume average]],1)</f>
        <v>0.72850047327483325</v>
      </c>
      <c r="W75" s="24"/>
      <c r="X75" s="103">
        <v>15.23</v>
      </c>
      <c r="Y75" s="149">
        <f>[1]Sheet2!$F74</f>
        <v>45922</v>
      </c>
      <c r="Z75" s="149">
        <f>[1]Sheet2!$G74</f>
        <v>0</v>
      </c>
      <c r="AA75" s="150">
        <f>[1]Sheet2!$H74</f>
        <v>7.1100003999999994E-2</v>
      </c>
      <c r="AB75" s="151"/>
      <c r="AC75" s="152">
        <v>3.0000000000000001E-3</v>
      </c>
      <c r="AD75" s="103" t="s">
        <v>109</v>
      </c>
      <c r="AE75" s="153">
        <f>_xlfn.LET(_xlpm.New1YT,RTData[[#This Row],[1YT]],        _xlpm.Old1YT,IF(ISNUMBER(RTData[[#This Row],[Old1YT]]),RTData[[#This Row],[Old1YT]],VALUE(LEFT(RTData[[#This Row],[Old1YT]],FIND("/",RTData[[#This Row],[Old1YT]],1)-1))),       IF(OR(RTData[[#This Row],[1YT]]=0,_xlpm.Old1YT=0),0,(_xlpm.New1YT-_xlpm.Old1YT)/_xlpm.Old1YT))</f>
        <v>3.5350101971447966E-2</v>
      </c>
      <c r="AF75" s="153" t="str">
        <f>TEXT(RTData[[#This Row],[1YT]],"#,#0.00")&amp;" &lt; "&amp;RTData[[#This Row],[Old1YT]]</f>
        <v>15.23 &lt; 14.71/14.81/16.46</v>
      </c>
    </row>
    <row r="76" spans="1:32" ht="22" customHeight="1" x14ac:dyDescent="0.3">
      <c r="A76" s="41" t="str" cm="1">
        <f t="array" aca="1" ref="A76" ca="1">_xlfn.SINGLE(RTData[suffix])&amp;_FV(RTData[[#This Row],[Company Name]],"Ticker symbol",TRUE)</f>
        <v>EZJ</v>
      </c>
      <c r="B76" s="15">
        <f ca="1">D100/100</f>
        <v>1.1519410206197442E-2</v>
      </c>
      <c r="C76" s="43" t="e" vm="57">
        <v>#VALUE!</v>
      </c>
      <c r="D76" s="17" t="str" cm="1">
        <f t="array" aca="1" ref="D76" ca="1">_FV(RTData[[#This Row],[Company Name]],"Currency")</f>
        <v>GBp</v>
      </c>
      <c r="E76" s="18" cm="1">
        <f t="array" aca="1" ref="E76" ca="1">_FV(RTData[[#This Row],[Company Name]],"Last trade time",TRUE)</f>
        <v>45908.579336539064</v>
      </c>
      <c r="F76" s="19" cm="1">
        <f t="array" aca="1" ref="F76" ca="1">_FV(RTData[[#This Row],[Company Name]],"Previous close",TRUE)</f>
        <v>469.8</v>
      </c>
      <c r="G76" s="19" cm="1">
        <f t="array" aca="1" ref="G76" ca="1">_FV(RTData[[#This Row],[Company Name]],"Open")</f>
        <v>468</v>
      </c>
      <c r="H76" s="19" cm="1">
        <f t="array" aca="1" ref="H76" ca="1">_FV(RTData[[#This Row],[Company Name]],"Price")</f>
        <v>468.8</v>
      </c>
      <c r="I76" s="19" cm="1">
        <f t="array" aca="1" ref="I76" ca="1">_FV(RTData[[#This Row],[Company Name]],"Low")</f>
        <v>466.4</v>
      </c>
      <c r="J76" s="19" cm="1">
        <f t="array" aca="1" ref="J76" ca="1">_FV(RTData[[#This Row],[Company Name]],"High")</f>
        <v>473.1</v>
      </c>
      <c r="K76" s="20" cm="1">
        <f t="array" aca="1" ref="K76" ca="1">IFERROR(_FV(RTData[[#This Row],[Company Name]],"P/E",TRUE),99)</f>
        <v>8.4481999999999999</v>
      </c>
      <c r="L76" s="21" cm="1">
        <f t="array" aca="1" ref="L76" ca="1">_FV(RTData[[#This Row],[Company Name]],"Change")</f>
        <v>-1</v>
      </c>
      <c r="M76" s="22" cm="1">
        <f t="array" aca="1" ref="M76" ca="1">_FV(RTData[[#This Row],[Company Name]],"Change (%)",TRUE)</f>
        <v>-2.1290000000000002E-3</v>
      </c>
      <c r="N76" s="19" cm="1">
        <f t="array" aca="1" ref="N76" ca="1">_FV(RTData[[#This Row],[Company Name]],"52 week low",TRUE)</f>
        <v>401.05</v>
      </c>
      <c r="O76" s="19" cm="1">
        <f t="array" aca="1" ref="O76" ca="1">_FV(RTData[[#This Row],[Company Name]],"52 week high",TRUE)</f>
        <v>594</v>
      </c>
      <c r="P76" s="23" cm="1">
        <f t="array" aca="1" ref="P76" ca="1">_FV(RTData[[#This Row],[Company Name]],"Volume")</f>
        <v>2173083</v>
      </c>
      <c r="Q76" s="23" cm="1">
        <f t="array" aca="1" ref="Q76" ca="1">_FV(RTData[[#This Row],[Company Name]],"Volume average",TRUE)</f>
        <v>3314380</v>
      </c>
      <c r="R76" s="19" cm="1">
        <f t="array" aca="1" ref="R76" ca="1">_FV(RTData[[#This Row],[Company Name]],"Beta")</f>
        <v>2.7930000000000001</v>
      </c>
      <c r="T76" t="s">
        <v>26</v>
      </c>
      <c r="U76" t="str" cm="1">
        <f t="array" aca="1" ref="U76" ca="1">_FV(RTData[[#This Row],[Company Name]],"Exchange abbreviation",TRUE)</f>
        <v>XLON</v>
      </c>
      <c r="V76" s="24">
        <f ca="1">IFERROR(RTData[[#This Row],[Volume]]/RTData[[#This Row],[Volume average]],1)</f>
        <v>0.6556529426318044</v>
      </c>
      <c r="W76" s="24"/>
      <c r="X76" s="103">
        <v>658.68</v>
      </c>
      <c r="Y76" s="149">
        <f>[1]Sheet2!$F75</f>
        <v>45708</v>
      </c>
      <c r="Z76" s="149">
        <f>[1]Sheet2!$G75</f>
        <v>0</v>
      </c>
      <c r="AA76" s="150">
        <f>[1]Sheet2!$H75</f>
        <v>2.5799999000000001E-2</v>
      </c>
      <c r="AB76" s="151"/>
      <c r="AC76" s="152">
        <v>3.0000000000000001E-3</v>
      </c>
      <c r="AD76" s="103" t="s">
        <v>110</v>
      </c>
      <c r="AE76" s="153">
        <f>_xlfn.LET(_xlpm.New1YT,RTData[[#This Row],[1YT]],        _xlpm.Old1YT,IF(ISNUMBER(RTData[[#This Row],[Old1YT]]),RTData[[#This Row],[Old1YT]],VALUE(LEFT(RTData[[#This Row],[Old1YT]],FIND("/",RTData[[#This Row],[Old1YT]],1)-1))),       IF(OR(RTData[[#This Row],[1YT]]=0,_xlpm.Old1YT=0),0,(_xlpm.New1YT-_xlpm.Old1YT)/_xlpm.Old1YT))</f>
        <v>-5.5398603203740085E-2</v>
      </c>
      <c r="AF76" s="153"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D98</f>
        <v>0.84990651028386865</v>
      </c>
      <c r="C77" s="43" t="e" vm="58">
        <v>#VALUE!</v>
      </c>
      <c r="D77" s="17" t="str" cm="1">
        <f t="array" aca="1" ref="D77" ca="1">_FV(RTData[[#This Row],[Company Name]],"Currency")</f>
        <v>USD</v>
      </c>
      <c r="E77" s="18" cm="1">
        <f t="array" aca="1" ref="E77" ca="1">_FV(RTData[[#This Row],[Company Name]],"Last trade time",TRUE)</f>
        <v>45908.970549941405</v>
      </c>
      <c r="F77" s="19" cm="1">
        <f t="array" aca="1" ref="F77" ca="1">_FV(RTData[[#This Row],[Company Name]],"Previous close",TRUE)</f>
        <v>11.74</v>
      </c>
      <c r="G77" s="19" cm="1">
        <f t="array" aca="1" ref="G77" ca="1">_FV(RTData[[#This Row],[Company Name]],"Open")</f>
        <v>11.75</v>
      </c>
      <c r="H77" s="19" cm="1">
        <f t="array" aca="1" ref="H77" ca="1">_FV(RTData[[#This Row],[Company Name]],"Price")</f>
        <v>11.675000000000001</v>
      </c>
      <c r="I77" s="19" cm="1">
        <f t="array" aca="1" ref="I77" ca="1">_FV(RTData[[#This Row],[Company Name]],"Low")</f>
        <v>11.58</v>
      </c>
      <c r="J77" s="19" cm="1">
        <f t="array" aca="1" ref="J77" ca="1">_FV(RTData[[#This Row],[Company Name]],"High")</f>
        <v>11.75</v>
      </c>
      <c r="K77" s="20" cm="1">
        <f t="array" aca="1" ref="K77" ca="1">IFERROR(_FV(RTData[[#This Row],[Company Name]],"P/E",TRUE),99)</f>
        <v>14.9297</v>
      </c>
      <c r="L77" s="21" cm="1">
        <f t="array" aca="1" ref="L77" ca="1">_FV(RTData[[#This Row],[Company Name]],"Change")</f>
        <v>-6.5000000000000002E-2</v>
      </c>
      <c r="M77" s="22" cm="1">
        <f t="array" aca="1" ref="M77" ca="1">_FV(RTData[[#This Row],[Company Name]],"Change (%)",TRUE)</f>
        <v>-5.5369999999999994E-3</v>
      </c>
      <c r="N77" s="19" cm="1">
        <f t="array" aca="1" ref="N77" ca="1">_FV(RTData[[#This Row],[Company Name]],"52 week low",TRUE)</f>
        <v>8.4405999999999999</v>
      </c>
      <c r="O77" s="19" cm="1">
        <f t="array" aca="1" ref="O77" ca="1">_FV(RTData[[#This Row],[Company Name]],"52 week high",TRUE)</f>
        <v>11.99</v>
      </c>
      <c r="P77" s="23" cm="1">
        <f t="array" aca="1" ref="P77" ca="1">_FV(RTData[[#This Row],[Company Name]],"Volume")</f>
        <v>39716108</v>
      </c>
      <c r="Q77" s="23" cm="1">
        <f t="array" aca="1" ref="Q77" ca="1">_FV(RTData[[#This Row],[Company Name]],"Volume average",TRUE)</f>
        <v>53740669</v>
      </c>
      <c r="R77" s="19" cm="1">
        <f t="array" aca="1" ref="R77" ca="1">_FV(RTData[[#This Row],[Company Name]],"Beta")</f>
        <v>1.5407999999999999</v>
      </c>
      <c r="T77" t="s">
        <v>26</v>
      </c>
      <c r="U77" t="str" cm="1">
        <f t="array" aca="1" ref="U77" ca="1">_FV(RTData[[#This Row],[Company Name]],"Exchange abbreviation",TRUE)</f>
        <v>XNYS</v>
      </c>
      <c r="V77" s="24">
        <f ca="1">IFERROR(RTData[[#This Row],[Volume]]/RTData[[#This Row],[Volume average]],1)</f>
        <v>0.73903263094845362</v>
      </c>
      <c r="W77" s="24"/>
      <c r="X77" s="103">
        <v>10.79</v>
      </c>
      <c r="Y77" s="149">
        <f>[1]Sheet2!$F76</f>
        <v>45880</v>
      </c>
      <c r="Z77" s="149" t="str">
        <f>[1]Sheet2!$G76</f>
        <v>Oct 29, 2025</v>
      </c>
      <c r="AA77" s="150">
        <f>[1]Sheet2!$H76</f>
        <v>5.11E-2</v>
      </c>
      <c r="AB77" s="151">
        <v>1E-4</v>
      </c>
      <c r="AC77" s="152">
        <v>3.0000000000000001E-3</v>
      </c>
      <c r="AD77" s="103" t="s">
        <v>111</v>
      </c>
      <c r="AE77" s="153">
        <f>_xlfn.LET(_xlpm.New1YT,RTData[[#This Row],[1YT]],        _xlpm.Old1YT,IF(ISNUMBER(RTData[[#This Row],[Old1YT]]),RTData[[#This Row],[Old1YT]],VALUE(LEFT(RTData[[#This Row],[Old1YT]],FIND("/",RTData[[#This Row],[Old1YT]],1)-1))),       IF(OR(RTData[[#This Row],[1YT]]=0,_xlpm.Old1YT=0),0,(_xlpm.New1YT-_xlpm.Old1YT)/_xlpm.Old1YT))</f>
        <v>4.0501446480231434E-2</v>
      </c>
      <c r="AF77" s="153" t="str">
        <f>TEXT(RTData[[#This Row],[1YT]],"#,#0.00")&amp;" &lt; "&amp;RTData[[#This Row],[Old1YT]]</f>
        <v>10.79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45908.666666666664</v>
      </c>
      <c r="F78" s="29" cm="1">
        <f t="array" aca="1" ref="F78" ca="1">_FV(RTData[[#This Row],[Company Name]],"Previous close",TRUE)</f>
        <v>53.04</v>
      </c>
      <c r="G78" s="29" cm="1">
        <f t="array" aca="1" ref="G78" ca="1">_FV(RTData[[#This Row],[Company Name]],"Open")</f>
        <v>53.26</v>
      </c>
      <c r="H78" s="29" cm="1">
        <f t="array" aca="1" ref="H78" ca="1">_FV(RTData[[#This Row],[Company Name]],"Price")</f>
        <v>53.76</v>
      </c>
      <c r="I78" s="29" cm="1">
        <f t="array" aca="1" ref="I78" ca="1">_FV(RTData[[#This Row],[Company Name]],"Low")</f>
        <v>52.88</v>
      </c>
      <c r="J78" s="29" cm="1">
        <f t="array" aca="1" ref="J78" ca="1">_FV(RTData[[#This Row],[Company Name]],"High")</f>
        <v>53.78</v>
      </c>
      <c r="K78" s="20" cm="1">
        <f t="array" aca="1" ref="K78" ca="1">IFERROR(_FV(RTData[[#This Row],[Company Name]],"P/E",TRUE),99)</f>
        <v>8.8834</v>
      </c>
      <c r="L78" s="21" cm="1">
        <f t="array" aca="1" ref="L78" ca="1">_FV(RTData[[#This Row],[Company Name]],"Change")</f>
        <v>0.72</v>
      </c>
      <c r="M78" s="22" cm="1">
        <f t="array" aca="1" ref="M78" ca="1">_FV(RTData[[#This Row],[Company Name]],"Change (%)",TRUE)</f>
        <v>1.3574999999999999E-2</v>
      </c>
      <c r="N78" s="29" cm="1">
        <f t="array" aca="1" ref="N78" ca="1">_FV(RTData[[#This Row],[Company Name]],"52 week low",TRUE)</f>
        <v>21.55</v>
      </c>
      <c r="O78" s="29" cm="1">
        <f t="array" aca="1" ref="O78" ca="1">_FV(RTData[[#This Row],[Company Name]],"52 week high",TRUE)</f>
        <v>59.42</v>
      </c>
      <c r="P78" s="23" cm="1">
        <f t="array" aca="1" ref="P78" ca="1">_FV(RTData[[#This Row],[Company Name]],"Volume")</f>
        <v>2302225</v>
      </c>
      <c r="Q78" s="23" cm="1">
        <f t="array" aca="1" ref="Q78" ca="1">_FV(RTData[[#This Row],[Company Name]],"Volume average",TRUE)</f>
        <v>3182130</v>
      </c>
      <c r="R78" s="19" cm="1">
        <f t="array" aca="1" ref="R78" ca="1">_FV(RTData[[#This Row],[Company Name]],"Beta")</f>
        <v>1.5658000000000001</v>
      </c>
      <c r="T78" t="s">
        <v>26</v>
      </c>
      <c r="U78" t="str" cm="1">
        <f t="array" aca="1" ref="U78" ca="1">_FV(RTData[[#This Row],[Company Name]],"Exchange abbreviation",TRUE)</f>
        <v>XPAR</v>
      </c>
      <c r="V78" s="24">
        <f ca="1">IFERROR(RTData[[#This Row],[Volume]]/RTData[[#This Row],[Volume average]],1)</f>
        <v>0.72348552698978352</v>
      </c>
      <c r="W78" s="24"/>
      <c r="X78" s="103">
        <v>60.69</v>
      </c>
      <c r="Y78" s="149">
        <f>[1]Sheet2!$F77</f>
        <v>45937</v>
      </c>
      <c r="Z78" s="149" t="str">
        <f>[1]Sheet2!$G77</f>
        <v>Oct 30, 2025</v>
      </c>
      <c r="AA78" s="150">
        <f>[1]Sheet2!$H77</f>
        <v>3.2099999999999997E-2</v>
      </c>
      <c r="AB78" s="151"/>
      <c r="AC78" s="152">
        <v>3.0000000000000001E-3</v>
      </c>
      <c r="AD78" s="103" t="s">
        <v>112</v>
      </c>
      <c r="AE78" s="153">
        <f>_xlfn.LET(_xlpm.New1YT,RTData[[#This Row],[1YT]],        _xlpm.Old1YT,IF(ISNUMBER(RTData[[#This Row],[Old1YT]]),RTData[[#This Row],[Old1YT]],VALUE(LEFT(RTData[[#This Row],[Old1YT]],FIND("/",RTData[[#This Row],[Old1YT]],1)-1))),       IF(OR(RTData[[#This Row],[1YT]]=0,_xlpm.Old1YT=0),0,(_xlpm.New1YT-_xlpm.Old1YT)/_xlpm.Old1YT))</f>
        <v>1.5392337292956242E-2</v>
      </c>
      <c r="AF78" s="153" t="str">
        <f>TEXT(RTData[[#This Row],[1YT]],"#,#0.00")&amp;" &lt; "&amp;RTData[[#This Row],[Old1YT]]</f>
        <v>60.69 &lt; 59.77/51.92/30.4</v>
      </c>
    </row>
    <row r="79" spans="1:32" ht="22" customHeight="1" x14ac:dyDescent="0.3">
      <c r="A79" s="41" t="str" cm="1">
        <f t="array" aca="1" ref="A79" ca="1">_xlfn.SINGLE(RTData[suffix])&amp;_FV(RTData[[#This Row],[Company Name]],"Ticker symbol",TRUE)</f>
        <v>GNRC</v>
      </c>
      <c r="B79" s="41">
        <f ca="1">D98</f>
        <v>0.84990651028386865</v>
      </c>
      <c r="C79" s="43" t="e" vm="59">
        <v>#VALUE!</v>
      </c>
      <c r="D79" s="17" t="str" cm="1">
        <f t="array" aca="1" ref="D79" ca="1">_FV(RTData[[#This Row],[Company Name]],"Currency")</f>
        <v>USD</v>
      </c>
      <c r="E79" s="18" cm="1">
        <f t="array" aca="1" ref="E79" ca="1">_FV(RTData[[#This Row],[Company Name]],"Last trade time",TRUE)</f>
        <v>45908.958333344533</v>
      </c>
      <c r="F79" s="19" cm="1">
        <f t="array" aca="1" ref="F79" ca="1">_FV(RTData[[#This Row],[Company Name]],"Previous close",TRUE)</f>
        <v>181.3</v>
      </c>
      <c r="G79" s="19" cm="1">
        <f t="array" aca="1" ref="G79" ca="1">_FV(RTData[[#This Row],[Company Name]],"Open")</f>
        <v>181.22</v>
      </c>
      <c r="H79" s="19" cm="1">
        <f t="array" aca="1" ref="H79" ca="1">_FV(RTData[[#This Row],[Company Name]],"Price")</f>
        <v>183.97</v>
      </c>
      <c r="I79" s="19" cm="1">
        <f t="array" aca="1" ref="I79" ca="1">_FV(RTData[[#This Row],[Company Name]],"Low")</f>
        <v>179.8</v>
      </c>
      <c r="J79" s="19" cm="1">
        <f t="array" aca="1" ref="J79" ca="1">_FV(RTData[[#This Row],[Company Name]],"High")</f>
        <v>185.37</v>
      </c>
      <c r="K79" s="20" cm="1">
        <f t="array" aca="1" ref="K79" ca="1">IFERROR(_FV(RTData[[#This Row],[Company Name]],"P/E",TRUE),99)</f>
        <v>30.5486</v>
      </c>
      <c r="L79" s="21" cm="1">
        <f t="array" aca="1" ref="L79" ca="1">_FV(RTData[[#This Row],[Company Name]],"Change")</f>
        <v>2.67</v>
      </c>
      <c r="M79" s="22" cm="1">
        <f t="array" aca="1" ref="M79" ca="1">_FV(RTData[[#This Row],[Company Name]],"Change (%)",TRUE)</f>
        <v>1.4726999999999999E-2</v>
      </c>
      <c r="N79" s="19" cm="1">
        <f t="array" aca="1" ref="N79" ca="1">_FV(RTData[[#This Row],[Company Name]],"52 week low",TRUE)</f>
        <v>99.5</v>
      </c>
      <c r="O79" s="19" cm="1">
        <f t="array" aca="1" ref="O79" ca="1">_FV(RTData[[#This Row],[Company Name]],"52 week high",TRUE)</f>
        <v>203.2499</v>
      </c>
      <c r="P79" s="23" cm="1">
        <f t="array" aca="1" ref="P79" ca="1">_FV(RTData[[#This Row],[Company Name]],"Volume")</f>
        <v>894458</v>
      </c>
      <c r="Q79" s="23" cm="1">
        <f t="array" aca="1" ref="Q79" ca="1">_FV(RTData[[#This Row],[Company Name]],"Volume average",TRUE)</f>
        <v>891449</v>
      </c>
      <c r="R79" s="19" cm="1">
        <f t="array" aca="1" ref="R79" ca="1">_FV(RTData[[#This Row],[Company Name]],"Beta")</f>
        <v>1.6718999999999999</v>
      </c>
      <c r="T79" t="s">
        <v>26</v>
      </c>
      <c r="U79" t="str" cm="1">
        <f t="array" aca="1" ref="U79" ca="1">_FV(RTData[[#This Row],[Company Name]],"Exchange abbreviation",TRUE)</f>
        <v>XNYS</v>
      </c>
      <c r="V79" s="24">
        <f ca="1">IFERROR(RTData[[#This Row],[Volume]]/RTData[[#This Row],[Volume average]],1)</f>
        <v>1.0033754034162359</v>
      </c>
      <c r="W79" s="24"/>
      <c r="X79" s="103">
        <f>[1]Sheet2!$E78</f>
        <v>204.5</v>
      </c>
      <c r="Y79" s="149">
        <f>[1]Sheet2!$F78</f>
        <v>41435</v>
      </c>
      <c r="Z79" s="149" t="str">
        <f>[1]Sheet2!$G78</f>
        <v>Oct 30, 2025</v>
      </c>
      <c r="AA79" s="150">
        <f>[1]Sheet2!$H78</f>
        <v>0</v>
      </c>
      <c r="AB79" s="151">
        <v>1E-4</v>
      </c>
      <c r="AC79" s="152">
        <v>3.0000000000000001E-3</v>
      </c>
      <c r="AD79" s="103">
        <v>157.18</v>
      </c>
      <c r="AE79" s="153">
        <f>_xlfn.LET(_xlpm.New1YT,RTData[[#This Row],[1YT]],        _xlpm.Old1YT,IF(ISNUMBER(RTData[[#This Row],[Old1YT]]),RTData[[#This Row],[Old1YT]],VALUE(LEFT(RTData[[#This Row],[Old1YT]],FIND("/",RTData[[#This Row],[Old1YT]],1)-1))),       IF(OR(RTData[[#This Row],[1YT]]=0,_xlpm.Old1YT=0),0,(_xlpm.New1YT-_xlpm.Old1YT)/_xlpm.Old1YT))</f>
        <v>0.3010561140094159</v>
      </c>
      <c r="AF79" s="153"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D98</f>
        <v>0.84990651028386865</v>
      </c>
      <c r="C80" t="e" vm="60">
        <v>#VALUE!</v>
      </c>
      <c r="D80" s="17" t="str" cm="1">
        <f t="array" aca="1" ref="D80" ca="1">_FV(RTData[[#This Row],[Company Name]],"Currency")</f>
        <v>USD</v>
      </c>
      <c r="E80" s="18" cm="1">
        <f t="array" aca="1" ref="E80" ca="1">_FV(RTData[[#This Row],[Company Name]],"Last trade time",TRUE)</f>
        <v>45908.967670578124</v>
      </c>
      <c r="F80" s="19" cm="1">
        <f t="array" aca="1" ref="F80" ca="1">_FV(RTData[[#This Row],[Company Name]],"Previous close",TRUE)</f>
        <v>738.21</v>
      </c>
      <c r="G80" s="19" cm="1">
        <f t="array" aca="1" ref="G80" ca="1">_FV(RTData[[#This Row],[Company Name]],"Open")</f>
        <v>739.42</v>
      </c>
      <c r="H80" s="19" cm="1">
        <f t="array" aca="1" ref="H80" ca="1">_FV(RTData[[#This Row],[Company Name]],"Price")</f>
        <v>741.57</v>
      </c>
      <c r="I80" s="19" cm="1">
        <f t="array" aca="1" ref="I80" ca="1">_FV(RTData[[#This Row],[Company Name]],"Low")</f>
        <v>733.57</v>
      </c>
      <c r="J80" s="19" cm="1">
        <f t="array" aca="1" ref="J80" ca="1">_FV(RTData[[#This Row],[Company Name]],"High")</f>
        <v>743.54319999999996</v>
      </c>
      <c r="K80" s="20" cm="1">
        <f t="array" aca="1" ref="K80" ca="1">IFERROR(_FV(RTData[[#This Row],[Company Name]],"P/E",TRUE),99)</f>
        <v>16.342400000000001</v>
      </c>
      <c r="L80" s="21" cm="1">
        <f t="array" aca="1" ref="L80" ca="1">_FV(RTData[[#This Row],[Company Name]],"Change")</f>
        <v>3.36</v>
      </c>
      <c r="M80" s="22" cm="1">
        <f t="array" aca="1" ref="M80" ca="1">_FV(RTData[[#This Row],[Company Name]],"Change (%)",TRUE)</f>
        <v>4.5519999999999996E-3</v>
      </c>
      <c r="N80" s="19" cm="1">
        <f t="array" aca="1" ref="N80" ca="1">_FV(RTData[[#This Row],[Company Name]],"52 week low",TRUE)</f>
        <v>439.38</v>
      </c>
      <c r="O80" s="19" cm="1">
        <f t="array" aca="1" ref="O80" ca="1">_FV(RTData[[#This Row],[Company Name]],"52 week high",TRUE)</f>
        <v>757.35</v>
      </c>
      <c r="P80" s="23" cm="1">
        <f t="array" aca="1" ref="P80" ca="1">_FV(RTData[[#This Row],[Company Name]],"Volume")</f>
        <v>1399513</v>
      </c>
      <c r="Q80" s="23" cm="1">
        <f t="array" aca="1" ref="Q80" ca="1">_FV(RTData[[#This Row],[Company Name]],"Volume average",TRUE)</f>
        <v>1685748</v>
      </c>
      <c r="R80" s="19" cm="1">
        <f t="array" aca="1" ref="R80" ca="1">_FV(RTData[[#This Row],[Company Name]],"Beta")</f>
        <v>1.4151</v>
      </c>
      <c r="T80" t="s">
        <v>26</v>
      </c>
      <c r="U80" t="str" cm="1">
        <f t="array" aca="1" ref="U80" ca="1">_FV(RTData[[#This Row],[Company Name]],"Exchange abbreviation",TRUE)</f>
        <v>XNYS</v>
      </c>
      <c r="V80" s="24">
        <f ca="1">IFERROR(RTData[[#This Row],[Volume]]/RTData[[#This Row],[Volume average]],1)</f>
        <v>0.83020297221174222</v>
      </c>
      <c r="W80" s="24"/>
      <c r="X80" s="103">
        <f>[1]Sheet2!$E79</f>
        <v>710.57899999999995</v>
      </c>
      <c r="Y80" s="149">
        <f>[1]Sheet2!$F79</f>
        <v>45898</v>
      </c>
      <c r="Z80" s="149" t="str">
        <f>[1]Sheet2!$G79</f>
        <v>Oct 14, 2025</v>
      </c>
      <c r="AA80" s="150">
        <f>[1]Sheet2!$H79</f>
        <v>2.1700000000000001E-2</v>
      </c>
      <c r="AB80" s="151">
        <v>1E-4</v>
      </c>
      <c r="AC80" s="152">
        <v>3.0000000000000001E-3</v>
      </c>
      <c r="AD80" s="103">
        <v>453.91</v>
      </c>
      <c r="AE80" s="153">
        <f>_xlfn.LET(_xlpm.New1YT,RTData[[#This Row],[1YT]],        _xlpm.Old1YT,IF(ISNUMBER(RTData[[#This Row],[Old1YT]]),RTData[[#This Row],[Old1YT]],VALUE(LEFT(RTData[[#This Row],[Old1YT]],FIND("/",RTData[[#This Row],[Old1YT]],1)-1))),       IF(OR(RTData[[#This Row],[1YT]]=0,_xlpm.Old1YT=0),0,(_xlpm.New1YT-_xlpm.Old1YT)/_xlpm.Old1YT))</f>
        <v>0.56546231631821264</v>
      </c>
      <c r="AF80" s="153" t="str">
        <f>TEXT(RTData[[#This Row],[1YT]],"#,#0.00")&amp;" &lt; "&amp;RTData[[#This Row],[Old1YT]]</f>
        <v>710.58 &lt; 453.91</v>
      </c>
    </row>
    <row r="81" spans="1:33" x14ac:dyDescent="0.3">
      <c r="A81" s="41" t="str" cm="1">
        <f t="array" aca="1" ref="A81" ca="1">_xlfn.SINGLE(RTData[suffix])&amp;_FV(RTData[[#This Row],[Company Name]],"Ticker symbol",TRUE)</f>
        <v>LAZR</v>
      </c>
      <c r="B81" s="41">
        <f ca="1">D98</f>
        <v>0.84990651028386865</v>
      </c>
      <c r="C81" s="43" t="e" vm="61">
        <v>#VALUE!</v>
      </c>
      <c r="D81" s="17" t="str" cm="1">
        <f t="array" aca="1" ref="D81" ca="1">_FV(RTData[[#This Row],[Company Name]],"Currency")</f>
        <v>USD</v>
      </c>
      <c r="E81" s="18" cm="1">
        <f t="array" aca="1" ref="E81" ca="1">_FV(RTData[[#This Row],[Company Name]],"Last trade time",TRUE)</f>
        <v>45908.957967117967</v>
      </c>
      <c r="F81" s="19" cm="1">
        <f t="array" aca="1" ref="F81" ca="1">_FV(RTData[[#This Row],[Company Name]],"Previous close",TRUE)</f>
        <v>1.66</v>
      </c>
      <c r="G81" s="19" cm="1">
        <f t="array" aca="1" ref="G81" ca="1">_FV(RTData[[#This Row],[Company Name]],"Open")</f>
        <v>1.69</v>
      </c>
      <c r="H81" s="19" cm="1">
        <f t="array" aca="1" ref="H81" ca="1">_FV(RTData[[#This Row],[Company Name]],"Price")</f>
        <v>1.71</v>
      </c>
      <c r="I81" s="19" cm="1">
        <f t="array" aca="1" ref="I81" ca="1">_FV(RTData[[#This Row],[Company Name]],"Low")</f>
        <v>1.62</v>
      </c>
      <c r="J81" s="19" cm="1">
        <f t="array" aca="1" ref="J81" ca="1">_FV(RTData[[#This Row],[Company Name]],"High")</f>
        <v>1.72</v>
      </c>
      <c r="K81" s="20" cm="1">
        <f t="array" aca="1" ref="K81" ca="1">IFERROR(_FV(RTData[[#This Row],[Company Name]],"P/E",TRUE),99)</f>
        <v>0</v>
      </c>
      <c r="L81" s="21" cm="1">
        <f t="array" aca="1" ref="L81" ca="1">_FV(RTData[[#This Row],[Company Name]],"Change")</f>
        <v>0.05</v>
      </c>
      <c r="M81" s="22" cm="1">
        <f t="array" aca="1" ref="M81" ca="1">_FV(RTData[[#This Row],[Company Name]],"Change (%)",TRUE)</f>
        <v>3.0120000000000001E-2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2550440</v>
      </c>
      <c r="Q81" s="23" cm="1">
        <f t="array" aca="1" ref="Q81" ca="1">_FV(RTData[[#This Row],[Company Name]],"Volume average",TRUE)</f>
        <v>3940716</v>
      </c>
      <c r="R81" s="19" cm="1">
        <f t="array" aca="1" ref="R81" ca="1">_FV(RTData[[#This Row],[Company Name]],"Beta")</f>
        <v>2.0221</v>
      </c>
      <c r="T81" t="s">
        <v>26</v>
      </c>
      <c r="U81" t="str" cm="1">
        <f t="array" aca="1" ref="U81" ca="1">_FV(RTData[[#This Row],[Company Name]],"Exchange abbreviation",TRUE)</f>
        <v>XNAS</v>
      </c>
      <c r="V81" s="24">
        <f ca="1">IFERROR(RTData[[#This Row],[Volume]]/RTData[[#This Row],[Volume average]],1)</f>
        <v>0.64720218356258097</v>
      </c>
      <c r="W81" s="24"/>
      <c r="X81" s="103">
        <v>3</v>
      </c>
      <c r="Y81" s="149">
        <f>[1]Sheet2!$F80</f>
        <v>0</v>
      </c>
      <c r="Z81" s="149" t="str">
        <f>[1]Sheet2!$G80</f>
        <v>Aug 12, 2025</v>
      </c>
      <c r="AA81" s="150">
        <f>[1]Sheet2!$H80</f>
        <v>0</v>
      </c>
      <c r="AB81" s="151">
        <v>1E-4</v>
      </c>
      <c r="AC81" s="152">
        <v>3.0000000000000001E-3</v>
      </c>
      <c r="AD81" s="103" t="s">
        <v>96</v>
      </c>
      <c r="AE81" s="153">
        <f>_xlfn.LET(_xlpm.New1YT,RTData[[#This Row],[1YT]],        _xlpm.Old1YT,IF(ISNUMBER(RTData[[#This Row],[Old1YT]]),RTData[[#This Row],[Old1YT]],VALUE(LEFT(RTData[[#This Row],[Old1YT]],FIND("/",RTData[[#This Row],[Old1YT]],1)-1))),       IF(OR(RTData[[#This Row],[1YT]]=0,_xlpm.Old1YT=0),0,(_xlpm.New1YT-_xlpm.Old1YT)/_xlpm.Old1YT))</f>
        <v>-0.30555555555555558</v>
      </c>
      <c r="AF81" s="153" t="str">
        <f>TEXT(RTData[[#This Row],[1YT]],"#,#0.00")&amp;" &lt; "&amp;RTData[[#This Row],[Old1YT]]</f>
        <v>3.00 &lt; 4.32/2.59</v>
      </c>
    </row>
    <row r="82" spans="1:33" ht="22" customHeight="1" x14ac:dyDescent="0.3">
      <c r="A82" s="41" t="str" cm="1">
        <f t="array" aca="1" ref="A82" ca="1">_xlfn.SINGLE(RTData[suffix])&amp;_FV(RTData[[#This Row],[Company Name]],"Ticker symbol",TRUE)</f>
        <v>LUV</v>
      </c>
      <c r="B82" s="41">
        <f ca="1">D98</f>
        <v>0.84990651028386865</v>
      </c>
      <c r="C82" s="43" t="e" vm="62">
        <v>#VALUE!</v>
      </c>
      <c r="D82" s="17" t="str" cm="1">
        <f t="array" aca="1" ref="D82" ca="1">_FV(RTData[[#This Row],[Company Name]],"Currency")</f>
        <v>USD</v>
      </c>
      <c r="E82" s="18" cm="1">
        <f t="array" aca="1" ref="E82" ca="1">_FV(RTData[[#This Row],[Company Name]],"Last trade time",TRUE)</f>
        <v>45908.966567060153</v>
      </c>
      <c r="F82" s="19" cm="1">
        <f t="array" aca="1" ref="F82" ca="1">_FV(RTData[[#This Row],[Company Name]],"Previous close",TRUE)</f>
        <v>31.39</v>
      </c>
      <c r="G82" s="19" cm="1">
        <f t="array" aca="1" ref="G82" ca="1">_FV(RTData[[#This Row],[Company Name]],"Open")</f>
        <v>31.27</v>
      </c>
      <c r="H82" s="19" cm="1">
        <f t="array" aca="1" ref="H82" ca="1">_FV(RTData[[#This Row],[Company Name]],"Price")</f>
        <v>31.72</v>
      </c>
      <c r="I82" s="19" cm="1">
        <f t="array" aca="1" ref="I82" ca="1">_FV(RTData[[#This Row],[Company Name]],"Low")</f>
        <v>31.195</v>
      </c>
      <c r="J82" s="19" cm="1">
        <f t="array" aca="1" ref="J82" ca="1">_FV(RTData[[#This Row],[Company Name]],"High")</f>
        <v>31.855</v>
      </c>
      <c r="K82" s="20" cm="1">
        <f t="array" aca="1" ref="K82" ca="1">IFERROR(_FV(RTData[[#This Row],[Company Name]],"P/E",TRUE),99)</f>
        <v>38.0792</v>
      </c>
      <c r="L82" s="21" cm="1">
        <f t="array" aca="1" ref="L82" ca="1">_FV(RTData[[#This Row],[Company Name]],"Change")</f>
        <v>0.33</v>
      </c>
      <c r="M82" s="22" cm="1">
        <f t="array" aca="1" ref="M82" ca="1">_FV(RTData[[#This Row],[Company Name]],"Change (%)",TRUE)</f>
        <v>1.0513E-2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9330088</v>
      </c>
      <c r="Q82" s="23" cm="1">
        <f t="array" aca="1" ref="Q82" ca="1">_FV(RTData[[#This Row],[Company Name]],"Volume average",TRUE)</f>
        <v>7400347</v>
      </c>
      <c r="R82" s="19" cm="1">
        <f t="array" aca="1" ref="R82" ca="1">_FV(RTData[[#This Row],[Company Name]],"Beta")</f>
        <v>1.2143999999999999</v>
      </c>
      <c r="T82" t="s">
        <v>26</v>
      </c>
      <c r="U82" t="str" cm="1">
        <f t="array" aca="1" ref="U82" ca="1">_FV(RTData[[#This Row],[Company Name]],"Exchange abbreviation",TRUE)</f>
        <v>XNYS</v>
      </c>
      <c r="V82" s="24">
        <f ca="1">IFERROR(RTData[[#This Row],[Volume]]/RTData[[#This Row],[Volume average]],1)</f>
        <v>1.2607635831130621</v>
      </c>
      <c r="W82" s="24"/>
      <c r="X82" s="103">
        <f>[1]Sheet2!$E81</f>
        <v>32.06</v>
      </c>
      <c r="Y82" s="149">
        <f>[1]Sheet2!$F81</f>
        <v>45903</v>
      </c>
      <c r="Z82" s="149" t="str">
        <f>[1]Sheet2!$G81</f>
        <v>Oct 22, 2025</v>
      </c>
      <c r="AA82" s="150">
        <f>[1]Sheet2!$H81</f>
        <v>2.29E-2</v>
      </c>
      <c r="AB82" s="151">
        <v>1E-4</v>
      </c>
      <c r="AC82" s="152">
        <v>3.0000000000000001E-3</v>
      </c>
      <c r="AD82" s="103">
        <v>28.04</v>
      </c>
      <c r="AE82" s="153">
        <f>_xlfn.LET(_xlpm.New1YT,RTData[[#This Row],[1YT]],        _xlpm.Old1YT,IF(ISNUMBER(RTData[[#This Row],[Old1YT]]),RTData[[#This Row],[Old1YT]],VALUE(LEFT(RTData[[#This Row],[Old1YT]],FIND("/",RTData[[#This Row],[Old1YT]],1)-1))),       IF(OR(RTData[[#This Row],[1YT]]=0,_xlpm.Old1YT=0),0,(_xlpm.New1YT-_xlpm.Old1YT)/_xlpm.Old1YT))</f>
        <v>0.14336661911554932</v>
      </c>
      <c r="AF82" s="153"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D98</f>
        <v>0.84990651028386865</v>
      </c>
      <c r="C83" s="43" t="e" vm="63">
        <v>#VALUE!</v>
      </c>
      <c r="D83" s="17" t="str" cm="1">
        <f t="array" aca="1" ref="D83" ca="1">_FV(RTData[[#This Row],[Company Name]],"Currency")</f>
        <v>USD</v>
      </c>
      <c r="E83" s="18" cm="1">
        <f t="array" aca="1" ref="E83" ca="1">_FV(RTData[[#This Row],[Company Name]],"Last trade time",TRUE)</f>
        <v>45908.965864536716</v>
      </c>
      <c r="F83" s="19" cm="1">
        <f t="array" aca="1" ref="F83" ca="1">_FV(RTData[[#This Row],[Company Name]],"Previous close",TRUE)</f>
        <v>584.22</v>
      </c>
      <c r="G83" s="19" cm="1">
        <f t="array" aca="1" ref="G83" ca="1">_FV(RTData[[#This Row],[Company Name]],"Open")</f>
        <v>582.62</v>
      </c>
      <c r="H83" s="19" cm="1">
        <f t="array" aca="1" ref="H83" ca="1">_FV(RTData[[#This Row],[Company Name]],"Price")</f>
        <v>586.91</v>
      </c>
      <c r="I83" s="19" cm="1">
        <f t="array" aca="1" ref="I83" ca="1">_FV(RTData[[#This Row],[Company Name]],"Low")</f>
        <v>580.70000000000005</v>
      </c>
      <c r="J83" s="19" cm="1">
        <f t="array" aca="1" ref="J83" ca="1">_FV(RTData[[#This Row],[Company Name]],"High")</f>
        <v>589.79399999999998</v>
      </c>
      <c r="K83" s="20" cm="1">
        <f t="array" aca="1" ref="K83" ca="1">IFERROR(_FV(RTData[[#This Row],[Company Name]],"P/E",TRUE),99)</f>
        <v>39.5807</v>
      </c>
      <c r="L83" s="21" cm="1">
        <f t="array" aca="1" ref="L83" ca="1">_FV(RTData[[#This Row],[Company Name]],"Change")</f>
        <v>2.69</v>
      </c>
      <c r="M83" s="22" cm="1">
        <f t="array" aca="1" ref="M83" ca="1">_FV(RTData[[#This Row],[Company Name]],"Change (%)",TRUE)</f>
        <v>4.6039999999999996E-3</v>
      </c>
      <c r="N83" s="19" cm="1">
        <f t="array" aca="1" ref="N83" ca="1">_FV(RTData[[#This Row],[Company Name]],"52 week low",TRUE)</f>
        <v>465.59</v>
      </c>
      <c r="O83" s="19" cm="1">
        <f t="array" aca="1" ref="O83" ca="1">_FV(RTData[[#This Row],[Company Name]],"52 week high",TRUE)</f>
        <v>601.77</v>
      </c>
      <c r="P83" s="23" cm="1">
        <f t="array" aca="1" ref="P83" ca="1">_FV(RTData[[#This Row],[Company Name]],"Volume")</f>
        <v>1948268</v>
      </c>
      <c r="Q83" s="23" cm="1">
        <f t="array" aca="1" ref="Q83" ca="1">_FV(RTData[[#This Row],[Company Name]],"Volume average",TRUE)</f>
        <v>2475956</v>
      </c>
      <c r="R83" s="19" cm="1">
        <f t="array" aca="1" ref="R83" ca="1">_FV(RTData[[#This Row],[Company Name]],"Beta")</f>
        <v>0.98370000000000002</v>
      </c>
      <c r="T83" t="s">
        <v>26</v>
      </c>
      <c r="U83" t="str" cm="1">
        <f t="array" aca="1" ref="U83" ca="1">_FV(RTData[[#This Row],[Company Name]],"Exchange abbreviation",TRUE)</f>
        <v>XNYS</v>
      </c>
      <c r="V83" s="24">
        <f ca="1">IFERROR(RTData[[#This Row],[Volume]]/RTData[[#This Row],[Volume average]],1)</f>
        <v>0.78687504947583886</v>
      </c>
      <c r="W83" s="24"/>
      <c r="X83" s="103">
        <f>[1]Sheet2!$E82</f>
        <v>644.55150000000003</v>
      </c>
      <c r="Y83" s="149">
        <f>[1]Sheet2!$F82</f>
        <v>45847</v>
      </c>
      <c r="Z83" s="149" t="str">
        <f>[1]Sheet2!$G82</f>
        <v>Oct 30, 2025</v>
      </c>
      <c r="AA83" s="150">
        <f>[1]Sheet2!$H82</f>
        <v>5.1999999999999998E-3</v>
      </c>
      <c r="AB83" s="151">
        <v>1E-4</v>
      </c>
      <c r="AC83" s="152">
        <v>3.0000000000000001E-3</v>
      </c>
      <c r="AD83" s="103">
        <v>549.30999999999995</v>
      </c>
      <c r="AE83" s="153">
        <f>_xlfn.LET(_xlpm.New1YT,RTData[[#This Row],[1YT]],        _xlpm.Old1YT,IF(ISNUMBER(RTData[[#This Row],[Old1YT]]),RTData[[#This Row],[Old1YT]],VALUE(LEFT(RTData[[#This Row],[Old1YT]],FIND("/",RTData[[#This Row],[Old1YT]],1)-1))),       IF(OR(RTData[[#This Row],[1YT]]=0,_xlpm.Old1YT=0),0,(_xlpm.New1YT-_xlpm.Old1YT)/_xlpm.Old1YT))</f>
        <v>0.17338388159691268</v>
      </c>
      <c r="AF83" s="153"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D98</f>
        <v>0.84990651028386865</v>
      </c>
      <c r="C84" s="43" t="e" vm="64">
        <v>#VALUE!</v>
      </c>
      <c r="D84" s="17" t="str" cm="1">
        <f t="array" aca="1" ref="D84" ca="1">_FV(RTData[[#This Row],[Company Name]],"Currency")</f>
        <v>USD</v>
      </c>
      <c r="E84" s="18" cm="1">
        <f t="array" aca="1" ref="E84" ca="1">_FV(RTData[[#This Row],[Company Name]],"Last trade time",TRUE)</f>
        <v>45908.965243321094</v>
      </c>
      <c r="F84" s="19" cm="1">
        <f t="array" aca="1" ref="F84" ca="1">_FV(RTData[[#This Row],[Company Name]],"Previous close",TRUE)</f>
        <v>7.9</v>
      </c>
      <c r="G84" s="19" cm="1">
        <f t="array" aca="1" ref="G84" ca="1">_FV(RTData[[#This Row],[Company Name]],"Open")</f>
        <v>7.86</v>
      </c>
      <c r="H84" s="19" cm="1">
        <f t="array" aca="1" ref="H84" ca="1">_FV(RTData[[#This Row],[Company Name]],"Price")</f>
        <v>7.73</v>
      </c>
      <c r="I84" s="19" cm="1">
        <f t="array" aca="1" ref="I84" ca="1">_FV(RTData[[#This Row],[Company Name]],"Low")</f>
        <v>7.63</v>
      </c>
      <c r="J84" s="19" cm="1">
        <f t="array" aca="1" ref="J84" ca="1">_FV(RTData[[#This Row],[Company Name]],"High")</f>
        <v>7.86</v>
      </c>
      <c r="K84" s="20" cm="1">
        <f t="array" aca="1" ref="K84" ca="1">IFERROR(_FV(RTData[[#This Row],[Company Name]],"P/E",TRUE),99)</f>
        <v>3.3797000000000001</v>
      </c>
      <c r="L84" s="21" cm="1">
        <f t="array" aca="1" ref="L84" ca="1">_FV(RTData[[#This Row],[Company Name]],"Change")</f>
        <v>-0.17</v>
      </c>
      <c r="M84" s="22" cm="1">
        <f t="array" aca="1" ref="M84" ca="1">_FV(RTData[[#This Row],[Company Name]],"Change (%)",TRUE)</f>
        <v>-2.1519E-2</v>
      </c>
      <c r="N84" s="19" cm="1">
        <f t="array" aca="1" ref="N84" ca="1">_FV(RTData[[#This Row],[Company Name]],"52 week low",TRUE)</f>
        <v>5.01</v>
      </c>
      <c r="O84" s="19" cm="1">
        <f t="array" aca="1" ref="O84" ca="1">_FV(RTData[[#This Row],[Company Name]],"52 week high",TRUE)</f>
        <v>15.22</v>
      </c>
      <c r="P84" s="23" cm="1">
        <f t="array" aca="1" ref="P84" ca="1">_FV(RTData[[#This Row],[Company Name]],"Volume")</f>
        <v>3491310</v>
      </c>
      <c r="Q84" s="23" cm="1">
        <f t="array" aca="1" ref="Q84" ca="1">_FV(RTData[[#This Row],[Company Name]],"Volume average",TRUE)</f>
        <v>8669477</v>
      </c>
      <c r="R84" s="19" cm="1">
        <f t="array" aca="1" ref="R84" ca="1">_FV(RTData[[#This Row],[Company Name]],"Beta")</f>
        <v>2.7240000000000002</v>
      </c>
      <c r="T84" t="s">
        <v>26</v>
      </c>
      <c r="U84" t="str" cm="1">
        <f t="array" aca="1" ref="U84" ca="1">_FV(RTData[[#This Row],[Company Name]],"Exchange abbreviation",TRUE)</f>
        <v>XNAS</v>
      </c>
      <c r="V84" s="24">
        <f ca="1">IFERROR(RTData[[#This Row],[Volume]]/RTData[[#This Row],[Volume average]],1)</f>
        <v>0.40271287414454182</v>
      </c>
      <c r="W84" s="24"/>
      <c r="X84" s="103">
        <f>[1]Sheet2!$E83</f>
        <v>12.5</v>
      </c>
      <c r="Y84" s="149">
        <f>[1]Sheet2!$F83</f>
        <v>0</v>
      </c>
      <c r="Z84" s="149" t="str">
        <f>[1]Sheet2!$G83</f>
        <v>Aug 6, 2025</v>
      </c>
      <c r="AA84" s="150">
        <f>[1]Sheet2!$H83</f>
        <v>0</v>
      </c>
      <c r="AB84" s="151">
        <v>1E-4</v>
      </c>
      <c r="AC84" s="152">
        <v>3.0000000000000001E-3</v>
      </c>
      <c r="AD84" s="103" t="s">
        <v>88</v>
      </c>
      <c r="AE84" s="153">
        <f>_xlfn.LET(_xlpm.New1YT,RTData[[#This Row],[1YT]],        _xlpm.Old1YT,IF(ISNUMBER(RTData[[#This Row],[Old1YT]]),RTData[[#This Row],[Old1YT]],VALUE(LEFT(RTData[[#This Row],[Old1YT]],FIND("/",RTData[[#This Row],[Old1YT]],1)-1))),       IF(OR(RTData[[#This Row],[1YT]]=0,_xlpm.Old1YT=0),0,(_xlpm.New1YT-_xlpm.Old1YT)/_xlpm.Old1YT))</f>
        <v>-0.14792092706203136</v>
      </c>
      <c r="AF84" s="153"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D98</f>
        <v>0.84990651028386865</v>
      </c>
      <c r="C85" t="e" vm="65">
        <v>#VALUE!</v>
      </c>
      <c r="D85" s="17" t="str" cm="1">
        <f t="array" aca="1" ref="D85" ca="1">_FV(RTData[[#This Row],[Company Name]],"Currency")</f>
        <v>USD</v>
      </c>
      <c r="E85" s="18" cm="1">
        <f t="array" aca="1" ref="E85" ca="1">_FV(RTData[[#This Row],[Company Name]],"Last trade time",TRUE)</f>
        <v>45908.958333344533</v>
      </c>
      <c r="F85" s="19" cm="1">
        <f t="array" aca="1" ref="F85" ca="1">_FV(RTData[[#This Row],[Company Name]],"Previous close",TRUE)</f>
        <v>129.72999999999999</v>
      </c>
      <c r="G85" s="19" cm="1">
        <f t="array" aca="1" ref="G85" ca="1">_FV(RTData[[#This Row],[Company Name]],"Open")</f>
        <v>128.55000000000001</v>
      </c>
      <c r="H85" s="19" cm="1">
        <f t="array" aca="1" ref="H85" ca="1">_FV(RTData[[#This Row],[Company Name]],"Price")</f>
        <v>128.71</v>
      </c>
      <c r="I85" s="19" cm="1">
        <f t="array" aca="1" ref="I85" ca="1">_FV(RTData[[#This Row],[Company Name]],"Low")</f>
        <v>127.83</v>
      </c>
      <c r="J85" s="19" cm="1">
        <f t="array" aca="1" ref="J85" ca="1">_FV(RTData[[#This Row],[Company Name]],"High")</f>
        <v>129.07</v>
      </c>
      <c r="K85" s="20" cm="1">
        <f t="array" aca="1" ref="K85" ca="1">IFERROR(_FV(RTData[[#This Row],[Company Name]],"P/E",TRUE),99)</f>
        <v>18.760999999999999</v>
      </c>
      <c r="L85" s="21" cm="1">
        <f t="array" aca="1" ref="L85" ca="1">_FV(RTData[[#This Row],[Company Name]],"Change")</f>
        <v>-1.02</v>
      </c>
      <c r="M85" s="22" cm="1">
        <f t="array" aca="1" ref="M85" ca="1">_FV(RTData[[#This Row],[Company Name]],"Change (%)",TRUE)</f>
        <v>-7.8620000000000009E-3</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1034275</v>
      </c>
      <c r="Q85" s="23" cm="1">
        <f t="array" aca="1" ref="Q85" ca="1">_FV(RTData[[#This Row],[Company Name]],"Volume average",TRUE)</f>
        <v>1310208</v>
      </c>
      <c r="R85" s="19" cm="1">
        <f t="array" aca="1" ref="R85" ca="1">_FV(RTData[[#This Row],[Company Name]],"Beta")</f>
        <v>0.63300000000000001</v>
      </c>
      <c r="T85" t="s">
        <v>26</v>
      </c>
      <c r="U85" t="str" cm="1">
        <f t="array" aca="1" ref="U85" ca="1">_FV(RTData[[#This Row],[Company Name]],"Exchange abbreviation",TRUE)</f>
        <v>XNYS</v>
      </c>
      <c r="V85" s="24">
        <f ca="1">IFERROR(RTData[[#This Row],[Volume]]/RTData[[#This Row],[Volume average]],1)</f>
        <v>0.78939756130324346</v>
      </c>
      <c r="W85" s="24"/>
      <c r="X85" s="103">
        <f>[1]Sheet2!$E84</f>
        <v>118.545</v>
      </c>
      <c r="Y85" s="149">
        <f>[1]Sheet2!$F84</f>
        <v>45728</v>
      </c>
      <c r="Z85" s="149" t="str">
        <f>[1]Sheet2!$G84</f>
        <v>Jul 17, 2025</v>
      </c>
      <c r="AA85" s="150">
        <f>[1]Sheet2!$H84</f>
        <v>3.0800000000000001E-2</v>
      </c>
      <c r="AB85" s="151">
        <v>1E-4</v>
      </c>
      <c r="AC85" s="152">
        <v>3.0000000000000001E-3</v>
      </c>
      <c r="AD85" s="103">
        <v>115.66</v>
      </c>
      <c r="AE85" s="153">
        <f>_xlfn.LET(_xlpm.New1YT,RTData[[#This Row],[1YT]],        _xlpm.Old1YT,IF(ISNUMBER(RTData[[#This Row],[Old1YT]]),RTData[[#This Row],[Old1YT]],VALUE(LEFT(RTData[[#This Row],[Old1YT]],FIND("/",RTData[[#This Row],[Old1YT]],1)-1))),       IF(OR(RTData[[#This Row],[1YT]]=0,_xlpm.Old1YT=0),0,(_xlpm.New1YT-_xlpm.Old1YT)/_xlpm.Old1YT))</f>
        <v>2.4943800795434939E-2</v>
      </c>
      <c r="AF85" s="153"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45908.666666666664</v>
      </c>
      <c r="F86" s="29" cm="1">
        <f t="array" aca="1" ref="F86" ca="1">_FV(RTData[[#This Row],[Company Name]],"Previous close",TRUE)</f>
        <v>13.625</v>
      </c>
      <c r="G86" s="29" cm="1">
        <f t="array" aca="1" ref="G86" ca="1">_FV(RTData[[#This Row],[Company Name]],"Open")</f>
        <v>13.615</v>
      </c>
      <c r="H86" s="29" cm="1">
        <f t="array" aca="1" ref="H86" ca="1">_FV(RTData[[#This Row],[Company Name]],"Price")</f>
        <v>13.525</v>
      </c>
      <c r="I86" s="29" cm="1">
        <f t="array" aca="1" ref="I86" ca="1">_FV(RTData[[#This Row],[Company Name]],"Low")</f>
        <v>13.465</v>
      </c>
      <c r="J86" s="29" cm="1">
        <f t="array" aca="1" ref="J86" ca="1">_FV(RTData[[#This Row],[Company Name]],"High")</f>
        <v>13.615</v>
      </c>
      <c r="K86" s="20" cm="1">
        <f t="array" aca="1" ref="K86" ca="1">IFERROR(_FV(RTData[[#This Row],[Company Name]],"P/E",TRUE),99)</f>
        <v>43.035400000000003</v>
      </c>
      <c r="L86" s="21" cm="1">
        <f t="array" aca="1" ref="L86" ca="1">_FV(RTData[[#This Row],[Company Name]],"Change")</f>
        <v>-0.1</v>
      </c>
      <c r="M86" s="22" cm="1">
        <f t="array" aca="1" ref="M86" ca="1">_FV(RTData[[#This Row],[Company Name]],"Change (%)",TRUE)</f>
        <v>-7.339E-3</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3572600</v>
      </c>
      <c r="Q86" s="23" cm="1">
        <f t="array" aca="1" ref="Q86" ca="1">_FV(RTData[[#This Row],[Company Name]],"Volume average",TRUE)</f>
        <v>5804800</v>
      </c>
      <c r="R86" s="19" cm="1">
        <f t="array" aca="1" ref="R86" ca="1">_FV(RTData[[#This Row],[Company Name]],"Beta")</f>
        <v>0.27610000000000001</v>
      </c>
      <c r="T86" t="s">
        <v>26</v>
      </c>
      <c r="U86" t="str" cm="1">
        <f t="array" aca="1" ref="U86" ca="1">_FV(RTData[[#This Row],[Company Name]],"Exchange abbreviation",TRUE)</f>
        <v>XPAR</v>
      </c>
      <c r="V86" s="24">
        <f ca="1">IFERROR(RTData[[#This Row],[Volume]]/RTData[[#This Row],[Volume average]],1)</f>
        <v>0.61545617420066157</v>
      </c>
      <c r="W86" s="24"/>
      <c r="X86" s="103">
        <v>14.92</v>
      </c>
      <c r="Y86" s="149">
        <f>[1]Sheet2!$F85</f>
        <v>45993</v>
      </c>
      <c r="Z86" s="149">
        <v>45953</v>
      </c>
      <c r="AA86" s="150">
        <f>[1]Sheet2!$H85</f>
        <v>5.5E-2</v>
      </c>
      <c r="AB86" s="151"/>
      <c r="AC86" s="152">
        <v>3.0000000000000001E-3</v>
      </c>
      <c r="AD86" s="103" t="s">
        <v>100</v>
      </c>
      <c r="AE86" s="153">
        <f>_xlfn.LET(_xlpm.New1YT,RTData[[#This Row],[1YT]],        _xlpm.Old1YT,IF(ISNUMBER(RTData[[#This Row],[Old1YT]]),RTData[[#This Row],[Old1YT]],VALUE(LEFT(RTData[[#This Row],[Old1YT]],FIND("/",RTData[[#This Row],[Old1YT]],1)-1))),       IF(OR(RTData[[#This Row],[1YT]]=0,_xlpm.Old1YT=0),0,(_xlpm.New1YT-_xlpm.Old1YT)/_xlpm.Old1YT))</f>
        <v>6.0687795010114535E-3</v>
      </c>
      <c r="AF86" s="153" t="str">
        <f>TEXT(RTData[[#This Row],[1YT]],"#,#0.00")&amp;" &lt; "&amp;RTData[[#This Row],[Old1YT]]</f>
        <v>14.92 &lt; 14.83/14/12.94</v>
      </c>
    </row>
    <row r="87" spans="1:33" ht="22" customHeight="1" x14ac:dyDescent="0.3">
      <c r="A87" s="41" t="str" cm="1">
        <f t="array" aca="1" ref="A87" ca="1">_xlfn.SINGLE(RTData[suffix])&amp;_FV(RTData[[#This Row],[Company Name]],"Ticker symbol",TRUE)</f>
        <v>OXY</v>
      </c>
      <c r="B87" s="41">
        <f ca="1">D98</f>
        <v>0.84990651028386865</v>
      </c>
      <c r="C87" s="43" t="e" vm="66">
        <v>#VALUE!</v>
      </c>
      <c r="D87" s="17" t="str" cm="1">
        <f t="array" aca="1" ref="D87" ca="1">_FV(RTData[[#This Row],[Company Name]],"Currency")</f>
        <v>USD</v>
      </c>
      <c r="E87" s="18" cm="1">
        <f t="array" aca="1" ref="E87" ca="1">_FV(RTData[[#This Row],[Company Name]],"Last trade time",TRUE)</f>
        <v>45908.966569003904</v>
      </c>
      <c r="F87" s="19" cm="1">
        <f t="array" aca="1" ref="F87" ca="1">_FV(RTData[[#This Row],[Company Name]],"Previous close",TRUE)</f>
        <v>45.91</v>
      </c>
      <c r="G87" s="19" cm="1">
        <f t="array" aca="1" ref="G87" ca="1">_FV(RTData[[#This Row],[Company Name]],"Open")</f>
        <v>46.15</v>
      </c>
      <c r="H87" s="19" cm="1">
        <f t="array" aca="1" ref="H87" ca="1">_FV(RTData[[#This Row],[Company Name]],"Price")</f>
        <v>45.4</v>
      </c>
      <c r="I87" s="19" cm="1">
        <f t="array" aca="1" ref="I87" ca="1">_FV(RTData[[#This Row],[Company Name]],"Low")</f>
        <v>44.77</v>
      </c>
      <c r="J87" s="19" cm="1">
        <f t="array" aca="1" ref="J87" ca="1">_FV(RTData[[#This Row],[Company Name]],"High")</f>
        <v>46.225000000000001</v>
      </c>
      <c r="K87" s="20" cm="1">
        <f t="array" aca="1" ref="K87" ca="1">IFERROR(_FV(RTData[[#This Row],[Company Name]],"P/E",TRUE),99)</f>
        <v>26.742100000000001</v>
      </c>
      <c r="L87" s="21" cm="1">
        <f t="array" aca="1" ref="L87" ca="1">_FV(RTData[[#This Row],[Company Name]],"Change")</f>
        <v>-0.51</v>
      </c>
      <c r="M87" s="22" cm="1">
        <f t="array" aca="1" ref="M87" ca="1">_FV(RTData[[#This Row],[Company Name]],"Change (%)",TRUE)</f>
        <v>-1.1109000000000001E-2</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7569411</v>
      </c>
      <c r="Q87" s="23" cm="1">
        <f t="array" aca="1" ref="Q87" ca="1">_FV(RTData[[#This Row],[Company Name]],"Volume average",TRUE)</f>
        <v>9615934</v>
      </c>
      <c r="R87" s="19" cm="1">
        <f t="array" aca="1" ref="R87" ca="1">_FV(RTData[[#This Row],[Company Name]],"Beta")</f>
        <v>0.96750000000000003</v>
      </c>
      <c r="T87" t="s">
        <v>26</v>
      </c>
      <c r="U87" t="str" cm="1">
        <f t="array" aca="1" ref="U87" ca="1">_FV(RTData[[#This Row],[Company Name]],"Exchange abbreviation",TRUE)</f>
        <v>XNYS</v>
      </c>
      <c r="V87" s="24">
        <f ca="1">IFERROR(RTData[[#This Row],[Volume]]/RTData[[#This Row],[Volume average]],1)</f>
        <v>0.78717376803958927</v>
      </c>
      <c r="W87" s="24"/>
      <c r="X87" s="103">
        <f>[1]Sheet2!$E86</f>
        <v>50.652169999999998</v>
      </c>
      <c r="Y87" s="149">
        <f>[1]Sheet2!$F86</f>
        <v>45910</v>
      </c>
      <c r="Z87" s="149" t="str">
        <f>[1]Sheet2!$G86</f>
        <v>Aug 6, 2025</v>
      </c>
      <c r="AA87" s="150">
        <f>[1]Sheet2!$H86</f>
        <v>2.0899999999999998E-2</v>
      </c>
      <c r="AB87" s="151">
        <v>1E-4</v>
      </c>
      <c r="AC87" s="152">
        <v>3.0000000000000001E-3</v>
      </c>
      <c r="AD87" s="103">
        <v>71.72</v>
      </c>
      <c r="AE87" s="153">
        <f>_xlfn.LET(_xlpm.New1YT,RTData[[#This Row],[1YT]],        _xlpm.Old1YT,IF(ISNUMBER(RTData[[#This Row],[Old1YT]]),RTData[[#This Row],[Old1YT]],VALUE(LEFT(RTData[[#This Row],[Old1YT]],FIND("/",RTData[[#This Row],[Old1YT]],1)-1))),       IF(OR(RTData[[#This Row],[1YT]]=0,_xlpm.Old1YT=0),0,(_xlpm.New1YT-_xlpm.Old1YT)/_xlpm.Old1YT))</f>
        <v>-0.2937511154489682</v>
      </c>
      <c r="AF87" s="153" t="str">
        <f>TEXT(RTData[[#This Row],[1YT]],"#,#0.00")&amp;" &lt; "&amp;RTData[[#This Row],[Old1YT]]</f>
        <v>50.65 &lt; 71.72</v>
      </c>
    </row>
    <row r="88" spans="1:33" ht="22" customHeight="1" x14ac:dyDescent="0.3">
      <c r="A88" s="41" t="str" cm="1">
        <f t="array" aca="1" ref="A88" ca="1">_xlfn.SINGLE(RTData[suffix])&amp;_FV(RTData[[#This Row],[Company Name]],"Ticker symbol",TRUE)</f>
        <v>PFE</v>
      </c>
      <c r="B88" s="41">
        <f ca="1">D98</f>
        <v>0.84990651028386865</v>
      </c>
      <c r="C88" s="43" t="e" vm="67">
        <v>#VALUE!</v>
      </c>
      <c r="D88" s="17" t="str" cm="1">
        <f t="array" aca="1" ref="D88" ca="1">_FV(RTData[[#This Row],[Company Name]],"Currency")</f>
        <v>USD</v>
      </c>
      <c r="E88" s="18" cm="1">
        <f t="array" aca="1" ref="E88" ca="1">_FV(RTData[[#This Row],[Company Name]],"Last trade time",TRUE)</f>
        <v>45908.970502510936</v>
      </c>
      <c r="F88" s="19" cm="1">
        <f t="array" aca="1" ref="F88" ca="1">_FV(RTData[[#This Row],[Company Name]],"Previous close",TRUE)</f>
        <v>24.88</v>
      </c>
      <c r="G88" s="19" cm="1">
        <f t="array" aca="1" ref="G88" ca="1">_FV(RTData[[#This Row],[Company Name]],"Open")</f>
        <v>24.9</v>
      </c>
      <c r="H88" s="19" cm="1">
        <f t="array" aca="1" ref="H88" ca="1">_FV(RTData[[#This Row],[Company Name]],"Price")</f>
        <v>24.565000000000001</v>
      </c>
      <c r="I88" s="19" cm="1">
        <f t="array" aca="1" ref="I88" ca="1">_FV(RTData[[#This Row],[Company Name]],"Low")</f>
        <v>24.31</v>
      </c>
      <c r="J88" s="19" cm="1">
        <f t="array" aca="1" ref="J88" ca="1">_FV(RTData[[#This Row],[Company Name]],"High")</f>
        <v>24.965</v>
      </c>
      <c r="K88" s="20" cm="1">
        <f t="array" aca="1" ref="K88" ca="1">IFERROR(_FV(RTData[[#This Row],[Company Name]],"P/E",TRUE),99)</f>
        <v>17.813600000000001</v>
      </c>
      <c r="L88" s="21" cm="1">
        <f t="array" aca="1" ref="L88" ca="1">_FV(RTData[[#This Row],[Company Name]],"Change")</f>
        <v>-0.315</v>
      </c>
      <c r="M88" s="22" cm="1">
        <f t="array" aca="1" ref="M88" ca="1">_FV(RTData[[#This Row],[Company Name]],"Change (%)",TRUE)</f>
        <v>-1.2661E-2</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49232599</v>
      </c>
      <c r="Q88" s="23" cm="1">
        <f t="array" aca="1" ref="Q88" ca="1">_FV(RTData[[#This Row],[Company Name]],"Volume average",TRUE)</f>
        <v>42529897</v>
      </c>
      <c r="R88" s="19" cm="1">
        <f t="array" aca="1" ref="R88" ca="1">_FV(RTData[[#This Row],[Company Name]],"Beta")</f>
        <v>0.50639999999999996</v>
      </c>
      <c r="T88" t="s">
        <v>26</v>
      </c>
      <c r="U88" t="str" cm="1">
        <f t="array" aca="1" ref="U88" ca="1">_FV(RTData[[#This Row],[Company Name]],"Exchange abbreviation",TRUE)</f>
        <v>XNYS</v>
      </c>
      <c r="V88" s="24">
        <f ca="1">IFERROR(RTData[[#This Row],[Volume]]/RTData[[#This Row],[Volume average]],1)</f>
        <v>1.1575997703450822</v>
      </c>
      <c r="W88" s="24"/>
      <c r="X88" s="103">
        <f>[1]Sheet2!$E87</f>
        <v>28.857140000000001</v>
      </c>
      <c r="Y88" s="149">
        <f>[1]Sheet2!$F87</f>
        <v>45863</v>
      </c>
      <c r="Z88" s="149" t="str">
        <f>[1]Sheet2!$G87</f>
        <v>Nov 4, 2025</v>
      </c>
      <c r="AA88" s="150">
        <f>[1]Sheet2!$H87</f>
        <v>6.9099999999999995E-2</v>
      </c>
      <c r="AB88" s="151">
        <v>1E-4</v>
      </c>
      <c r="AC88" s="152">
        <v>3.0000000000000001E-3</v>
      </c>
      <c r="AD88" s="103">
        <v>33.15</v>
      </c>
      <c r="AE88" s="153">
        <f>_xlfn.LET(_xlpm.New1YT,RTData[[#This Row],[1YT]],        _xlpm.Old1YT,IF(ISNUMBER(RTData[[#This Row],[Old1YT]]),RTData[[#This Row],[Old1YT]],VALUE(LEFT(RTData[[#This Row],[Old1YT]],FIND("/",RTData[[#This Row],[Old1YT]],1)-1))),       IF(OR(RTData[[#This Row],[1YT]]=0,_xlpm.Old1YT=0),0,(_xlpm.New1YT-_xlpm.Old1YT)/_xlpm.Old1YT))</f>
        <v>-0.1294980392156862</v>
      </c>
      <c r="AF88" s="153"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D98</f>
        <v>0.84990651028386865</v>
      </c>
      <c r="C89" s="44" t="e" vm="68">
        <v>#VALUE!</v>
      </c>
      <c r="D89" s="17" t="str" cm="1">
        <f t="array" aca="1" ref="D89" ca="1">_FV(RTData[[#This Row],[Company Name]],"Currency")</f>
        <v>USD</v>
      </c>
      <c r="E89" s="18" cm="1">
        <f t="array" aca="1" ref="E89" ca="1">_FV(RTData[[#This Row],[Company Name]],"Last trade time",TRUE)</f>
        <v>45908.958333344533</v>
      </c>
      <c r="F89" s="19" cm="1">
        <f t="array" aca="1" ref="F89" ca="1">_FV(RTData[[#This Row],[Company Name]],"Previous close",TRUE)</f>
        <v>3.07</v>
      </c>
      <c r="G89" s="19" cm="1">
        <f t="array" aca="1" ref="G89" ca="1">_FV(RTData[[#This Row],[Company Name]],"Open")</f>
        <v>3.11</v>
      </c>
      <c r="H89" s="19" cm="1">
        <f t="array" aca="1" ref="H89" ca="1">_FV(RTData[[#This Row],[Company Name]],"Price")</f>
        <v>3.16</v>
      </c>
      <c r="I89" s="19" cm="1">
        <f t="array" aca="1" ref="I89" ca="1">_FV(RTData[[#This Row],[Company Name]],"Low")</f>
        <v>3.0146999999999999</v>
      </c>
      <c r="J89" s="19" cm="1">
        <f t="array" aca="1" ref="J89" ca="1">_FV(RTData[[#This Row],[Company Name]],"High")</f>
        <v>3.22</v>
      </c>
      <c r="K89" s="20" cm="1">
        <f t="array" ref="K89">IFERROR(_FV(RTData[[#This Row],[Company Name]],"P/E",TRUE),99)</f>
        <v>99</v>
      </c>
      <c r="L89" s="21" cm="1">
        <f t="array" aca="1" ref="L89" ca="1">_FV(RTData[[#This Row],[Company Name]],"Change")</f>
        <v>0.09</v>
      </c>
      <c r="M89" s="22" cm="1">
        <f t="array" aca="1" ref="M89" ca="1">_FV(RTData[[#This Row],[Company Name]],"Change (%)",TRUE)</f>
        <v>2.9315999999999998E-2</v>
      </c>
      <c r="N89" s="19" cm="1">
        <f t="array" aca="1" ref="N89" ca="1">_FV(RTData[[#This Row],[Company Name]],"52 week low",TRUE)</f>
        <v>1.97</v>
      </c>
      <c r="O89" s="19" cm="1">
        <f t="array" aca="1" ref="O89" ca="1">_FV(RTData[[#This Row],[Company Name]],"52 week high",TRUE)</f>
        <v>4.76</v>
      </c>
      <c r="P89" s="23" cm="1">
        <f t="array" aca="1" ref="P89" ca="1">_FV(RTData[[#This Row],[Company Name]],"Volume")</f>
        <v>28131519</v>
      </c>
      <c r="Q89" s="23" cm="1">
        <f t="array" aca="1" ref="Q89" ca="1">_FV(RTData[[#This Row],[Company Name]],"Volume average",TRUE)</f>
        <v>22702995</v>
      </c>
      <c r="R89" s="19" cm="1">
        <f t="array" aca="1" ref="R89" ca="1">_FV(RTData[[#This Row],[Company Name]],"Beta")</f>
        <v>2.6911</v>
      </c>
      <c r="T89" t="s">
        <v>26</v>
      </c>
      <c r="U89" t="str" cm="1">
        <f t="array" aca="1" ref="U89" ca="1">_FV(RTData[[#This Row],[Company Name]],"Exchange abbreviation",TRUE)</f>
        <v>XNYS</v>
      </c>
      <c r="V89" s="24">
        <f ca="1">IFERROR(RTData[[#This Row],[Volume]]/RTData[[#This Row],[Volume average]],1)</f>
        <v>1.2391104785954452</v>
      </c>
      <c r="W89" s="24"/>
      <c r="X89" s="103">
        <v>3.89</v>
      </c>
      <c r="Y89" s="149">
        <f>[1]Sheet2!$F88</f>
        <v>42237</v>
      </c>
      <c r="Z89" s="149" t="str">
        <f>[1]Sheet2!$G88</f>
        <v>Nov 3, 2025</v>
      </c>
      <c r="AA89" s="150">
        <f>[1]Sheet2!$H88</f>
        <v>0</v>
      </c>
      <c r="AB89" s="151">
        <v>1E-4</v>
      </c>
      <c r="AC89" s="152">
        <v>3.0000000000000001E-3</v>
      </c>
      <c r="AD89" s="103" t="s">
        <v>113</v>
      </c>
      <c r="AE89" s="153">
        <f>_xlfn.LET(_xlpm.New1YT,RTData[[#This Row],[1YT]],        _xlpm.Old1YT,IF(ISNUMBER(RTData[[#This Row],[Old1YT]]),RTData[[#This Row],[Old1YT]],VALUE(LEFT(RTData[[#This Row],[Old1YT]],FIND("/",RTData[[#This Row],[Old1YT]],1)-1))),       IF(OR(RTData[[#This Row],[1YT]]=0,_xlpm.Old1YT=0),0,(_xlpm.New1YT-_xlpm.Old1YT)/_xlpm.Old1YT))</f>
        <v>-4.6568627450980379E-2</v>
      </c>
      <c r="AF89" s="153" t="str">
        <f>TEXT(RTData[[#This Row],[1YT]],"#,#0.00")&amp;" &lt; "&amp;RTData[[#This Row],[Old1YT]]</f>
        <v>3.89 &lt; 4.08/5.31</v>
      </c>
    </row>
    <row r="90" spans="1:33" x14ac:dyDescent="0.3">
      <c r="A90" s="41" t="str" cm="1">
        <f t="array" aca="1" ref="A90" ca="1">_xlfn.SINGLE(RTData[suffix])&amp;_FV(RTData[[#This Row],[Company Name]],"Ticker symbol",TRUE)</f>
        <v>RRC</v>
      </c>
      <c r="B90" s="41">
        <f ca="1">D98</f>
        <v>0.84990651028386865</v>
      </c>
      <c r="C90" s="43" t="e" vm="69">
        <v>#VALUE!</v>
      </c>
      <c r="D90" s="17" t="str" cm="1">
        <f t="array" aca="1" ref="D90" ca="1">_FV(RTData[[#This Row],[Company Name]],"Currency")</f>
        <v>USD</v>
      </c>
      <c r="E90" s="18" cm="1">
        <f t="array" aca="1" ref="E90" ca="1">_FV(RTData[[#This Row],[Company Name]],"Last trade time",TRUE)</f>
        <v>45908.958333344533</v>
      </c>
      <c r="F90" s="19" cm="1">
        <f t="array" aca="1" ref="F90" ca="1">_FV(RTData[[#This Row],[Company Name]],"Previous close",TRUE)</f>
        <v>34.700000000000003</v>
      </c>
      <c r="G90" s="19" cm="1">
        <f t="array" aca="1" ref="G90" ca="1">_FV(RTData[[#This Row],[Company Name]],"Open")</f>
        <v>35.19</v>
      </c>
      <c r="H90" s="19" cm="1">
        <f t="array" aca="1" ref="H90" ca="1">_FV(RTData[[#This Row],[Company Name]],"Price")</f>
        <v>34.06</v>
      </c>
      <c r="I90" s="19" cm="1">
        <f t="array" aca="1" ref="I90" ca="1">_FV(RTData[[#This Row],[Company Name]],"Low")</f>
        <v>33.94</v>
      </c>
      <c r="J90" s="19" cm="1">
        <f t="array" aca="1" ref="J90" ca="1">_FV(RTData[[#This Row],[Company Name]],"High")</f>
        <v>35.270000000000003</v>
      </c>
      <c r="K90" s="20" cm="1">
        <f t="array" aca="1" ref="K90" ca="1">IFERROR(_FV(RTData[[#This Row],[Company Name]],"P/E",TRUE),99)</f>
        <v>30.5443</v>
      </c>
      <c r="L90" s="21" cm="1">
        <f t="array" aca="1" ref="L90" ca="1">_FV(RTData[[#This Row],[Company Name]],"Change")</f>
        <v>-0.64</v>
      </c>
      <c r="M90" s="22" cm="1">
        <f t="array" aca="1" ref="M90" ca="1">_FV(RTData[[#This Row],[Company Name]],"Change (%)",TRUE)</f>
        <v>-1.8444000000000002E-2</v>
      </c>
      <c r="N90" s="19" cm="1">
        <f t="array" aca="1" ref="N90" ca="1">_FV(RTData[[#This Row],[Company Name]],"52 week low",TRUE)</f>
        <v>27.55</v>
      </c>
      <c r="O90" s="19" cm="1">
        <f t="array" aca="1" ref="O90" ca="1">_FV(RTData[[#This Row],[Company Name]],"52 week high",TRUE)</f>
        <v>43.5</v>
      </c>
      <c r="P90" s="23" cm="1">
        <f t="array" aca="1" ref="P90" ca="1">_FV(RTData[[#This Row],[Company Name]],"Volume")</f>
        <v>4135614</v>
      </c>
      <c r="Q90" s="23" cm="1">
        <f t="array" aca="1" ref="Q90" ca="1">_FV(RTData[[#This Row],[Company Name]],"Volume average",TRUE)</f>
        <v>2409146</v>
      </c>
      <c r="R90" s="19" cm="1">
        <f t="array" aca="1" ref="R90" ca="1">_FV(RTData[[#This Row],[Company Name]],"Beta")</f>
        <v>0.50629999999999997</v>
      </c>
      <c r="T90" t="s">
        <v>26</v>
      </c>
      <c r="U90" t="str" cm="1">
        <f t="array" aca="1" ref="U90" ca="1">_FV(RTData[[#This Row],[Company Name]],"Exchange abbreviation",TRUE)</f>
        <v>XNYS</v>
      </c>
      <c r="V90" s="24">
        <f ca="1">IFERROR(RTData[[#This Row],[Volume]]/RTData[[#This Row],[Volume average]],1)</f>
        <v>1.7166307064827122</v>
      </c>
      <c r="W90" s="24"/>
      <c r="X90" s="103">
        <v>43.21</v>
      </c>
      <c r="Y90" s="149">
        <f>[1]Sheet2!$F89</f>
        <v>45912</v>
      </c>
      <c r="Z90" s="149" t="str">
        <f>[1]Sheet2!$G89</f>
        <v>Oct 21, 2025</v>
      </c>
      <c r="AA90" s="150">
        <f>[1]Sheet2!$H89</f>
        <v>1.04E-2</v>
      </c>
      <c r="AB90" s="151">
        <v>1E-4</v>
      </c>
      <c r="AC90" s="152">
        <v>3.0000000000000001E-3</v>
      </c>
      <c r="AD90" s="103" t="s">
        <v>101</v>
      </c>
      <c r="AE90" s="153">
        <f>_xlfn.LET(_xlpm.New1YT,RTData[[#This Row],[1YT]],        _xlpm.Old1YT,IF(ISNUMBER(RTData[[#This Row],[Old1YT]]),RTData[[#This Row],[Old1YT]],VALUE(LEFT(RTData[[#This Row],[Old1YT]],FIND("/",RTData[[#This Row],[Old1YT]],1)-1))),       IF(OR(RTData[[#This Row],[1YT]]=0,_xlpm.Old1YT=0),0,(_xlpm.New1YT-_xlpm.Old1YT)/_xlpm.Old1YT))</f>
        <v>5.1287041993090463E-2</v>
      </c>
      <c r="AF90" s="153" t="str">
        <f>TEXT(RTData[[#This Row],[1YT]],"#,#0.00")&amp;" &lt; "&amp;RTData[[#This Row],[Old1YT]]</f>
        <v>43.21 &lt; 41.102/38.77</v>
      </c>
    </row>
    <row r="91" spans="1:33" ht="22" customHeight="1" x14ac:dyDescent="0.3">
      <c r="A91" s="41" t="str" cm="1">
        <f t="array" aca="1" ref="A91" ca="1">_xlfn.SINGLE(RTData[suffix])&amp;_FV(RTData[[#This Row],[Company Name]],"Ticker symbol",TRUE)</f>
        <v>XYZ</v>
      </c>
      <c r="B91" s="41">
        <f ca="1">D98</f>
        <v>0.84990651028386865</v>
      </c>
      <c r="C91" s="43" t="e" vm="70">
        <v>#VALUE!</v>
      </c>
      <c r="D91" s="17" t="str" cm="1">
        <f t="array" aca="1" ref="D91" ca="1">_FV(RTData[[#This Row],[Company Name]],"Currency")</f>
        <v>USD</v>
      </c>
      <c r="E91" s="18" cm="1">
        <f t="array" aca="1" ref="E91" ca="1">_FV(RTData[[#This Row],[Company Name]],"Last trade time",TRUE)</f>
        <v>45908.964925057815</v>
      </c>
      <c r="F91" s="19" cm="1">
        <f t="array" aca="1" ref="F91" ca="1">_FV(RTData[[#This Row],[Company Name]],"Previous close",TRUE)</f>
        <v>74.94</v>
      </c>
      <c r="G91" s="19" cm="1">
        <f t="array" aca="1" ref="G91" ca="1">_FV(RTData[[#This Row],[Company Name]],"Open")</f>
        <v>75.05</v>
      </c>
      <c r="H91" s="19" cm="1">
        <f t="array" aca="1" ref="H91" ca="1">_FV(RTData[[#This Row],[Company Name]],"Price")</f>
        <v>75.819999999999993</v>
      </c>
      <c r="I91" s="19" cm="1">
        <f t="array" aca="1" ref="I91" ca="1">_FV(RTData[[#This Row],[Company Name]],"Low")</f>
        <v>74.885000000000005</v>
      </c>
      <c r="J91" s="19" cm="1">
        <f t="array" aca="1" ref="J91" ca="1">_FV(RTData[[#This Row],[Company Name]],"High")</f>
        <v>75.98</v>
      </c>
      <c r="K91" s="20" cm="1">
        <f t="array" aca="1" ref="K91" ca="1">IFERROR(_FV(RTData[[#This Row],[Company Name]],"P/E",TRUE),99)</f>
        <v>44.773800000000001</v>
      </c>
      <c r="L91" s="21" cm="1">
        <f t="array" aca="1" ref="L91" ca="1">_FV(RTData[[#This Row],[Company Name]],"Change")</f>
        <v>0.88</v>
      </c>
      <c r="M91" s="22" cm="1">
        <f t="array" aca="1" ref="M91" ca="1">_FV(RTData[[#This Row],[Company Name]],"Change (%)",TRUE)</f>
        <v>1.1742999999999998E-2</v>
      </c>
      <c r="N91" s="19" cm="1">
        <f t="array" aca="1" ref="N91" ca="1">_FV(RTData[[#This Row],[Company Name]],"52 week low",TRUE)</f>
        <v>44.27</v>
      </c>
      <c r="O91" s="19" cm="1">
        <f t="array" aca="1" ref="O91" ca="1">_FV(RTData[[#This Row],[Company Name]],"52 week high",TRUE)</f>
        <v>99.26</v>
      </c>
      <c r="P91" s="23" cm="1">
        <f t="array" aca="1" ref="P91" ca="1">_FV(RTData[[#This Row],[Company Name]],"Volume")</f>
        <v>5188877</v>
      </c>
      <c r="Q91" s="23" cm="1">
        <f t="array" aca="1" ref="Q91" ca="1">_FV(RTData[[#This Row],[Company Name]],"Volume average",TRUE)</f>
        <v>7636834</v>
      </c>
      <c r="R91" s="19" cm="1">
        <f t="array" aca="1" ref="R91" ca="1">_FV(RTData[[#This Row],[Company Name]],"Beta")</f>
        <v>2.7463000000000002</v>
      </c>
      <c r="T91" t="s">
        <v>26</v>
      </c>
      <c r="U91" t="str" cm="1">
        <f t="array" aca="1" ref="U91" ca="1">_FV(RTData[[#This Row],[Company Name]],"Exchange abbreviation",TRUE)</f>
        <v>XNYS</v>
      </c>
      <c r="V91" s="24">
        <f ca="1">IFERROR(RTData[[#This Row],[Volume]]/RTData[[#This Row],[Volume average]],1)</f>
        <v>0.67945394649143875</v>
      </c>
      <c r="W91" s="24"/>
      <c r="X91" s="103">
        <v>85.42</v>
      </c>
      <c r="Y91" s="149">
        <f>[1]Sheet2!$F90</f>
        <v>0</v>
      </c>
      <c r="Z91" s="149" t="str">
        <f>[1]Sheet2!$G90</f>
        <v>Nov 6, 2025</v>
      </c>
      <c r="AA91" s="150">
        <f>[1]Sheet2!$H90</f>
        <v>0</v>
      </c>
      <c r="AB91" s="151">
        <v>1E-4</v>
      </c>
      <c r="AC91" s="152">
        <v>3.0000000000000001E-3</v>
      </c>
      <c r="AD91" s="103" t="s">
        <v>114</v>
      </c>
      <c r="AE91" s="153">
        <f>_xlfn.LET(_xlpm.New1YT,RTData[[#This Row],[1YT]],        _xlpm.Old1YT,IF(ISNUMBER(RTData[[#This Row],[Old1YT]]),RTData[[#This Row],[Old1YT]],VALUE(LEFT(RTData[[#This Row],[Old1YT]],FIND("/",RTData[[#This Row],[Old1YT]],1)-1))),       IF(OR(RTData[[#This Row],[1YT]]=0,_xlpm.Old1YT=0),0,(_xlpm.New1YT-_xlpm.Old1YT)/_xlpm.Old1YT))</f>
        <v>0.12914738929279571</v>
      </c>
      <c r="AF91" s="153" t="str">
        <f>TEXT(RTData[[#This Row],[1YT]],"#,#0.00")&amp;" &lt; "&amp;RTData[[#This Row],[Old1YT]]</f>
        <v>85.42 &lt; 75.65/69.81/87.12</v>
      </c>
    </row>
    <row r="92" spans="1:33" ht="22" customHeight="1" x14ac:dyDescent="0.3">
      <c r="A92" s="41" t="str" cm="1">
        <f t="array" aca="1" ref="A92" ca="1">_xlfn.SINGLE(RTData[suffix])&amp;_FV(RTData[[#This Row],[Company Name]],"Ticker symbol",TRUE)</f>
        <v>THC</v>
      </c>
      <c r="B92" s="41">
        <f ca="1">D98</f>
        <v>0.84990651028386865</v>
      </c>
      <c r="C92" s="43" t="e" vm="71">
        <v>#VALUE!</v>
      </c>
      <c r="D92" s="17" t="str" cm="1">
        <f t="array" aca="1" ref="D92" ca="1">_FV(RTData[[#This Row],[Company Name]],"Currency")</f>
        <v>USD</v>
      </c>
      <c r="E92" s="18" cm="1">
        <f t="array" aca="1" ref="E92" ca="1">_FV(RTData[[#This Row],[Company Name]],"Last trade time",TRUE)</f>
        <v>45908.958333344533</v>
      </c>
      <c r="F92" s="19" cm="1">
        <f t="array" aca="1" ref="F92" ca="1">_FV(RTData[[#This Row],[Company Name]],"Previous close",TRUE)</f>
        <v>196.18</v>
      </c>
      <c r="G92" s="19" cm="1">
        <f t="array" aca="1" ref="G92" ca="1">_FV(RTData[[#This Row],[Company Name]],"Open")</f>
        <v>195.59</v>
      </c>
      <c r="H92" s="19" cm="1">
        <f t="array" aca="1" ref="H92" ca="1">_FV(RTData[[#This Row],[Company Name]],"Price")</f>
        <v>192.47</v>
      </c>
      <c r="I92" s="19" cm="1">
        <f t="array" aca="1" ref="I92" ca="1">_FV(RTData[[#This Row],[Company Name]],"Low")</f>
        <v>190.08359999999999</v>
      </c>
      <c r="J92" s="19" cm="1">
        <f t="array" aca="1" ref="J92" ca="1">_FV(RTData[[#This Row],[Company Name]],"High")</f>
        <v>196.25</v>
      </c>
      <c r="K92" s="20" cm="1">
        <f t="array" aca="1" ref="K92" ca="1">IFERROR(_FV(RTData[[#This Row],[Company Name]],"P/E",TRUE),99)</f>
        <v>12.7258</v>
      </c>
      <c r="L92" s="21" cm="1">
        <f t="array" aca="1" ref="L92" ca="1">_FV(RTData[[#This Row],[Company Name]],"Change")</f>
        <v>-3.71</v>
      </c>
      <c r="M92" s="22" cm="1">
        <f t="array" aca="1" ref="M92" ca="1">_FV(RTData[[#This Row],[Company Name]],"Change (%)",TRUE)</f>
        <v>-1.8911000000000001E-2</v>
      </c>
      <c r="N92" s="19" cm="1">
        <f t="array" aca="1" ref="N92" ca="1">_FV(RTData[[#This Row],[Company Name]],"52 week low",TRUE)</f>
        <v>109.82389999999999</v>
      </c>
      <c r="O92" s="19" cm="1">
        <f t="array" aca="1" ref="O92" ca="1">_FV(RTData[[#This Row],[Company Name]],"52 week high",TRUE)</f>
        <v>196.73</v>
      </c>
      <c r="P92" s="23" cm="1">
        <f t="array" aca="1" ref="P92" ca="1">_FV(RTData[[#This Row],[Company Name]],"Volume")</f>
        <v>1014358</v>
      </c>
      <c r="Q92" s="23" cm="1">
        <f t="array" aca="1" ref="Q92" ca="1">_FV(RTData[[#This Row],[Company Name]],"Volume average",TRUE)</f>
        <v>934083</v>
      </c>
      <c r="R92" s="19" cm="1">
        <f t="array" aca="1" ref="R92" ca="1">_FV(RTData[[#This Row],[Company Name]],"Beta")</f>
        <v>1.5163</v>
      </c>
      <c r="T92" t="s">
        <v>26</v>
      </c>
      <c r="U92" t="str" cm="1">
        <f t="array" aca="1" ref="U92" ca="1">_FV(RTData[[#This Row],[Company Name]],"Exchange abbreviation",TRUE)</f>
        <v>XNYS</v>
      </c>
      <c r="V92" s="24">
        <f ca="1">IFERROR(RTData[[#This Row],[Volume]]/RTData[[#This Row],[Volume average]],1)</f>
        <v>1.0859399004157018</v>
      </c>
      <c r="W92" s="24"/>
      <c r="X92" s="103">
        <f>[1]Sheet2!$E91</f>
        <v>197.52379999999999</v>
      </c>
      <c r="Y92" s="149">
        <f>[1]Sheet2!$F91</f>
        <v>36598</v>
      </c>
      <c r="Z92" s="149" t="str">
        <f>[1]Sheet2!$G91</f>
        <v>Jul 22, 2025</v>
      </c>
      <c r="AA92" s="150">
        <f>[1]Sheet2!$H91</f>
        <v>0</v>
      </c>
      <c r="AB92" s="151">
        <v>1E-4</v>
      </c>
      <c r="AC92" s="152">
        <v>3.0000000000000001E-3</v>
      </c>
      <c r="AD92" s="103">
        <v>177.21</v>
      </c>
      <c r="AE92" s="153">
        <f>_xlfn.LET(_xlpm.New1YT,RTData[[#This Row],[1YT]],        _xlpm.Old1YT,IF(ISNUMBER(RTData[[#This Row],[Old1YT]]),RTData[[#This Row],[Old1YT]],VALUE(LEFT(RTData[[#This Row],[Old1YT]],FIND("/",RTData[[#This Row],[Old1YT]],1)-1))),       IF(OR(RTData[[#This Row],[1YT]]=0,_xlpm.Old1YT=0),0,(_xlpm.New1YT-_xlpm.Old1YT)/_xlpm.Old1YT))</f>
        <v>0.11463122848597701</v>
      </c>
      <c r="AF92" s="153"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D98</f>
        <v>0.84990651028386865</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3">
        <f>[1]Sheet2!$E92</f>
        <v>0</v>
      </c>
      <c r="Y93" s="149">
        <f>[1]Sheet2!$F92</f>
        <v>0</v>
      </c>
      <c r="Z93" s="149">
        <f>[1]Sheet2!$G92</f>
        <v>0</v>
      </c>
      <c r="AA93" s="150">
        <f>[1]Sheet2!$H92</f>
        <v>0</v>
      </c>
      <c r="AB93" s="151">
        <v>1E-4</v>
      </c>
      <c r="AC93" s="152">
        <v>3.0000000000000001E-3</v>
      </c>
      <c r="AD93" s="103">
        <v>39.130000000000003</v>
      </c>
      <c r="AE93" s="153">
        <f>_xlfn.LET(_xlpm.New1YT,RTData[[#This Row],[1YT]],        _xlpm.Old1YT,IF(ISNUMBER(RTData[[#This Row],[Old1YT]]),RTData[[#This Row],[Old1YT]],VALUE(LEFT(RTData[[#This Row],[Old1YT]],FIND("/",RTData[[#This Row],[Old1YT]],1)-1))),       IF(OR(RTData[[#This Row],[1YT]]=0,_xlpm.Old1YT=0),0,(_xlpm.New1YT-_xlpm.Old1YT)/_xlpm.Old1YT))</f>
        <v>0</v>
      </c>
      <c r="AF93" s="153" t="str">
        <f>TEXT(RTData[[#This Row],[1YT]],"#,#0.00")&amp;" &lt; "&amp;RTData[[#This Row],[Old1YT]]</f>
        <v>0.00 &lt; 39.13</v>
      </c>
    </row>
    <row r="94" spans="1:33" x14ac:dyDescent="0.3">
      <c r="A94" s="59" t="str" cm="1">
        <f t="array" aca="1" ref="A94" ca="1">_xlfn.SINGLE(RTData[suffix])&amp;_FV(RTData[[#This Row],[Company Name]],"Ticker symbol",TRUE)</f>
        <v>JBEOAN</v>
      </c>
      <c r="B94" s="59">
        <v>1</v>
      </c>
      <c r="C94" s="28" t="e" vm="18">
        <v>#VALUE!</v>
      </c>
      <c r="D94" s="60" t="str" cm="1">
        <f t="array" aca="1" ref="D94" ca="1">_FV(RTData[[#This Row],[Company Name]],"Currency")</f>
        <v>EUR</v>
      </c>
      <c r="E94" s="61" cm="1">
        <f t="array" aca="1" ref="E94" ca="1">_FV(RTData[[#This Row],[Company Name]],"Last trade time",TRUE)</f>
        <v>45908.907187500001</v>
      </c>
      <c r="F94" s="138" cm="1">
        <f t="array" aca="1" ref="F94" ca="1">_FV(RTData[[#This Row],[Company Name]],"Previous close",TRUE)</f>
        <v>15.175000000000001</v>
      </c>
      <c r="G94" s="138" cm="1">
        <f t="array" aca="1" ref="G94" ca="1">_FV(RTData[[#This Row],[Company Name]],"Open")</f>
        <v>15.244999999999999</v>
      </c>
      <c r="H94" s="138" cm="1">
        <f t="array" aca="1" ref="H94" ca="1">_FV(RTData[[#This Row],[Company Name]],"Price")</f>
        <v>15.345000000000001</v>
      </c>
      <c r="I94" s="138" cm="1">
        <f t="array" aca="1" ref="I94" ca="1">_FV(RTData[[#This Row],[Company Name]],"Low")</f>
        <v>15.205</v>
      </c>
      <c r="J94" s="138" cm="1">
        <f t="array" aca="1" ref="J94" ca="1">_FV(RTData[[#This Row],[Company Name]],"High")</f>
        <v>15.4</v>
      </c>
      <c r="K94" s="62" cm="1">
        <f t="array" aca="1" ref="K94" ca="1">IFERROR(_FV(RTData[[#This Row],[Company Name]],"P/E",TRUE),99)</f>
        <v>12.567299999999999</v>
      </c>
      <c r="L94" s="63" cm="1">
        <f t="array" aca="1" ref="L94" ca="1">_FV(RTData[[#This Row],[Company Name]],"Change")</f>
        <v>0.17</v>
      </c>
      <c r="M94" s="64" cm="1">
        <f t="array" aca="1" ref="M94" ca="1">_FV(RTData[[#This Row],[Company Name]],"Change (%)",TRUE)</f>
        <v>1.1203000000000001E-2</v>
      </c>
      <c r="N94" s="138" cm="1">
        <f t="array" aca="1" ref="N94" ca="1">_FV(RTData[[#This Row],[Company Name]],"52 week low",TRUE)</f>
        <v>10.435</v>
      </c>
      <c r="O94" s="138" cm="1">
        <f t="array" aca="1" ref="O94" ca="1">_FV(RTData[[#This Row],[Company Name]],"52 week high",TRUE)</f>
        <v>16.55</v>
      </c>
      <c r="P94" s="65" cm="1">
        <f t="array" aca="1" ref="P94" ca="1">_FV(RTData[[#This Row],[Company Name]],"Volume")</f>
        <v>4999432</v>
      </c>
      <c r="Q94" s="65" cm="1">
        <f t="array" aca="1" ref="Q94" ca="1">_FV(RTData[[#This Row],[Company Name]],"Volume average",TRUE)</f>
        <v>4158470</v>
      </c>
      <c r="R94" s="60" cm="1">
        <f t="array" aca="1" ref="R94" ca="1">_FV(RTData[[#This Row],[Company Name]],"Beta")</f>
        <v>0.71319999999999995</v>
      </c>
      <c r="S94" s="66" t="s">
        <v>21</v>
      </c>
      <c r="T94" s="66" t="s">
        <v>22</v>
      </c>
      <c r="U94" s="66" t="str" cm="1">
        <f t="array" aca="1" ref="U94" ca="1">_FV(RTData[[#This Row],[Company Name]],"Exchange abbreviation",TRUE)</f>
        <v>XETR</v>
      </c>
      <c r="V94" s="142">
        <f ca="1">IFERROR(RTData[[#This Row],[Volume]]/RTData[[#This Row],[Volume average]],1)</f>
        <v>1.2022287043071129</v>
      </c>
      <c r="W94" s="142"/>
      <c r="X94" s="103">
        <f>X20</f>
        <v>16.89</v>
      </c>
      <c r="Y94" s="149">
        <f t="shared" ref="Y94:AD94" si="5">Y20</f>
        <v>45793</v>
      </c>
      <c r="Z94" s="149">
        <f t="shared" si="5"/>
        <v>0</v>
      </c>
      <c r="AA94" s="150">
        <f t="shared" si="5"/>
        <v>3.6199997999999997E-2</v>
      </c>
      <c r="AB94" s="151">
        <f t="shared" si="5"/>
        <v>0</v>
      </c>
      <c r="AC94" s="152">
        <f t="shared" si="5"/>
        <v>3.0000000000000001E-3</v>
      </c>
      <c r="AD94" s="103" t="str">
        <f t="shared" si="5"/>
        <v>16.71/16.47/14.8</v>
      </c>
      <c r="AE94" s="153">
        <f>_xlfn.LET(_xlpm.New1YT,RTData[[#This Row],[1YT]],        _xlpm.Old1YT,IF(ISNUMBER(RTData[[#This Row],[Old1YT]]),RTData[[#This Row],[Old1YT]],VALUE(LEFT(RTData[[#This Row],[Old1YT]],FIND("/",RTData[[#This Row],[Old1YT]],1)-1))),       IF(OR(RTData[[#This Row],[1YT]]=0,_xlpm.Old1YT=0),0,(_xlpm.New1YT-_xlpm.Old1YT)/_xlpm.Old1YT))</f>
        <v>1.0771992818671437E-2</v>
      </c>
      <c r="AF94" s="153" t="str">
        <f>TEXT(RTData[[#This Row],[1YT]],"#,#0.00")&amp;" &lt; "&amp;RTData[[#This Row],[Old1YT]]</f>
        <v>16.89 &lt; 16.71/16.47/14.8</v>
      </c>
      <c r="AG94" s="55"/>
    </row>
    <row r="95" spans="1:33" ht="22" customHeight="1" x14ac:dyDescent="0.3">
      <c r="A95" s="59" t="s">
        <v>79</v>
      </c>
      <c r="B95" s="67">
        <v>1</v>
      </c>
      <c r="C95" s="28" t="e" vm="73">
        <v>#VALUE!</v>
      </c>
      <c r="D95" s="17" t="str" cm="1">
        <f t="array" aca="1" ref="D95" ca="1">_FV(RTData[[#This Row],[Company Name]],"Currency")</f>
        <v>USD</v>
      </c>
      <c r="E95" s="18" cm="1">
        <f t="array" aca="1" ref="E95" ca="1">_FV(RTData[[#This Row],[Company Name]],"Last trade time",TRUE)</f>
        <v>45908.652645080467</v>
      </c>
      <c r="F95" s="29" cm="1">
        <f t="array" aca="1" ref="F95" ca="1">_FV(RTData[[#This Row],[Company Name]],"Previous close",TRUE)</f>
        <v>10.032</v>
      </c>
      <c r="G95" s="29" cm="1">
        <f t="array" aca="1" ref="G95" ca="1">_FV(RTData[[#This Row],[Company Name]],"Open")</f>
        <v>10.141999999999999</v>
      </c>
      <c r="H95" s="29" cm="1">
        <f t="array" aca="1" ref="H95" ca="1">_FV(RTData[[#This Row],[Company Name]],"Price")</f>
        <v>10.172000000000001</v>
      </c>
      <c r="I95" s="29" cm="1">
        <f t="array" aca="1" ref="I95" ca="1">_FV(RTData[[#This Row],[Company Name]],"Low")</f>
        <v>10.119999999999999</v>
      </c>
      <c r="J95" s="29" cm="1">
        <f t="array" aca="1" ref="J95" ca="1">_FV(RTData[[#This Row],[Company Name]],"High")</f>
        <v>10.178000000000001</v>
      </c>
      <c r="K95" s="20" cm="1">
        <f t="array" ref="K95">IFERROR(_FV(RTData[[#This Row],[Company Name]],"P/E",TRUE),99)</f>
        <v>99</v>
      </c>
      <c r="L95" s="21" cm="1">
        <f t="array" aca="1" ref="L95" ca="1">_FV(RTData[[#This Row],[Company Name]],"Change")</f>
        <v>0.14000000000000001</v>
      </c>
      <c r="M95" s="22" cm="1">
        <f t="array" aca="1" ref="M95" ca="1">_FV(RTData[[#This Row],[Company Name]],"Change (%)",TRUE)</f>
        <v>1.3955E-2</v>
      </c>
      <c r="N95" s="29" cm="1">
        <f t="array" aca="1" ref="N95" ca="1">_FV(RTData[[#This Row],[Company Name]],"52 week low",TRUE)</f>
        <v>7.351</v>
      </c>
      <c r="O95" s="29" cm="1">
        <f t="array" aca="1" ref="O95" ca="1">_FV(RTData[[#This Row],[Company Name]],"52 week high",TRUE)</f>
        <v>10.178000000000001</v>
      </c>
      <c r="P95" s="23" cm="1">
        <f t="array" aca="1" ref="P95" ca="1">_FV(RTData[[#This Row],[Company Name]],"Volume")</f>
        <v>47801</v>
      </c>
      <c r="Q95" s="23" t="e" cm="1" vm="74">
        <f t="array" ref="Q95">_FV(RTData[[#This Row],[Company Name]],"Volume average",TRUE)</f>
        <v>#VALUE!</v>
      </c>
      <c r="R95" s="19" cm="1">
        <f t="array" aca="1" ref="R95" ca="1">_FV(RTData[[#This Row],[Company Name]],"Beta")</f>
        <v>0.61380000000000001</v>
      </c>
      <c r="S95" t="s">
        <v>32</v>
      </c>
      <c r="T95" t="s">
        <v>20</v>
      </c>
      <c r="U95" t="str" cm="1">
        <f t="array" aca="1" ref="U95" ca="1">_FV(RTData[[#This Row],[Company Name]],"Exchange abbreviation",TRUE)</f>
        <v>XLON</v>
      </c>
      <c r="V95" s="24">
        <f ca="1">IFERROR(RTData[[#This Row],[Volume]]/RTData[[#This Row],[Volume average]],1)</f>
        <v>1</v>
      </c>
      <c r="W95" s="24"/>
      <c r="X95" s="103">
        <f>[1]Sheet2!$E94</f>
        <v>0</v>
      </c>
      <c r="Y95" s="149">
        <f>[1]Sheet2!$F94</f>
        <v>0</v>
      </c>
      <c r="Z95" s="149">
        <f>[1]Sheet2!$G94</f>
        <v>0</v>
      </c>
      <c r="AA95" s="150">
        <f>[1]Sheet2!$H94</f>
        <v>0</v>
      </c>
      <c r="AB95" s="151">
        <v>1E-4</v>
      </c>
      <c r="AC95" s="152">
        <v>3.0000000000000001E-3</v>
      </c>
      <c r="AD95" s="103">
        <v>10.58</v>
      </c>
      <c r="AE95" s="153">
        <f>_xlfn.LET(_xlpm.New1YT,RTData[[#This Row],[1YT]],        _xlpm.Old1YT,IF(ISNUMBER(RTData[[#This Row],[Old1YT]]),RTData[[#This Row],[Old1YT]],VALUE(LEFT(RTData[[#This Row],[Old1YT]],FIND("/",RTData[[#This Row],[Old1YT]],1)-1))),       IF(OR(RTData[[#This Row],[1YT]]=0,_xlpm.Old1YT=0),0,(_xlpm.New1YT-_xlpm.Old1YT)/_xlpm.Old1YT))</f>
        <v>0</v>
      </c>
      <c r="AF95" s="153" t="str">
        <f>TEXT(RTData[[#This Row],[1YT]],"#,#0.00")&amp;" &lt; "&amp;RTData[[#This Row],[Old1YT]]</f>
        <v>0.00 &lt; 10.58</v>
      </c>
    </row>
    <row r="96" spans="1:33" x14ac:dyDescent="0.3">
      <c r="A96" s="45" t="s">
        <v>27</v>
      </c>
      <c r="B96" s="45"/>
      <c r="C96" s="46"/>
      <c r="D96" s="25"/>
      <c r="J96" s="47"/>
      <c r="K96"/>
      <c r="L96" s="21">
        <f ca="1">SUBTOTAL(101,RTData[Change])</f>
        <v>0.71270215053763408</v>
      </c>
      <c r="M96" s="48">
        <f ca="1">SUBTOTAL(104,RTData[Change%])</f>
        <v>0.125</v>
      </c>
      <c r="O96"/>
      <c r="P96" s="23">
        <f ca="1">SUBTOTAL(104,RTData[Volume])</f>
        <v>452081061</v>
      </c>
      <c r="Q96" s="23" t="e" vm="75">
        <f ca="1">SUBTOTAL(101,RTData[Volume average])</f>
        <v>#VALUE!</v>
      </c>
      <c r="R96"/>
      <c r="V96" s="145"/>
      <c r="W96"/>
      <c r="X96" s="87"/>
      <c r="Y96" s="83"/>
      <c r="Z96" s="83"/>
      <c r="AE96" s="154"/>
    </row>
    <row r="97" spans="1:26" x14ac:dyDescent="0.3">
      <c r="A97" s="45" t="s">
        <v>28</v>
      </c>
      <c r="B97" s="46" t="s">
        <v>29</v>
      </c>
      <c r="C97" s="72" t="s">
        <v>30</v>
      </c>
      <c r="D97" s="73" t="s">
        <v>33</v>
      </c>
      <c r="L97"/>
      <c r="M97" s="23"/>
      <c r="O97"/>
      <c r="P97" s="49"/>
      <c r="R97" s="49"/>
      <c r="V97" s="88"/>
      <c r="W97" s="84"/>
      <c r="X97" s="51"/>
    </row>
    <row r="98" spans="1:26" x14ac:dyDescent="0.3">
      <c r="A98" t="e" vm="76">
        <v>#VALUE!</v>
      </c>
      <c r="B98" s="52" cm="1">
        <f t="array" aca="1" ref="B98" ca="1">_FV(A98,"Price")</f>
        <v>1.1766000000000001</v>
      </c>
      <c r="C98" s="53" cm="1">
        <f t="array" aca="1" ref="C98" ca="1">_FV(A98,"52 week high",TRUE)</f>
        <v>1.1829000000000001</v>
      </c>
      <c r="D98" s="19">
        <f ca="1">1/RTExR[[#This Row],[RT]]</f>
        <v>0.84990651028386865</v>
      </c>
      <c r="P98" s="54"/>
      <c r="R98"/>
      <c r="W98" s="84"/>
      <c r="X98" s="51"/>
    </row>
    <row r="99" spans="1:26" x14ac:dyDescent="0.3">
      <c r="A99" t="e" vm="77">
        <v>#VALUE!</v>
      </c>
      <c r="B99" s="52" cm="1">
        <f t="array" aca="1" ref="B99" ca="1">_FV(A99,"Price")</f>
        <v>0.93279999999999996</v>
      </c>
      <c r="C99" s="56" cm="1">
        <f t="array" aca="1" ref="C99" ca="1">_FV(A99,"52 week high",TRUE)</f>
        <v>0.96609999999999996</v>
      </c>
      <c r="D99" s="19">
        <f ca="1">1/RTExR[[#This Row],[RT]]</f>
        <v>1.0720411663807892</v>
      </c>
      <c r="P99" s="54"/>
      <c r="R99"/>
    </row>
    <row r="100" spans="1:26" x14ac:dyDescent="0.3">
      <c r="A100" t="e" vm="78">
        <v>#VALUE!</v>
      </c>
      <c r="B100" s="52" cm="1">
        <f t="array" aca="1" ref="B100" ca="1">_FV(A100,"Price")</f>
        <v>0.86809999999999998</v>
      </c>
      <c r="C100" s="57" cm="1">
        <f t="array" aca="1" ref="C100" ca="1">_FV(A100,"52 week high",TRUE)</f>
        <v>0.87629999999999997</v>
      </c>
      <c r="D100" s="19">
        <f ca="1">1/RTExR[[#This Row],[RT]]</f>
        <v>1.1519410206197442</v>
      </c>
      <c r="P100" s="54"/>
      <c r="R100"/>
    </row>
    <row r="101" spans="1:26" x14ac:dyDescent="0.3">
      <c r="A101" t="e" vm="79">
        <v>#VALUE!</v>
      </c>
      <c r="B101" s="52" cm="1">
        <f t="array" aca="1" ref="B101" ca="1">_FV(A101,"Price")</f>
        <v>1.7833000000000001</v>
      </c>
      <c r="C101" s="53" cm="1">
        <f t="array" aca="1" ref="C101" ca="1">_FV(A101,"52 week high",TRUE)</f>
        <v>1.8554999999999999</v>
      </c>
      <c r="D101" s="19">
        <f ca="1">1/RTExR[[#This Row],[RT]]</f>
        <v>0.56075814501205623</v>
      </c>
      <c r="P101" s="54"/>
      <c r="R101"/>
    </row>
    <row r="102" spans="1:26" x14ac:dyDescent="0.3">
      <c r="A102" t="e" vm="80">
        <v>#VALUE!</v>
      </c>
      <c r="B102" s="52" cm="1">
        <f t="array" aca="1" ref="B102" ca="1">_FV(A102,"Price")</f>
        <v>1.6235999999999999</v>
      </c>
      <c r="C102" s="53" cm="1">
        <f t="array" aca="1" ref="C102" ca="1">_FV(A102,"52 week high",TRUE)</f>
        <v>1.6256999999999999</v>
      </c>
      <c r="D102" s="19">
        <f ca="1">1/RTExR[[#This Row],[RT]]</f>
        <v>0.61591525006159153</v>
      </c>
      <c r="P102" s="54"/>
      <c r="R102"/>
    </row>
    <row r="103" spans="1:26" x14ac:dyDescent="0.3">
      <c r="A103" t="e" vm="81">
        <v>#VALUE!</v>
      </c>
      <c r="B103" s="52" cm="1">
        <f t="array" aca="1" ref="B103" ca="1">_FV(A103,"Price")</f>
        <v>147.35</v>
      </c>
      <c r="C103" s="58" cm="1">
        <f t="array" aca="1" ref="C103" ca="1">_FV(A103,"52 week high",TRUE)</f>
        <v>158.87</v>
      </c>
      <c r="D103" s="19">
        <f ca="1">1/RTExR[[#This Row],[RT]]</f>
        <v>6.7865626060400414E-3</v>
      </c>
      <c r="P103" s="54"/>
      <c r="R103"/>
    </row>
    <row r="104" spans="1:26" x14ac:dyDescent="0.3">
      <c r="A104" t="e" vm="82">
        <v>#VALUE!</v>
      </c>
      <c r="B104" s="52" cm="1">
        <f t="array" aca="1" ref="B104" ca="1">_FV(A104,"Price")</f>
        <v>0.79279999999999995</v>
      </c>
      <c r="C104" s="56" cm="1">
        <f t="array" aca="1" ref="C104" ca="1">_FV(A104,"52 week high",TRUE)</f>
        <v>0.92</v>
      </c>
      <c r="D104" s="19">
        <f ca="1">1/RTExR[[#This Row],[RT]]</f>
        <v>1.2613521695257317</v>
      </c>
    </row>
    <row r="105" spans="1:26" x14ac:dyDescent="0.3">
      <c r="A105" t="e" vm="83">
        <v>#VALUE!</v>
      </c>
      <c r="B105" s="52" cm="1">
        <f t="array" aca="1" ref="B105" ca="1">_FV(A105,"Price")</f>
        <v>0.73770000000000002</v>
      </c>
      <c r="C105" s="57" cm="1">
        <f t="array" aca="1" ref="C105" ca="1">_FV(A105,"52 week high",TRUE)</f>
        <v>0.82650000000000001</v>
      </c>
      <c r="D105" s="19">
        <f ca="1">1/RTExR[[#This Row],[RT]]</f>
        <v>1.3555645926528399</v>
      </c>
    </row>
    <row r="106" spans="1:26" x14ac:dyDescent="0.3">
      <c r="C106" s="143" t="s">
        <v>80</v>
      </c>
      <c r="E106" s="147" t="s">
        <v>6</v>
      </c>
      <c r="F106" s="147" t="s">
        <v>84</v>
      </c>
      <c r="N106" t="e" vm="1">
        <v>#VALUE!</v>
      </c>
    </row>
    <row r="107" spans="1:26" x14ac:dyDescent="0.3">
      <c r="A107" s="16"/>
      <c r="B107"/>
      <c r="C107" s="49" t="e" vm="35">
        <v>#VALUE!</v>
      </c>
      <c r="D107" s="146" t="s">
        <v>83</v>
      </c>
      <c r="E107" s="19" cm="1">
        <f t="array" aca="1" ref="E107" ca="1">_FV(C108,"Open")</f>
        <v>45430.61</v>
      </c>
      <c r="F107" s="19" cm="1">
        <f t="array" aca="1" ref="F107" ca="1">_FV(C108,"Price")</f>
        <v>45514.95</v>
      </c>
      <c r="X107" s="19"/>
      <c r="Y107" s="19"/>
      <c r="Z107" s="19"/>
    </row>
    <row r="108" spans="1:26" x14ac:dyDescent="0.3">
      <c r="C108" t="e" vm="84">
        <v>#VALUE!</v>
      </c>
      <c r="D108" s="19" cm="1">
        <f t="array" aca="1" ref="D108" ca="1">_FV(C108,"Previous close",TRUE)</f>
        <v>45400.86</v>
      </c>
      <c r="E108" s="19" cm="1">
        <f t="array" aca="1" ref="E108" ca="1">_FV(C109,"Open")</f>
        <v>54.89</v>
      </c>
      <c r="F108" s="19" cm="1">
        <f t="array" aca="1" ref="F108" ca="1">_FV(C109,"Price")</f>
        <v>55.14</v>
      </c>
    </row>
    <row r="109" spans="1:26" x14ac:dyDescent="0.3">
      <c r="C109" s="49" t="e" vm="85">
        <v>#VALUE!</v>
      </c>
      <c r="D109" s="19" cm="1">
        <f t="array" aca="1" ref="D109" ca="1">_FV(C109,"Previous close",TRUE)</f>
        <v>54.6</v>
      </c>
    </row>
    <row r="110" spans="1:26" x14ac:dyDescent="0.3">
      <c r="C110" s="49" t="s">
        <v>85</v>
      </c>
      <c r="D110" t="e" cm="1" vm="86">
        <f t="array" ref="D110">_FV(C110,"Instrument type",TRUE)</f>
        <v>#VALUE!</v>
      </c>
      <c r="E110" s="19" cm="1">
        <f t="array" aca="1" ref="E110" ca="1">_FV(C111,"Open")</f>
        <v>44.44</v>
      </c>
      <c r="F110" s="19" cm="1">
        <f t="array" aca="1" ref="F110" ca="1">_FV(C111,"Price")</f>
        <v>44.59</v>
      </c>
    </row>
    <row r="111" spans="1:26" x14ac:dyDescent="0.3">
      <c r="C111" s="49" t="e" vm="87">
        <v>#VALUE!</v>
      </c>
      <c r="D111" s="19" cm="1">
        <f t="array" aca="1" ref="D111" ca="1">_FV(C111,"Previous close",TRUE)</f>
        <v>44.099600000000002</v>
      </c>
    </row>
    <row r="112" spans="1:26" x14ac:dyDescent="0.3">
      <c r="A112" s="49"/>
      <c r="C112" s="49" t="s">
        <v>86</v>
      </c>
    </row>
    <row r="113" spans="4:4" x14ac:dyDescent="0.3">
      <c r="D113" s="49"/>
    </row>
  </sheetData>
  <phoneticPr fontId="19" type="noConversion"/>
  <conditionalFormatting sqref="AA3:AA95">
    <cfRule type="cellIs" dxfId="47" priority="1" operator="greaterThan">
      <formula>0.04</formula>
    </cfRule>
  </conditionalFormatting>
  <pageMargins left="0.7" right="0.7" top="0.75" bottom="0.75" header="0.3" footer="0.3"/>
  <pageSetup paperSize="9" orientation="portrait" horizontalDpi="0" verticalDpi="0"/>
  <ignoredErrors>
    <ignoredError sqref="A3:A21 A22:A57 A58:A94" emptyCellReference="1"/>
    <ignoredError sqref="B8:B9 B3:B4 B10:B95 B6:B7" calculatedColumn="1"/>
    <ignoredError xmlns:x16r3="http://schemas.microsoft.com/office/spreadsheetml/2018/08/main" sqref="G7" x16r3:misleadingFormat="1"/>
  </ignoredErrors>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DE51C-1C57-8D4D-A0B4-9525F1A1DFF8}">
  <sheetPr codeName="Sheet2"/>
  <dimension ref="A2:H30"/>
  <sheetViews>
    <sheetView topLeftCell="A5" zoomScale="80" zoomScaleNormal="80" workbookViewId="0">
      <selection activeCell="B26" sqref="B26:B27"/>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49" customWidth="1"/>
    <col min="6" max="6" width="18.375" style="49" customWidth="1"/>
    <col min="7" max="7" width="22" style="49" customWidth="1"/>
  </cols>
  <sheetData>
    <row r="2" spans="1:8" ht="23" thickBot="1" x14ac:dyDescent="0.35">
      <c r="D2" t="s">
        <v>37</v>
      </c>
    </row>
    <row r="3" spans="1:8" ht="23" thickBot="1" x14ac:dyDescent="0.35">
      <c r="A3" t="s">
        <v>38</v>
      </c>
      <c r="B3" s="104">
        <v>4.1666666666666664E-2</v>
      </c>
      <c r="D3" s="105">
        <v>0</v>
      </c>
      <c r="F3" s="106"/>
    </row>
    <row r="4" spans="1:8" ht="23" thickBot="1" x14ac:dyDescent="0.35">
      <c r="A4" t="s">
        <v>39</v>
      </c>
      <c r="B4" s="18">
        <f ca="1">NOW()</f>
        <v>45909.054190509261</v>
      </c>
      <c r="D4" s="51"/>
      <c r="F4" s="106"/>
    </row>
    <row r="5" spans="1:8" x14ac:dyDescent="0.3">
      <c r="A5" t="s">
        <v>40</v>
      </c>
      <c r="B5" s="107">
        <f ca="1">TODAY()</f>
        <v>45909</v>
      </c>
      <c r="F5" s="108" t="s">
        <v>41</v>
      </c>
      <c r="G5" s="108" t="str">
        <f ca="1">IF((NOW()-TODAY()-TIME(9,0,0))-CETZoneShift&lt;0,"Yesterday",NOW()-TODAY()-TIME(9,0,0)-CETZoneShift)&amp;" CET"</f>
        <v>Yesterday CET</v>
      </c>
    </row>
    <row r="6" spans="1:8" ht="23" thickBot="1" x14ac:dyDescent="0.35">
      <c r="A6" t="s">
        <v>42</v>
      </c>
      <c r="B6" s="109">
        <f ca="1">NOW()-TODAY()</f>
        <v>5.4190509261388797E-2</v>
      </c>
      <c r="C6" t="s">
        <v>43</v>
      </c>
      <c r="E6" t="s">
        <v>44</v>
      </c>
      <c r="F6" s="110">
        <f ca="1">NOW()</f>
        <v>45909.054190509261</v>
      </c>
      <c r="G6" s="110">
        <f ca="1">NOW()-TODAY()-CETZoneShift+1</f>
        <v>1.0125238425947221</v>
      </c>
    </row>
    <row r="7" spans="1:8" x14ac:dyDescent="0.3">
      <c r="A7" t="s">
        <v>45</v>
      </c>
      <c r="B7" s="109">
        <f ca="1">IF(NOW()-TODAY()-CETZoneShift&lt;0,NOW()-TODAY()-CETZoneShift+1,NOW()-TODAY()-CETZoneShift)</f>
        <v>1.2523842594722133E-2</v>
      </c>
      <c r="C7" t="s">
        <v>46</v>
      </c>
      <c r="D7" s="111">
        <f ca="1">ExtEntry!E20</f>
        <v>45908.907187500001</v>
      </c>
      <c r="E7"/>
      <c r="F7" s="106"/>
    </row>
    <row r="8" spans="1:8" x14ac:dyDescent="0.3">
      <c r="A8" t="s">
        <v>47</v>
      </c>
      <c r="B8" s="109">
        <f ca="1">IF(CET-TIME(1,0,0)&lt;0,CET-TIME(1,0,0)+TIME(23,0,0),CET-TIME(1,0,0))</f>
        <v>0.9291905092613888</v>
      </c>
      <c r="C8" t="s">
        <v>48</v>
      </c>
      <c r="D8" s="111">
        <f ca="1">NOW()-LastTradeTimeEOAN-CETZoneShift</f>
        <v>0.10533680555575606</v>
      </c>
    </row>
    <row r="9" spans="1:8" x14ac:dyDescent="0.3">
      <c r="C9" s="112" t="s">
        <v>49</v>
      </c>
      <c r="D9" s="113" t="str">
        <f ca="1">IF(D8&gt;1,"Non-Working day"," working day")</f>
        <v xml:space="preserve"> working day</v>
      </c>
    </row>
    <row r="10" spans="1:8" ht="23" thickBot="1" x14ac:dyDescent="0.35"/>
    <row r="11" spans="1:8" x14ac:dyDescent="0.3">
      <c r="A11" s="114" t="s">
        <v>50</v>
      </c>
      <c r="B11" s="115"/>
      <c r="C11" s="115" t="s">
        <v>51</v>
      </c>
      <c r="D11" s="116">
        <f ca="1">TODAY()+TIME(9,0,0)</f>
        <v>45909.375</v>
      </c>
      <c r="E11" s="117"/>
      <c r="F11" s="108"/>
      <c r="G11" s="117"/>
      <c r="H11" s="115"/>
    </row>
    <row r="12" spans="1:8" x14ac:dyDescent="0.3">
      <c r="A12" s="118" t="s">
        <v>52</v>
      </c>
      <c r="B12" s="109"/>
      <c r="C12" t="s">
        <v>53</v>
      </c>
      <c r="D12" s="119">
        <f ca="1">B4-D11</f>
        <v>-0.3208094907386112</v>
      </c>
      <c r="F12" s="120" t="str">
        <f ca="1">IFERROR(IF(NONWORKINGDAYCRITERIA&gt;1,"None-Working Day",IF(OR(D12/D13&lt;0,D12&gt;D13),"Closed",D12/D13)),"Closed")</f>
        <v>Closed</v>
      </c>
    </row>
    <row r="13" spans="1:8" ht="23" thickBot="1" x14ac:dyDescent="0.35">
      <c r="A13" s="121"/>
      <c r="B13" s="122"/>
      <c r="C13" s="122" t="s">
        <v>54</v>
      </c>
      <c r="D13" s="123">
        <f>TIME(8,30,0)</f>
        <v>0.35416666666666669</v>
      </c>
      <c r="E13" s="124"/>
      <c r="F13" s="125"/>
      <c r="G13" s="124"/>
      <c r="H13" s="122"/>
    </row>
    <row r="14" spans="1:8" x14ac:dyDescent="0.3">
      <c r="D14" s="49"/>
    </row>
    <row r="15" spans="1:8" x14ac:dyDescent="0.3">
      <c r="D15" s="49"/>
      <c r="F15" s="49" t="s">
        <v>55</v>
      </c>
    </row>
    <row r="16" spans="1:8" ht="23" thickBot="1" x14ac:dyDescent="0.35">
      <c r="D16" s="49"/>
      <c r="F16" s="126">
        <f ca="1">ActTime-CETZoneShift</f>
        <v>1.2523842594722133E-2</v>
      </c>
    </row>
    <row r="17" spans="1:8" x14ac:dyDescent="0.3">
      <c r="A17" s="114" t="s">
        <v>56</v>
      </c>
      <c r="B17" s="115"/>
      <c r="C17" s="115" t="s">
        <v>57</v>
      </c>
      <c r="D17" s="116">
        <f ca="1">TODAY()+TIME(9,0,0)</f>
        <v>45909.375</v>
      </c>
      <c r="E17" s="117"/>
      <c r="F17" s="108"/>
      <c r="G17" s="117"/>
      <c r="H17" s="115"/>
    </row>
    <row r="18" spans="1:8" x14ac:dyDescent="0.3">
      <c r="A18" s="118" t="s">
        <v>58</v>
      </c>
      <c r="C18" t="s">
        <v>53</v>
      </c>
      <c r="D18" s="119">
        <f ca="1">D12</f>
        <v>-0.3208094907386112</v>
      </c>
      <c r="F18" s="120" t="str">
        <f ca="1">IFERROR(IF(NONWORKINGDAYCRITERIA&gt;1,"None-Working Day",IF(OR(D18/D19&lt;0,D18&gt;D19),"Closed",D18/D19)),"Closed")</f>
        <v>Closed</v>
      </c>
    </row>
    <row r="19" spans="1:8" ht="23" thickBot="1" x14ac:dyDescent="0.35">
      <c r="A19" s="121"/>
      <c r="B19" s="122"/>
      <c r="C19" s="122" t="s">
        <v>54</v>
      </c>
      <c r="D19" s="123">
        <v>0.35416666666666669</v>
      </c>
      <c r="E19" s="124"/>
      <c r="F19" s="125"/>
      <c r="G19" s="124"/>
      <c r="H19" s="122"/>
    </row>
    <row r="20" spans="1:8" ht="23" thickBot="1" x14ac:dyDescent="0.35">
      <c r="C20" s="114" t="s">
        <v>59</v>
      </c>
      <c r="D20" s="127">
        <f ca="1">ABS(NOW()-G22)</f>
        <v>0.86247615740285255</v>
      </c>
      <c r="F20" s="108" t="s">
        <v>60</v>
      </c>
      <c r="H20" s="128">
        <f ca="1">ABS(NOW()-F22)</f>
        <v>45908.408357175926</v>
      </c>
    </row>
    <row r="21" spans="1:8" ht="23" thickBot="1" x14ac:dyDescent="0.35">
      <c r="A21" s="129" t="s">
        <v>74</v>
      </c>
      <c r="B21" s="136">
        <f ca="1">F23-OpenTrade</f>
        <v>-0.59164282407194446</v>
      </c>
      <c r="C21" s="129"/>
      <c r="D21" s="137">
        <f ca="1">F23-OpenTrade</f>
        <v>-0.59164282407194446</v>
      </c>
      <c r="E21" s="130" t="s">
        <v>61</v>
      </c>
      <c r="F21" s="131">
        <f ca="1">IF(ActTime-CETZoneShift&lt;0,ActTime-TIME(6,0,0)-CETZoneShift+1,ActTime-TIME(6,0,0)-CETZoneShift)</f>
        <v>-0.23747615740527786</v>
      </c>
      <c r="G21" s="130" t="s">
        <v>62</v>
      </c>
      <c r="H21" s="125" t="str">
        <f ca="1">TEXT(H20,"HH:MM")</f>
        <v>09:48</v>
      </c>
    </row>
    <row r="22" spans="1:8" x14ac:dyDescent="0.3">
      <c r="A22" s="114" t="s">
        <v>63</v>
      </c>
      <c r="B22" s="115"/>
      <c r="C22" s="115" t="s">
        <v>64</v>
      </c>
      <c r="D22" s="132" t="s">
        <v>65</v>
      </c>
      <c r="E22" s="119">
        <f>TIME(4,0,0)+TIME(5,0,0)+CETZoneShift-SummerTimeShift</f>
        <v>0.41666666666666669</v>
      </c>
      <c r="F22" s="119">
        <f>TIME(9,30,0)+TIME(5,0,0)+CETZoneShift-SummerTimeShift</f>
        <v>0.64583333333333326</v>
      </c>
      <c r="G22" s="119">
        <f ca="1">TODAY()+TIME(16,0,0)+TIME(5,0,0)+CETZoneShift-SummerTimeShift</f>
        <v>45909.916666666664</v>
      </c>
      <c r="H22" s="115"/>
    </row>
    <row r="23" spans="1:8" x14ac:dyDescent="0.3">
      <c r="A23" s="118" t="s">
        <v>66</v>
      </c>
      <c r="C23" t="s">
        <v>67</v>
      </c>
      <c r="D23" t="s">
        <v>68</v>
      </c>
      <c r="E23" s="133">
        <f ca="1">ActTime</f>
        <v>5.4190509261388797E-2</v>
      </c>
      <c r="F23" s="133">
        <f ca="1">ActTime</f>
        <v>5.4190509261388797E-2</v>
      </c>
      <c r="G23" s="133">
        <f ca="1">ActTime</f>
        <v>5.4190509261388797E-2</v>
      </c>
    </row>
    <row r="24" spans="1:8" ht="23" thickBot="1" x14ac:dyDescent="0.35">
      <c r="A24" s="118"/>
      <c r="B24" s="112" t="s">
        <v>69</v>
      </c>
      <c r="C24" s="122" t="s">
        <v>70</v>
      </c>
      <c r="D24" t="s">
        <v>71</v>
      </c>
      <c r="E24" s="119">
        <f>TIME(15,30,0)</f>
        <v>0.64583333333333337</v>
      </c>
      <c r="F24" s="119">
        <f>TIME(22,0,0)</f>
        <v>0.91666666666666663</v>
      </c>
      <c r="G24" s="119">
        <f ca="1">TODAY()+1+OpenPost+TIME(4,0,0)</f>
        <v>91820.083333333328</v>
      </c>
    </row>
    <row r="25" spans="1:8" ht="23" thickBot="1" x14ac:dyDescent="0.35">
      <c r="A25" s="121" t="s">
        <v>72</v>
      </c>
      <c r="B25" s="122"/>
      <c r="C25" s="122"/>
      <c r="D25" s="122" t="s">
        <v>73</v>
      </c>
      <c r="E25" s="134">
        <f>E24-OpenPre</f>
        <v>0.22916666666666669</v>
      </c>
      <c r="F25" s="134">
        <f>F24-OpenTrade</f>
        <v>0.27083333333333337</v>
      </c>
      <c r="G25" s="134">
        <f ca="1">G24-OpenPost</f>
        <v>45910.166666666664</v>
      </c>
      <c r="H25" s="122"/>
    </row>
    <row r="26" spans="1:8" x14ac:dyDescent="0.3">
      <c r="E26" s="120" t="str">
        <f ca="1">IF(OR(E23&lt;E22,E23&gt;E24),"Closed",E23/E24)</f>
        <v>Closed</v>
      </c>
      <c r="F26" s="120" t="str">
        <f ca="1">IF(OR(F23&lt;F22,F23&gt;F24),"Closed",(F23-F22)/F25)</f>
        <v>Closed</v>
      </c>
      <c r="G26" s="120" t="str">
        <f ca="1">IF(OR(G23&lt;G22,G23&gt;G24),"Closed",G23/G24)</f>
        <v>Closed</v>
      </c>
    </row>
    <row r="27" spans="1:8" x14ac:dyDescent="0.3">
      <c r="E27" s="135" t="str">
        <f ca="1">IF(AND(E23&gt;E22,E23&lt;E24),(E23-OpenPre)/E25,"CLOSED")</f>
        <v>CLOSED</v>
      </c>
      <c r="F27" s="135" t="str">
        <f ca="1">IF(AND(F23&gt;F22,F23&lt;F24),(F23-OpenTrade)/F25,"CLOSED")</f>
        <v>CLOSED</v>
      </c>
      <c r="G27" s="135" t="str">
        <f ca="1">IF(AND(G23&gt;G22,G23&lt;G24),(G23-OpenPost)/G25,"CLOSED")</f>
        <v>CLOSED</v>
      </c>
    </row>
    <row r="29" spans="1:8" x14ac:dyDescent="0.3">
      <c r="E29" s="49" t="s">
        <v>75</v>
      </c>
      <c r="F29" s="49" t="str">
        <f ca="1">IFERROR(IF(NONWORKINGDAYCRITERIA&gt;1,"None-Working Day",IF(OR(D21/F25&lt;0,D21&gt;F25),"Closed",D21/F25)),"Closed")</f>
        <v>Closed</v>
      </c>
    </row>
    <row r="30" spans="1:8" x14ac:dyDescent="0.3">
      <c r="F30" s="135"/>
    </row>
  </sheetData>
  <pageMargins left="0.7" right="0.7" top="0.75" bottom="0.75" header="0.3" footer="0.3"/>
  <ignoredErrors>
    <ignoredError sqref="F26"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ExtEntry</vt:lpstr>
      <vt:lpstr>Timing</vt:lpstr>
      <vt:lpstr>ActTime</vt:lpstr>
      <vt:lpstr>CET</vt:lpstr>
      <vt:lpstr>CETZoneShift</vt:lpstr>
      <vt:lpstr>LastTradeTimeEOAN</vt:lpstr>
      <vt:lpstr>NONWORKINGDAYCRITERIA</vt:lpstr>
      <vt:lpstr>OpenPost</vt:lpstr>
      <vt:lpstr>OpenPre</vt:lpstr>
      <vt:lpstr>OpenTrade</vt:lpstr>
      <vt:lpstr>SummerTimeShift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2025-09-08T23:18:02Z</dcterms:modified>
  <cp:category/>
</cp:coreProperties>
</file>