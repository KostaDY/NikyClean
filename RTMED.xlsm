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8"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2CE1BD36-A387-2C49-B69B-2782FD232BB6}" xr6:coauthVersionLast="47" xr6:coauthVersionMax="47" xr10:uidLastSave="{00000000-0000-0000-0000-000000000000}"/>
  <bookViews>
    <workbookView xWindow="280" yWindow="800" windowWidth="29840" windowHeight="18480" xr2:uid="{A82D0DB8-8028-8749-AD8E-3907692F5E1B}"/>
  </bookViews>
  <sheets>
    <sheet name="ExtEntry" sheetId="1" r:id="rId1"/>
  </sheets>
  <externalReferences>
    <externalReference r:id="rId2"/>
    <externalReference r:id="rId3"/>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te"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#REF!</definedName>
    <definedName name="AcctJB">[1]Mail!$D$7</definedName>
    <definedName name="AcctMVE">[1]Mail!$D$4</definedName>
    <definedName name="AcctSAF">[1]Mail!$D$6</definedName>
    <definedName name="ACET">#REF!</definedName>
    <definedName name="ACETZoneShift">#REF!</definedName>
    <definedName name="AcloseTrade">[1]Timer!$F$24</definedName>
    <definedName name="ActTime">#REF!</definedName>
    <definedName name="ActTimeCET">[1]Timer!$F$23</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BdeltaMinus">[1]Research!$F$3</definedName>
    <definedName name="BdeltaPlus">[1]Research!$F$4</definedName>
    <definedName name="BeginCost">[1]ID!$D$21</definedName>
    <definedName name="CET">#REF!</definedName>
    <definedName name="CETZoneShift">#REF!</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[1]Markov!$Z$15</definedName>
    <definedName name="LastTradeHeader">#REF!</definedName>
    <definedName name="LastTradeTimeEOAN">#REF!</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#REF!</definedName>
    <definedName name="MatchFromTable" comment="Find the purchase price closest to the market price">#REF!</definedName>
    <definedName name="MDown">[1]Trader!$AD$105</definedName>
    <definedName name="MgtY">[1]Trader!$AD$106</definedName>
    <definedName name="MUp">[1]Trader!$AD$101</definedName>
    <definedName name="NetCash">[1]Calc!$AZ$104</definedName>
    <definedName name="NeutralZoneM">[1]ID!$B$20</definedName>
    <definedName name="NONWORKINGDAYCRITERIA">#REF!</definedName>
    <definedName name="NoStock">[1]Trader!$AD$108</definedName>
    <definedName name="OpenPost">#REF!</definedName>
    <definedName name="OpenPre">#REF!</definedName>
    <definedName name="OpenTrade">#REF!</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[1]Markov!$M$55:$T$62</definedName>
    <definedName name="RegArray">#REF!</definedName>
    <definedName name="RePurchaseGain">[1]Trader!$AD$104</definedName>
    <definedName name="ReSaleGain">[1]Trader!$AD$100</definedName>
    <definedName name="Sell">[1]Mail!$B$4</definedName>
    <definedName name="SellMorePercentGain">[1]Trader!$AD$101</definedName>
    <definedName name="SelRow">5</definedName>
    <definedName name="SelRowNum">5</definedName>
    <definedName name="StockNow">[1]ID!$E$19</definedName>
    <definedName name="SummerTimeShift">#REF!</definedName>
    <definedName name="TabRev">#REF!</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#REF!</definedName>
    <definedName name="YY">#REF!</definedName>
    <definedName name="YYYY">[1]Markov!$M$80:$T$87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5" i="1" l="1" a="1"/>
  <c r="D95" i="1" s="1"/>
  <c r="A94" i="1" a="1"/>
  <c r="A94" i="1" s="1"/>
  <c r="Q94" i="1" a="1"/>
  <c r="Q94" i="1" s="1"/>
  <c r="P96" i="1" a="1"/>
  <c r="P96" i="1" s="1"/>
  <c r="A9" i="1" a="1"/>
  <c r="A9" i="1" s="1"/>
  <c r="D9" i="1" a="1"/>
  <c r="D9" i="1" s="1"/>
  <c r="E9" i="1" a="1"/>
  <c r="E9" i="1" s="1"/>
  <c r="F9" i="1" a="1"/>
  <c r="F9" i="1" s="1"/>
  <c r="G9" i="1" a="1"/>
  <c r="G9" i="1" s="1"/>
  <c r="H9" i="1" a="1"/>
  <c r="H9" i="1" s="1"/>
  <c r="I9" i="1" a="1"/>
  <c r="I9" i="1" s="1"/>
  <c r="J9" i="1" a="1"/>
  <c r="J9" i="1" s="1"/>
  <c r="K9" i="1" a="1"/>
  <c r="K9" i="1" s="1"/>
  <c r="L9" i="1" a="1"/>
  <c r="L9" i="1" s="1"/>
  <c r="M9" i="1" a="1"/>
  <c r="M9" i="1" s="1"/>
  <c r="N9" i="1" a="1"/>
  <c r="N9" i="1" s="1"/>
  <c r="O9" i="1" a="1"/>
  <c r="O9" i="1" s="1"/>
  <c r="P9" i="1" a="1"/>
  <c r="P9" i="1" s="1"/>
  <c r="Q9" i="1" a="1"/>
  <c r="Q9" i="1" s="1"/>
  <c r="R9" i="1" a="1"/>
  <c r="R9" i="1" s="1"/>
  <c r="U9" i="1" a="1"/>
  <c r="U9" i="1" s="1"/>
  <c r="Y9" i="1"/>
  <c r="Z9" i="1"/>
  <c r="AA9" i="1"/>
  <c r="AC9" i="1" a="1"/>
  <c r="AC9" i="1" s="1"/>
  <c r="X9" i="1" l="1"/>
  <c r="X94" i="1"/>
  <c r="V9" i="1"/>
  <c r="AE9" i="1" l="1"/>
  <c r="AF9" i="1"/>
  <c r="A3" i="1" a="1"/>
  <c r="A3" i="1" s="1"/>
  <c r="A10" i="1" a="1"/>
  <c r="A10" i="1" s="1"/>
  <c r="D10" i="1" a="1"/>
  <c r="D10" i="1" s="1"/>
  <c r="E10" i="1" a="1"/>
  <c r="E10" i="1" s="1"/>
  <c r="F10" i="1" a="1"/>
  <c r="F10" i="1" s="1"/>
  <c r="G10" i="1" a="1"/>
  <c r="G10" i="1" s="1"/>
  <c r="H10" i="1" a="1"/>
  <c r="H10" i="1" s="1"/>
  <c r="I10" i="1" a="1"/>
  <c r="I10" i="1" s="1"/>
  <c r="J10" i="1" a="1"/>
  <c r="J10" i="1" s="1"/>
  <c r="K10" i="1" a="1"/>
  <c r="K10" i="1" s="1"/>
  <c r="L10" i="1" a="1"/>
  <c r="L10" i="1" s="1"/>
  <c r="M10" i="1" a="1"/>
  <c r="M10" i="1" s="1"/>
  <c r="N10" i="1" a="1"/>
  <c r="N10" i="1" s="1"/>
  <c r="O10" i="1" a="1"/>
  <c r="O10" i="1" s="1"/>
  <c r="P10" i="1" a="1"/>
  <c r="P10" i="1" s="1"/>
  <c r="Q10" i="1" a="1"/>
  <c r="Q10" i="1" s="1"/>
  <c r="R10" i="1" a="1"/>
  <c r="R10" i="1" s="1"/>
  <c r="U10" i="1" a="1"/>
  <c r="U10" i="1" s="1"/>
  <c r="Y10" i="1"/>
  <c r="Z10" i="1"/>
  <c r="AA10" i="1"/>
  <c r="AC10" i="1" a="1"/>
  <c r="AC10" i="1" s="1"/>
  <c r="X3" i="1" l="1"/>
  <c r="X10" i="1"/>
  <c r="V10" i="1"/>
  <c r="AE10" i="1" l="1"/>
  <c r="AF10" i="1"/>
  <c r="Z3" i="1"/>
  <c r="Z4" i="1"/>
  <c r="Z5" i="1"/>
  <c r="Z6" i="1"/>
  <c r="Z7" i="1"/>
  <c r="Z8"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Y4" i="1"/>
  <c r="Y5" i="1"/>
  <c r="Y6" i="1"/>
  <c r="Y7" i="1"/>
  <c r="Y8"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3" i="1"/>
  <c r="AA94" i="1"/>
  <c r="AB94" i="1"/>
  <c r="AC94" i="1"/>
  <c r="AA95" i="1"/>
  <c r="AB95" i="1"/>
  <c r="AC95" i="1"/>
  <c r="AA96" i="1"/>
  <c r="AB96" i="1"/>
  <c r="AC96" i="1"/>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A95" i="1" a="1"/>
  <c r="A95" i="1" s="1"/>
  <c r="U94" i="1" a="1"/>
  <c r="U94" i="1" s="1"/>
  <c r="R94" i="1" a="1"/>
  <c r="R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A96" i="1" a="1"/>
  <c r="A96" i="1" s="1"/>
  <c r="D96" i="1" a="1"/>
  <c r="D96" i="1" s="1"/>
  <c r="E96" i="1" a="1"/>
  <c r="E96" i="1" s="1"/>
  <c r="F96" i="1" a="1"/>
  <c r="F96" i="1" s="1"/>
  <c r="G96" i="1" a="1"/>
  <c r="G96" i="1" s="1"/>
  <c r="H96" i="1" a="1"/>
  <c r="H96" i="1" s="1"/>
  <c r="I96" i="1" a="1"/>
  <c r="I96" i="1" s="1"/>
  <c r="J96" i="1" a="1"/>
  <c r="J96" i="1" s="1"/>
  <c r="K96" i="1" a="1"/>
  <c r="K96" i="1" s="1"/>
  <c r="L96" i="1" a="1"/>
  <c r="L96" i="1" s="1"/>
  <c r="M96" i="1" a="1"/>
  <c r="M96" i="1" s="1"/>
  <c r="N96" i="1" a="1"/>
  <c r="N96" i="1" s="1"/>
  <c r="O96" i="1" a="1"/>
  <c r="O96" i="1" s="1"/>
  <c r="Q96" i="1" a="1"/>
  <c r="Q96" i="1" s="1"/>
  <c r="R96" i="1" a="1"/>
  <c r="R96" i="1" s="1"/>
  <c r="U96" i="1" a="1"/>
  <c r="U96" i="1" s="1"/>
  <c r="X96" i="1" l="1"/>
  <c r="X95" i="1"/>
  <c r="AE94" i="1"/>
  <c r="AF94" i="1"/>
  <c r="V95" i="1"/>
  <c r="V94" i="1"/>
  <c r="V96" i="1"/>
  <c r="AE96" i="1" l="1"/>
  <c r="AF96" i="1"/>
  <c r="AE95" i="1"/>
  <c r="AF95" i="1"/>
  <c r="AB61" i="1" l="1"/>
  <c r="AC61" i="1"/>
  <c r="AD61" i="1"/>
  <c r="AA41" i="1" l="1"/>
  <c r="C106" i="1" l="1" a="1"/>
  <c r="C106" i="1" s="1"/>
  <c r="B106" i="1" l="1" a="1"/>
  <c r="B106" i="1" s="1"/>
  <c r="D106" i="1" s="1"/>
  <c r="AB62" i="1" l="1"/>
  <c r="AC62" i="1"/>
  <c r="AD62" i="1"/>
  <c r="AB59" i="1"/>
  <c r="AC59" i="1"/>
  <c r="AD59" i="1"/>
  <c r="AB57" i="1" l="1"/>
  <c r="AC57" i="1"/>
  <c r="AD57" i="1"/>
  <c r="AA4" i="1" l="1"/>
  <c r="AA5" i="1"/>
  <c r="AA6" i="1"/>
  <c r="AA7" i="1"/>
  <c r="AA8" i="1"/>
  <c r="AA11" i="1"/>
  <c r="AA12" i="1"/>
  <c r="AA13" i="1"/>
  <c r="AA14" i="1"/>
  <c r="AA15" i="1"/>
  <c r="AA16" i="1"/>
  <c r="AA17" i="1"/>
  <c r="AA18" i="1"/>
  <c r="AA19" i="1"/>
  <c r="AA57" i="1" s="1"/>
  <c r="AA20" i="1"/>
  <c r="AA21" i="1"/>
  <c r="AA22" i="1"/>
  <c r="AA23" i="1"/>
  <c r="AA24" i="1"/>
  <c r="AA25" i="1"/>
  <c r="AA26" i="1"/>
  <c r="AA27" i="1"/>
  <c r="AA28" i="1"/>
  <c r="AA29" i="1"/>
  <c r="AA30" i="1"/>
  <c r="AA31" i="1"/>
  <c r="AA32" i="1"/>
  <c r="AA33" i="1"/>
  <c r="AA34" i="1"/>
  <c r="AA35" i="1"/>
  <c r="AA36" i="1"/>
  <c r="AA37" i="1"/>
  <c r="AA38" i="1"/>
  <c r="AA39" i="1"/>
  <c r="AA40" i="1"/>
  <c r="AA42" i="1"/>
  <c r="AA43" i="1"/>
  <c r="AA44" i="1"/>
  <c r="AA45" i="1"/>
  <c r="AA46" i="1"/>
  <c r="AA47" i="1"/>
  <c r="AA48" i="1"/>
  <c r="AA49" i="1"/>
  <c r="AA50" i="1"/>
  <c r="AA51" i="1"/>
  <c r="AA52" i="1"/>
  <c r="AA53" i="1"/>
  <c r="AA54" i="1"/>
  <c r="AA55" i="1"/>
  <c r="AA56" i="1"/>
  <c r="AA58" i="1"/>
  <c r="AA60" i="1"/>
  <c r="AA63" i="1"/>
  <c r="AA64" i="1"/>
  <c r="AA65" i="1"/>
  <c r="AA66" i="1"/>
  <c r="AA67" i="1"/>
  <c r="AA68" i="1"/>
  <c r="AA69" i="1"/>
  <c r="AA70" i="1"/>
  <c r="AA71" i="1"/>
  <c r="AA72" i="1"/>
  <c r="AA73" i="1"/>
  <c r="AA74" i="1"/>
  <c r="AA75" i="1"/>
  <c r="AA59" i="1" s="1"/>
  <c r="AA76" i="1"/>
  <c r="AA77" i="1"/>
  <c r="AA78" i="1"/>
  <c r="AA61" i="1" s="1"/>
  <c r="AA79" i="1"/>
  <c r="AA80" i="1"/>
  <c r="AA81" i="1"/>
  <c r="AA82" i="1"/>
  <c r="AA83" i="1"/>
  <c r="AA84" i="1"/>
  <c r="AA85" i="1"/>
  <c r="AA86" i="1"/>
  <c r="AA62" i="1" s="1"/>
  <c r="AA87" i="1"/>
  <c r="AA88" i="1"/>
  <c r="AA89" i="1"/>
  <c r="AA90" i="1"/>
  <c r="AA91" i="1"/>
  <c r="AA92" i="1"/>
  <c r="AA93" i="1"/>
  <c r="AA3" i="1"/>
  <c r="AF3" i="1" l="1"/>
  <c r="AE3" i="1"/>
  <c r="AB65" i="1"/>
  <c r="AC65" i="1"/>
  <c r="B105" i="1" l="1" a="1"/>
  <c r="B105" i="1" s="1"/>
  <c r="D105" i="1" s="1"/>
  <c r="C105" i="1" a="1"/>
  <c r="C105" i="1" s="1"/>
  <c r="F111" i="1" l="1" a="1"/>
  <c r="F111" i="1" s="1"/>
  <c r="E111" i="1" a="1"/>
  <c r="E111" i="1" s="1"/>
  <c r="D112" i="1" a="1"/>
  <c r="D112" i="1" s="1"/>
  <c r="D111" i="1" a="1"/>
  <c r="D111" i="1" s="1"/>
  <c r="F109" i="1" a="1"/>
  <c r="F109" i="1" s="1"/>
  <c r="E109" i="1" a="1"/>
  <c r="E109" i="1" s="1"/>
  <c r="D110" i="1" a="1"/>
  <c r="D110" i="1" s="1"/>
  <c r="F108" i="1" a="1"/>
  <c r="F108" i="1" s="1"/>
  <c r="E108" i="1" a="1"/>
  <c r="E108" i="1" s="1"/>
  <c r="D109" i="1" a="1"/>
  <c r="D109" i="1" s="1"/>
  <c r="A4" i="1" l="1" a="1"/>
  <c r="A4" i="1" s="1"/>
  <c r="X4" i="1" l="1"/>
  <c r="A58" i="1" a="1"/>
  <c r="A58" i="1" s="1"/>
  <c r="M46" i="1" a="1"/>
  <c r="M46" i="1" s="1"/>
  <c r="K3" i="1" a="1"/>
  <c r="K3" i="1" s="1"/>
  <c r="X58" i="1" l="1"/>
  <c r="AE4" i="1"/>
  <c r="AF4" i="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3" i="1" a="1"/>
  <c r="E23" i="1" s="1"/>
  <c r="F23" i="1" a="1"/>
  <c r="F23" i="1" s="1"/>
  <c r="G23" i="1" a="1"/>
  <c r="G23" i="1" s="1"/>
  <c r="H23" i="1" a="1"/>
  <c r="H23" i="1" s="1"/>
  <c r="I23" i="1" a="1"/>
  <c r="I23" i="1" s="1"/>
  <c r="J23" i="1" a="1"/>
  <c r="J23" i="1" s="1"/>
  <c r="K23" i="1" a="1"/>
  <c r="K23" i="1" s="1"/>
  <c r="L23" i="1" a="1"/>
  <c r="L23" i="1" s="1"/>
  <c r="M23" i="1" a="1"/>
  <c r="M23" i="1" s="1"/>
  <c r="N23" i="1" a="1"/>
  <c r="N23" i="1" s="1"/>
  <c r="O23" i="1" a="1"/>
  <c r="O23" i="1" s="1"/>
  <c r="P23" i="1" a="1"/>
  <c r="P23" i="1" s="1"/>
  <c r="Q23" i="1" a="1"/>
  <c r="Q23" i="1" s="1"/>
  <c r="R23" i="1" a="1"/>
  <c r="R23" i="1" s="1"/>
  <c r="U23" i="1" a="1"/>
  <c r="U23" i="1" s="1"/>
  <c r="A47" i="1" a="1"/>
  <c r="A47" i="1" s="1"/>
  <c r="D47" i="1" a="1"/>
  <c r="D47" i="1" s="1"/>
  <c r="E47" i="1" a="1"/>
  <c r="E47" i="1" s="1"/>
  <c r="F47" i="1" a="1"/>
  <c r="F47" i="1" s="1"/>
  <c r="G47" i="1" a="1"/>
  <c r="G47" i="1" s="1"/>
  <c r="H47" i="1" a="1"/>
  <c r="H47" i="1" s="1"/>
  <c r="I47" i="1" a="1"/>
  <c r="I47" i="1" s="1"/>
  <c r="J47" i="1" a="1"/>
  <c r="J47" i="1" s="1"/>
  <c r="K47" i="1" a="1"/>
  <c r="K47" i="1" s="1"/>
  <c r="L47" i="1" a="1"/>
  <c r="L47" i="1" s="1"/>
  <c r="M47" i="1" a="1"/>
  <c r="M47" i="1" s="1"/>
  <c r="N47" i="1" a="1"/>
  <c r="N47" i="1" s="1"/>
  <c r="O47" i="1" a="1"/>
  <c r="O47" i="1" s="1"/>
  <c r="P47" i="1" a="1"/>
  <c r="P47" i="1" s="1"/>
  <c r="Q47" i="1" a="1"/>
  <c r="Q47" i="1" s="1"/>
  <c r="R47" i="1" a="1"/>
  <c r="R47" i="1" s="1"/>
  <c r="U47" i="1" a="1"/>
  <c r="U47"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4" i="1" a="1"/>
  <c r="C104" i="1" s="1"/>
  <c r="B104" i="1" a="1"/>
  <c r="B104"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U45" i="1" a="1"/>
  <c r="U45" i="1" s="1"/>
  <c r="R45" i="1" a="1"/>
  <c r="R45" i="1" s="1"/>
  <c r="Q45" i="1" a="1"/>
  <c r="Q45" i="1" s="1"/>
  <c r="P45" i="1" a="1"/>
  <c r="P45" i="1" s="1"/>
  <c r="O45" i="1" a="1"/>
  <c r="O45" i="1" s="1"/>
  <c r="N45" i="1" a="1"/>
  <c r="N45" i="1" s="1"/>
  <c r="M45" i="1" a="1"/>
  <c r="M45" i="1" s="1"/>
  <c r="L45" i="1" a="1"/>
  <c r="L45" i="1" s="1"/>
  <c r="K45" i="1" a="1"/>
  <c r="K45" i="1" s="1"/>
  <c r="J45" i="1" a="1"/>
  <c r="J45" i="1" s="1"/>
  <c r="I45" i="1" a="1"/>
  <c r="I45" i="1" s="1"/>
  <c r="H45" i="1" a="1"/>
  <c r="H45" i="1" s="1"/>
  <c r="G45" i="1" a="1"/>
  <c r="G45" i="1" s="1"/>
  <c r="F45" i="1" a="1"/>
  <c r="F45" i="1" s="1"/>
  <c r="E45" i="1" a="1"/>
  <c r="E45" i="1" s="1"/>
  <c r="D45" i="1" a="1"/>
  <c r="D45" i="1" s="1"/>
  <c r="A45" i="1" a="1"/>
  <c r="A45" i="1" s="1"/>
  <c r="U44" i="1" a="1"/>
  <c r="U44" i="1" s="1"/>
  <c r="R44" i="1" a="1"/>
  <c r="R44" i="1" s="1"/>
  <c r="Q44" i="1" a="1"/>
  <c r="Q44" i="1" s="1"/>
  <c r="P44" i="1" a="1"/>
  <c r="P44" i="1" s="1"/>
  <c r="O44" i="1" a="1"/>
  <c r="O44" i="1" s="1"/>
  <c r="N44" i="1" a="1"/>
  <c r="N44" i="1" s="1"/>
  <c r="M44" i="1" a="1"/>
  <c r="M44" i="1" s="1"/>
  <c r="L44" i="1" a="1"/>
  <c r="L44" i="1" s="1"/>
  <c r="K44" i="1" a="1"/>
  <c r="K44" i="1" s="1"/>
  <c r="J44" i="1" a="1"/>
  <c r="J44" i="1" s="1"/>
  <c r="I44" i="1" a="1"/>
  <c r="I44" i="1" s="1"/>
  <c r="H44" i="1" a="1"/>
  <c r="H44" i="1" s="1"/>
  <c r="G44" i="1" a="1"/>
  <c r="G44" i="1" s="1"/>
  <c r="F44" i="1" a="1"/>
  <c r="F44" i="1" s="1"/>
  <c r="E44" i="1" a="1"/>
  <c r="E44" i="1" s="1"/>
  <c r="D44" i="1" a="1"/>
  <c r="D44" i="1" s="1"/>
  <c r="A44" i="1" a="1"/>
  <c r="A44" i="1" s="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6" i="1" a="1"/>
  <c r="U46" i="1" s="1"/>
  <c r="R46" i="1" a="1"/>
  <c r="R46" i="1" s="1"/>
  <c r="Q46" i="1" a="1"/>
  <c r="Q46" i="1" s="1"/>
  <c r="P46" i="1" a="1"/>
  <c r="P46" i="1" s="1"/>
  <c r="O46" i="1" a="1"/>
  <c r="O46" i="1" s="1"/>
  <c r="N46" i="1" a="1"/>
  <c r="N46" i="1" s="1"/>
  <c r="L46" i="1" a="1"/>
  <c r="L46" i="1" s="1"/>
  <c r="K46" i="1" a="1"/>
  <c r="K46" i="1" s="1"/>
  <c r="J46" i="1" a="1"/>
  <c r="J46" i="1" s="1"/>
  <c r="I46" i="1" a="1"/>
  <c r="I46" i="1" s="1"/>
  <c r="H46" i="1" a="1"/>
  <c r="H46" i="1" s="1"/>
  <c r="G46" i="1" a="1"/>
  <c r="G46" i="1" s="1"/>
  <c r="F46" i="1" a="1"/>
  <c r="F46" i="1" s="1"/>
  <c r="E46" i="1" a="1"/>
  <c r="E46" i="1" s="1"/>
  <c r="D46" i="1" a="1"/>
  <c r="D46" i="1" s="1"/>
  <c r="A46" i="1" a="1"/>
  <c r="A46"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D23" i="1" a="1"/>
  <c r="D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21" i="1" a="1"/>
  <c r="U21" i="1" s="1"/>
  <c r="R21" i="1" a="1"/>
  <c r="R21" i="1" s="1"/>
  <c r="Q21" i="1" a="1"/>
  <c r="Q21" i="1" s="1"/>
  <c r="P21" i="1" a="1"/>
  <c r="P21" i="1" s="1"/>
  <c r="O21" i="1" a="1"/>
  <c r="O21" i="1" s="1"/>
  <c r="N21" i="1" a="1"/>
  <c r="N21" i="1" s="1"/>
  <c r="M21" i="1" a="1"/>
  <c r="M21" i="1" s="1"/>
  <c r="L21" i="1" a="1"/>
  <c r="L21" i="1" s="1"/>
  <c r="K21" i="1" a="1"/>
  <c r="K21" i="1" s="1"/>
  <c r="J21" i="1" a="1"/>
  <c r="J21" i="1" s="1"/>
  <c r="I21" i="1" a="1"/>
  <c r="I21" i="1" s="1"/>
  <c r="H21" i="1" a="1"/>
  <c r="H21" i="1" s="1"/>
  <c r="G21" i="1" a="1"/>
  <c r="G21" i="1" s="1"/>
  <c r="F21" i="1" a="1"/>
  <c r="F21" i="1" s="1"/>
  <c r="E21" i="1" a="1"/>
  <c r="E21" i="1" s="1"/>
  <c r="D21" i="1" a="1"/>
  <c r="D21" i="1" s="1"/>
  <c r="A21" i="1" a="1"/>
  <c r="A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F1" i="1"/>
  <c r="AE58" i="1" l="1"/>
  <c r="AF58" i="1"/>
  <c r="X38" i="1"/>
  <c r="X42" i="1"/>
  <c r="X18" i="1"/>
  <c r="X31" i="1"/>
  <c r="X24" i="1"/>
  <c r="X37" i="1"/>
  <c r="X26" i="1"/>
  <c r="X14" i="1"/>
  <c r="X13" i="1"/>
  <c r="X21" i="1"/>
  <c r="X19" i="1"/>
  <c r="X29" i="1"/>
  <c r="X16" i="1"/>
  <c r="X25" i="1"/>
  <c r="X11" i="1"/>
  <c r="X6" i="1"/>
  <c r="X12" i="1"/>
  <c r="X17" i="1"/>
  <c r="X7" i="1"/>
  <c r="X33" i="1"/>
  <c r="X50" i="1"/>
  <c r="X41" i="1"/>
  <c r="X45" i="1"/>
  <c r="X64" i="1"/>
  <c r="X75" i="1"/>
  <c r="X90" i="1"/>
  <c r="X86" i="1"/>
  <c r="X34" i="1"/>
  <c r="X51" i="1"/>
  <c r="X71" i="1"/>
  <c r="X77" i="1"/>
  <c r="X27" i="1"/>
  <c r="X39" i="1"/>
  <c r="X43" i="1"/>
  <c r="X56" i="1"/>
  <c r="X61" i="1"/>
  <c r="X85" i="1"/>
  <c r="X87" i="1"/>
  <c r="X32" i="1"/>
  <c r="X49" i="1"/>
  <c r="X67" i="1"/>
  <c r="X74" i="1"/>
  <c r="X93" i="1"/>
  <c r="X8" i="1"/>
  <c r="X54" i="1"/>
  <c r="X59" i="1"/>
  <c r="X80" i="1"/>
  <c r="X83" i="1"/>
  <c r="X30" i="1"/>
  <c r="X46" i="1"/>
  <c r="X62" i="1"/>
  <c r="X72" i="1"/>
  <c r="X78" i="1"/>
  <c r="X82" i="1"/>
  <c r="X47" i="1"/>
  <c r="X22" i="1"/>
  <c r="X15" i="1"/>
  <c r="X35" i="1"/>
  <c r="X52" i="1"/>
  <c r="X73" i="1"/>
  <c r="X79" i="1"/>
  <c r="X20" i="1"/>
  <c r="X28" i="1"/>
  <c r="X40" i="1"/>
  <c r="X44" i="1"/>
  <c r="X57" i="1"/>
  <c r="X65" i="1"/>
  <c r="X68" i="1"/>
  <c r="X88" i="1"/>
  <c r="X66" i="1"/>
  <c r="X91" i="1"/>
  <c r="X36" i="1"/>
  <c r="X63" i="1"/>
  <c r="X89" i="1"/>
  <c r="X84" i="1"/>
  <c r="X48" i="1"/>
  <c r="X69" i="1"/>
  <c r="X76" i="1"/>
  <c r="X92" i="1"/>
  <c r="X53" i="1"/>
  <c r="X70" i="1"/>
  <c r="X81" i="1"/>
  <c r="X5" i="1"/>
  <c r="D102" i="1"/>
  <c r="D103" i="1"/>
  <c r="B39" i="1" s="1"/>
  <c r="D104" i="1"/>
  <c r="D99" i="1"/>
  <c r="B44" i="1" s="1"/>
  <c r="D100" i="1"/>
  <c r="B50" i="1" s="1"/>
  <c r="D101" i="1"/>
  <c r="V79" i="1"/>
  <c r="V12" i="1"/>
  <c r="V72" i="1"/>
  <c r="V78" i="1"/>
  <c r="V73" i="1"/>
  <c r="V24" i="1"/>
  <c r="V37" i="1"/>
  <c r="V93" i="1"/>
  <c r="V82" i="1"/>
  <c r="V28" i="1"/>
  <c r="V50" i="1"/>
  <c r="V66" i="1"/>
  <c r="V91" i="1"/>
  <c r="V48" i="1"/>
  <c r="V7" i="1"/>
  <c r="V22" i="1"/>
  <c r="V34" i="1"/>
  <c r="V56" i="1"/>
  <c r="V61" i="1"/>
  <c r="V85" i="1"/>
  <c r="V13" i="1"/>
  <c r="V25" i="1"/>
  <c r="V8" i="1"/>
  <c r="V46" i="1"/>
  <c r="V16" i="1"/>
  <c r="V40" i="1"/>
  <c r="V44" i="1"/>
  <c r="V14" i="1"/>
  <c r="V38" i="1"/>
  <c r="V42" i="1"/>
  <c r="V69" i="1"/>
  <c r="V64" i="1"/>
  <c r="V75" i="1"/>
  <c r="V90" i="1"/>
  <c r="V17" i="1"/>
  <c r="V29" i="1"/>
  <c r="V41" i="1"/>
  <c r="V45" i="1"/>
  <c r="V51" i="1"/>
  <c r="V87" i="1"/>
  <c r="V5" i="1"/>
  <c r="V20" i="1"/>
  <c r="V32" i="1"/>
  <c r="V54" i="1"/>
  <c r="V59" i="1"/>
  <c r="V80" i="1"/>
  <c r="V83" i="1"/>
  <c r="V52" i="1"/>
  <c r="V55" i="1"/>
  <c r="V86" i="1"/>
  <c r="V4" i="1"/>
  <c r="V53" i="1"/>
  <c r="V70" i="1"/>
  <c r="V47" i="1"/>
  <c r="V71" i="1"/>
  <c r="V77" i="1"/>
  <c r="V15" i="1"/>
  <c r="V27" i="1"/>
  <c r="V39" i="1"/>
  <c r="V43" i="1"/>
  <c r="V49" i="1"/>
  <c r="V67" i="1"/>
  <c r="V74" i="1"/>
  <c r="V23" i="1"/>
  <c r="V3" i="1"/>
  <c r="V18" i="1"/>
  <c r="V30" i="1"/>
  <c r="V11" i="1"/>
  <c r="V35" i="1"/>
  <c r="V62" i="1"/>
  <c r="V57" i="1"/>
  <c r="V65" i="1"/>
  <c r="V68" i="1"/>
  <c r="V88" i="1"/>
  <c r="V6" i="1"/>
  <c r="V21" i="1"/>
  <c r="V33" i="1"/>
  <c r="V36" i="1"/>
  <c r="V63" i="1"/>
  <c r="V89" i="1"/>
  <c r="V84" i="1"/>
  <c r="V26" i="1"/>
  <c r="V76" i="1"/>
  <c r="V92" i="1"/>
  <c r="V19" i="1"/>
  <c r="V31" i="1"/>
  <c r="V58" i="1"/>
  <c r="V81" i="1"/>
  <c r="U60" i="1" a="1"/>
  <c r="U60" i="1" s="1"/>
  <c r="A23" i="1" a="1"/>
  <c r="A23"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E42" i="1" l="1"/>
  <c r="AF29" i="1"/>
  <c r="AF35" i="1"/>
  <c r="AF13" i="1"/>
  <c r="AF74" i="1"/>
  <c r="AF71" i="1"/>
  <c r="AE37" i="1"/>
  <c r="AF19" i="1"/>
  <c r="AE16" i="1"/>
  <c r="AE19" i="1"/>
  <c r="AE57" i="1" s="1"/>
  <c r="AF56" i="1"/>
  <c r="AE41" i="1"/>
  <c r="AF21" i="1"/>
  <c r="AE85" i="1"/>
  <c r="AE75" i="1"/>
  <c r="AF16" i="1"/>
  <c r="AF85" i="1"/>
  <c r="AE56" i="1"/>
  <c r="AF18" i="1"/>
  <c r="AF43" i="1"/>
  <c r="AF45" i="1"/>
  <c r="AF80" i="1"/>
  <c r="AE59" i="1"/>
  <c r="AE21" i="1"/>
  <c r="AF6" i="1"/>
  <c r="AE86" i="1"/>
  <c r="AE62" i="1"/>
  <c r="AF86" i="1"/>
  <c r="AE66" i="1"/>
  <c r="AE18" i="1"/>
  <c r="AF62" i="1"/>
  <c r="AE34" i="1"/>
  <c r="AF59" i="1"/>
  <c r="AF30" i="1"/>
  <c r="AF38" i="1"/>
  <c r="AF75" i="1"/>
  <c r="AF79" i="1"/>
  <c r="AE79" i="1"/>
  <c r="AE67" i="1"/>
  <c r="AE12" i="1"/>
  <c r="AF61" i="1"/>
  <c r="AF41" i="1"/>
  <c r="AF51" i="1"/>
  <c r="AE24" i="1"/>
  <c r="AF67" i="1"/>
  <c r="AE77" i="1"/>
  <c r="AE29" i="1"/>
  <c r="AE38" i="1"/>
  <c r="AF12" i="1"/>
  <c r="AE51" i="1"/>
  <c r="AF24" i="1"/>
  <c r="AF68" i="1"/>
  <c r="AE80" i="1"/>
  <c r="AE45" i="1"/>
  <c r="AE31" i="1"/>
  <c r="AF42" i="1"/>
  <c r="AE78" i="1"/>
  <c r="AE25" i="1"/>
  <c r="AE90" i="1"/>
  <c r="AF11" i="1"/>
  <c r="AE26" i="1"/>
  <c r="AF78" i="1"/>
  <c r="AF93" i="1"/>
  <c r="AE43" i="1"/>
  <c r="AE81" i="1"/>
  <c r="AF26" i="1"/>
  <c r="AE72" i="1"/>
  <c r="AF46" i="1"/>
  <c r="AF77" i="1"/>
  <c r="AF7" i="1"/>
  <c r="AF87" i="1"/>
  <c r="AF44" i="1"/>
  <c r="AF82" i="1"/>
  <c r="AE74" i="1"/>
  <c r="AF37" i="1"/>
  <c r="AF72" i="1"/>
  <c r="AF49" i="1"/>
  <c r="AF34" i="1"/>
  <c r="AF20" i="1"/>
  <c r="AE8" i="1"/>
  <c r="AF40" i="1"/>
  <c r="AF84" i="1"/>
  <c r="AF28" i="1"/>
  <c r="AE32" i="1"/>
  <c r="AF48" i="1"/>
  <c r="AF8" i="1"/>
  <c r="AF27" i="1"/>
  <c r="AF25" i="1"/>
  <c r="AE87" i="1"/>
  <c r="AF90" i="1"/>
  <c r="AF31" i="1"/>
  <c r="AE14" i="1"/>
  <c r="AE27" i="1"/>
  <c r="AF17" i="1"/>
  <c r="AF14" i="1"/>
  <c r="AF73" i="1"/>
  <c r="AF52" i="1"/>
  <c r="AE89" i="1"/>
  <c r="AE49" i="1"/>
  <c r="AE22" i="1"/>
  <c r="AE36" i="1"/>
  <c r="AF22" i="1"/>
  <c r="AE17" i="1"/>
  <c r="AE6" i="1"/>
  <c r="AE48" i="1"/>
  <c r="AF33" i="1"/>
  <c r="AF47" i="1"/>
  <c r="AF64" i="1"/>
  <c r="AE33" i="1"/>
  <c r="AE35" i="1"/>
  <c r="AE82" i="1"/>
  <c r="AE7" i="1"/>
  <c r="AE93" i="1"/>
  <c r="AE61" i="1"/>
  <c r="AE64" i="1"/>
  <c r="AE11" i="1"/>
  <c r="AF89" i="1"/>
  <c r="AE70" i="1"/>
  <c r="AF88" i="1"/>
  <c r="AE15" i="1"/>
  <c r="AE54" i="1"/>
  <c r="AE39" i="1"/>
  <c r="AF50" i="1"/>
  <c r="AE13" i="1"/>
  <c r="AF53" i="1"/>
  <c r="AE68" i="1"/>
  <c r="AF65" i="1"/>
  <c r="AE71" i="1"/>
  <c r="AF32" i="1"/>
  <c r="AE50" i="1"/>
  <c r="AE52" i="1"/>
  <c r="AF54" i="1"/>
  <c r="AE44" i="1"/>
  <c r="AE40" i="1"/>
  <c r="AE28" i="1"/>
  <c r="AE47" i="1"/>
  <c r="AE30" i="1"/>
  <c r="AE88" i="1"/>
  <c r="AE20" i="1"/>
  <c r="AF15" i="1"/>
  <c r="AE76" i="1"/>
  <c r="AF5" i="1"/>
  <c r="AE83" i="1"/>
  <c r="AF39" i="1"/>
  <c r="AF66" i="1"/>
  <c r="AF57" i="1"/>
  <c r="AE73" i="1"/>
  <c r="X23" i="1"/>
  <c r="AE84" i="1"/>
  <c r="AE92" i="1"/>
  <c r="AE63" i="1"/>
  <c r="AE91" i="1"/>
  <c r="AF81" i="1"/>
  <c r="AF83" i="1"/>
  <c r="AF70" i="1"/>
  <c r="AF92" i="1"/>
  <c r="AF63" i="1"/>
  <c r="AF91" i="1"/>
  <c r="AE5" i="1"/>
  <c r="AE53" i="1"/>
  <c r="AF76" i="1"/>
  <c r="AF36" i="1"/>
  <c r="AE65" i="1"/>
  <c r="X60" i="1"/>
  <c r="AE69" i="1"/>
  <c r="AE46" i="1"/>
  <c r="AF69" i="1"/>
  <c r="Q97" i="1"/>
  <c r="P97" i="1"/>
  <c r="L97" i="1"/>
  <c r="M97" i="1"/>
  <c r="A1" i="1"/>
  <c r="B83" i="1"/>
  <c r="B73" i="1"/>
  <c r="B67" i="1"/>
  <c r="B91" i="1"/>
  <c r="B54" i="1"/>
  <c r="B46" i="1"/>
  <c r="B36" i="1"/>
  <c r="B3" i="1"/>
  <c r="B28" i="1"/>
  <c r="B85" i="1"/>
  <c r="B34" i="1"/>
  <c r="B56" i="1"/>
  <c r="B66" i="1"/>
  <c r="B26" i="1"/>
  <c r="B77" i="1"/>
  <c r="B25" i="1"/>
  <c r="B6" i="1"/>
  <c r="B13" i="1"/>
  <c r="B89" i="1"/>
  <c r="B41" i="1"/>
  <c r="B18" i="1"/>
  <c r="B92" i="1"/>
  <c r="B88" i="1"/>
  <c r="B23" i="1"/>
  <c r="B20" i="1"/>
  <c r="B5" i="1"/>
  <c r="B27" i="1"/>
  <c r="B72" i="1"/>
  <c r="B76" i="1"/>
  <c r="B17" i="1"/>
  <c r="B53" i="1"/>
  <c r="B12" i="1"/>
  <c r="B87" i="1"/>
  <c r="B4" i="1"/>
  <c r="B35" i="1"/>
  <c r="B71" i="1"/>
  <c r="B21" i="1"/>
  <c r="B60" i="1"/>
  <c r="B24" i="1"/>
  <c r="B45" i="1"/>
  <c r="B81" i="1"/>
  <c r="B30" i="1"/>
  <c r="B74" i="1"/>
  <c r="B32" i="1"/>
  <c r="B52" i="1"/>
  <c r="B90" i="1"/>
  <c r="B38" i="1"/>
  <c r="B84" i="1"/>
  <c r="B40" i="1"/>
  <c r="B16" i="1"/>
  <c r="B70" i="1"/>
  <c r="B93" i="1"/>
  <c r="B11" i="1"/>
  <c r="B49" i="1"/>
  <c r="B33" i="1"/>
  <c r="B82" i="1"/>
  <c r="B80" i="1"/>
  <c r="B15" i="1"/>
  <c r="B47" i="1"/>
  <c r="B79" i="1"/>
  <c r="B14" i="1"/>
  <c r="B37" i="1"/>
  <c r="B69" i="1"/>
  <c r="B31" i="1"/>
  <c r="B29" i="1"/>
  <c r="B51" i="1"/>
  <c r="V60" i="1"/>
  <c r="A55" i="1" a="1"/>
  <c r="A55" i="1" s="1"/>
  <c r="AF23" i="1" l="1"/>
  <c r="AF60" i="1"/>
  <c r="AE23" i="1"/>
  <c r="AE60" i="1"/>
  <c r="X55" i="1"/>
  <c r="AE55" i="1" l="1"/>
  <c r="AF5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3">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6"/>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6"/>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4"/>
        </ext>
      </extLst>
    </bk>
    <bk>
      <extLst>
        <ext uri="{3e2802c4-a4d2-4d8b-9148-e3be6c30e623}">
          <xlrd:rvb i="157"/>
        </ext>
      </extLst>
    </bk>
    <bk>
      <extLst>
        <ext uri="{3e2802c4-a4d2-4d8b-9148-e3be6c30e623}">
          <xlrd:rvb i="160"/>
        </ext>
      </extLst>
    </bk>
    <bk>
      <extLst>
        <ext uri="{3e2802c4-a4d2-4d8b-9148-e3be6c30e623}">
          <xlrd:rvb i="163"/>
        </ext>
      </extLst>
    </bk>
    <bk>
      <extLst>
        <ext uri="{3e2802c4-a4d2-4d8b-9148-e3be6c30e623}">
          <xlrd:rvb i="166"/>
        </ext>
      </extLst>
    </bk>
    <bk>
      <extLst>
        <ext uri="{3e2802c4-a4d2-4d8b-9148-e3be6c30e623}">
          <xlrd:rvb i="168"/>
        </ext>
      </extLst>
    </bk>
    <bk>
      <extLst>
        <ext uri="{3e2802c4-a4d2-4d8b-9148-e3be6c30e623}">
          <xlrd:rvb i="171"/>
        </ext>
      </extLst>
    </bk>
    <bk>
      <extLst>
        <ext uri="{3e2802c4-a4d2-4d8b-9148-e3be6c30e623}">
          <xlrd:rvb i="174"/>
        </ext>
      </extLst>
    </bk>
    <bk>
      <extLst>
        <ext uri="{3e2802c4-a4d2-4d8b-9148-e3be6c30e623}">
          <xlrd:rvb i="177"/>
        </ext>
      </extLst>
    </bk>
    <bk>
      <extLst>
        <ext uri="{3e2802c4-a4d2-4d8b-9148-e3be6c30e623}">
          <xlrd:rvb i="180"/>
        </ext>
      </extLst>
    </bk>
    <bk>
      <extLst>
        <ext uri="{3e2802c4-a4d2-4d8b-9148-e3be6c30e623}">
          <xlrd:rvb i="183"/>
        </ext>
      </extLst>
    </bk>
    <bk>
      <extLst>
        <ext uri="{3e2802c4-a4d2-4d8b-9148-e3be6c30e623}">
          <xlrd:rvb i="189"/>
        </ext>
      </extLst>
    </bk>
    <bk>
      <extLst>
        <ext uri="{3e2802c4-a4d2-4d8b-9148-e3be6c30e623}">
          <xlrd:rvb i="192"/>
        </ext>
      </extLst>
    </bk>
    <bk>
      <extLst>
        <ext uri="{3e2802c4-a4d2-4d8b-9148-e3be6c30e623}">
          <xlrd:rvb i="195"/>
        </ext>
      </extLst>
    </bk>
    <bk>
      <extLst>
        <ext uri="{3e2802c4-a4d2-4d8b-9148-e3be6c30e623}">
          <xlrd:rvb i="198"/>
        </ext>
      </extLst>
    </bk>
    <bk>
      <extLst>
        <ext uri="{3e2802c4-a4d2-4d8b-9148-e3be6c30e623}">
          <xlrd:rvb i="201"/>
        </ext>
      </extLst>
    </bk>
    <bk>
      <extLst>
        <ext uri="{3e2802c4-a4d2-4d8b-9148-e3be6c30e623}">
          <xlrd:rvb i="204"/>
        </ext>
      </extLst>
    </bk>
    <bk>
      <extLst>
        <ext uri="{3e2802c4-a4d2-4d8b-9148-e3be6c30e623}">
          <xlrd:rvb i="207"/>
        </ext>
      </extLst>
    </bk>
    <bk>
      <extLst>
        <ext uri="{3e2802c4-a4d2-4d8b-9148-e3be6c30e623}">
          <xlrd:rvb i="213"/>
        </ext>
      </extLst>
    </bk>
    <bk>
      <extLst>
        <ext uri="{3e2802c4-a4d2-4d8b-9148-e3be6c30e623}">
          <xlrd:rvb i="216"/>
        </ext>
      </extLst>
    </bk>
    <bk>
      <extLst>
        <ext uri="{3e2802c4-a4d2-4d8b-9148-e3be6c30e623}">
          <xlrd:rvb i="219"/>
        </ext>
      </extLst>
    </bk>
    <bk>
      <extLst>
        <ext uri="{3e2802c4-a4d2-4d8b-9148-e3be6c30e623}">
          <xlrd:rvb i="222"/>
        </ext>
      </extLst>
    </bk>
    <bk>
      <extLst>
        <ext uri="{3e2802c4-a4d2-4d8b-9148-e3be6c30e623}">
          <xlrd:rvb i="225"/>
        </ext>
      </extLst>
    </bk>
    <bk>
      <extLst>
        <ext uri="{3e2802c4-a4d2-4d8b-9148-e3be6c30e623}">
          <xlrd:rvb i="228"/>
        </ext>
      </extLst>
    </bk>
    <bk>
      <extLst>
        <ext uri="{3e2802c4-a4d2-4d8b-9148-e3be6c30e623}">
          <xlrd:rvb i="231"/>
        </ext>
      </extLst>
    </bk>
    <bk>
      <extLst>
        <ext uri="{3e2802c4-a4d2-4d8b-9148-e3be6c30e623}">
          <xlrd:rvb i="234"/>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1"/>
        </ext>
      </extLst>
    </bk>
    <bk>
      <extLst>
        <ext uri="{3e2802c4-a4d2-4d8b-9148-e3be6c30e623}">
          <xlrd:rvb i="243"/>
        </ext>
      </extLst>
    </bk>
    <bk>
      <extLst>
        <ext uri="{3e2802c4-a4d2-4d8b-9148-e3be6c30e623}">
          <xlrd:rvb i="245"/>
        </ext>
      </extLst>
    </bk>
    <bk>
      <extLst>
        <ext uri="{3e2802c4-a4d2-4d8b-9148-e3be6c30e623}">
          <xlrd:rvb i="247"/>
        </ext>
      </extLst>
    </bk>
    <bk>
      <extLst>
        <ext uri="{3e2802c4-a4d2-4d8b-9148-e3be6c30e623}">
          <xlrd:rvb i="249"/>
        </ext>
      </extLst>
    </bk>
    <bk>
      <extLst>
        <ext uri="{3e2802c4-a4d2-4d8b-9148-e3be6c30e623}">
          <xlrd:rvb i="251"/>
        </ext>
      </extLst>
    </bk>
    <bk>
      <extLst>
        <ext uri="{3e2802c4-a4d2-4d8b-9148-e3be6c30e623}">
          <xlrd:rvb i="253"/>
        </ext>
      </extLst>
    </bk>
    <bk>
      <extLst>
        <ext uri="{3e2802c4-a4d2-4d8b-9148-e3be6c30e623}">
          <xlrd:rvb i="255"/>
        </ext>
      </extLst>
    </bk>
    <bk>
      <extLst>
        <ext uri="{3e2802c4-a4d2-4d8b-9148-e3be6c30e623}">
          <xlrd:rvb i="258"/>
        </ext>
      </extLst>
    </bk>
    <bk>
      <extLst>
        <ext uri="{3e2802c4-a4d2-4d8b-9148-e3be6c30e623}">
          <xlrd:rvb i="261"/>
        </ext>
      </extLst>
    </bk>
    <bk>
      <extLst>
        <ext uri="{3e2802c4-a4d2-4d8b-9148-e3be6c30e623}">
          <xlrd:rvb i="262"/>
        </ext>
      </extLst>
    </bk>
    <bk>
      <extLst>
        <ext uri="{3e2802c4-a4d2-4d8b-9148-e3be6c30e623}">
          <xlrd:rvb i="265"/>
        </ext>
      </extLst>
    </bk>
    <bk>
      <extLst>
        <ext uri="{3e2802c4-a4d2-4d8b-9148-e3be6c30e623}">
          <xlrd:rvb i="267"/>
        </ext>
      </extLst>
    </bk>
    <bk>
      <extLst>
        <ext uri="{3e2802c4-a4d2-4d8b-9148-e3be6c30e623}">
          <xlrd:rvb i="270"/>
        </ext>
      </extLst>
    </bk>
    <bk>
      <extLst>
        <ext uri="{3e2802c4-a4d2-4d8b-9148-e3be6c30e623}">
          <xlrd:rvb i="273"/>
        </ext>
      </extLst>
    </bk>
    <bk>
      <extLst>
        <ext uri="{3e2802c4-a4d2-4d8b-9148-e3be6c30e623}">
          <xlrd:rvb i="276"/>
        </ext>
      </extLst>
    </bk>
    <bk>
      <extLst>
        <ext uri="{3e2802c4-a4d2-4d8b-9148-e3be6c30e623}">
          <xlrd:rvb i="279"/>
        </ext>
      </extLst>
    </bk>
  </futureMetadata>
  <cellMetadata count="1">
    <bk>
      <rc t="1" v="0"/>
    </bk>
  </cellMetadata>
  <valueMetadata count="9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valueMetadata>
</metadata>
</file>

<file path=xl/sharedStrings.xml><?xml version="1.0" encoding="utf-8"?>
<sst xmlns="http://schemas.openxmlformats.org/spreadsheetml/2006/main" count="183" uniqueCount="75">
  <si>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</si>
  <si>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</si>
  <si>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</si>
  <si>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</si>
  <si>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</si>
  <si>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</si>
  <si>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</si>
  <si>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</si>
  <si>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</si>
  <si>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</si>
  <si>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</si>
  <si>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</si>
  <si>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</si>
  <si>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</si>
  <si>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</si>
  <si>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</si>
  <si>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</si>
  <si>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</si>
  <si>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</si>
  <si>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</si>
  <si>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</si>
  <si>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</si>
  <si>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</si>
  <si>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</si>
  <si>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</si>
  <si>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</si>
  <si>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</si>
  <si>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</si>
  <si>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</si>
  <si>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</si>
  <si>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</si>
  <si>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</si>
  <si>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1/RT</t>
  </si>
  <si>
    <t>1YT</t>
  </si>
  <si>
    <t>Ddate</t>
  </si>
  <si>
    <t>RepDiv</t>
  </si>
  <si>
    <t>ExchR</t>
  </si>
  <si>
    <t>Column1</t>
  </si>
  <si>
    <t>V/VA</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</si>
  <si>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</si>
  <si>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</si>
  <si>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</si>
  <si>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</si>
  <si>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</si>
  <si>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</si>
  <si>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</si>
  <si>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</si>
  <si>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</si>
  <si>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</si>
  <si>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</si>
  <si>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</si>
  <si>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</si>
  <si>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</si>
  <si>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</si>
  <si>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</si>
  <si>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</si>
  <si>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</si>
  <si>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</si>
  <si>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</si>
  <si>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</si>
  <si>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</si>
  <si>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</si>
  <si>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</si>
  <si>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</si>
  <si>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</si>
  <si>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</si>
  <si>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</si>
  <si>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</si>
  <si>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</si>
  <si>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</si>
  <si>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</si>
  <si>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</si>
  <si>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</si>
  <si>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</si>
  <si>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75.81476/55.04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</si>
</sst>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0.0%;[Red]\-0.0%"/>
  </numFmts>
  <fonts count="2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b/>
      <sz val="12"/>
      <color rgb="FF000000"/>
      <name val="Calibri"/>
      <family val="2"/>
    </font>
  </fonts>
  <fills count="15">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FFC000"/>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thin">
        <color rgb="FF8EA9DB"/>
      </right>
      <top style="thin">
        <color rgb="FF8EA9DB"/>
      </top>
      <bottom style="thin">
        <color rgb="FF8EA9DB"/>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cellStyleXfs>
  <cellXfs count="114">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0" borderId="0" xfId="0" applyNumberFormat="1" applyFont="1" applyFill="1"/>
    <xf numFmtId="165" fontId="16" fillId="10" borderId="0" xfId="0" applyNumberFormat="1" applyFont="1" applyFill="1"/>
    <xf numFmtId="165" fontId="14" fillId="11" borderId="0" xfId="0" applyNumberFormat="1" applyFont="1" applyFill="1"/>
    <xf numFmtId="165" fontId="16" fillId="11" borderId="0" xfId="0" applyNumberFormat="1" applyFont="1" applyFill="1"/>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9" fontId="0" fillId="11"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9"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22" fontId="0" fillId="0" borderId="0" xfId="0" applyNumberFormat="1" applyAlignment="1">
      <alignment horizontal="center"/>
    </xf>
    <xf numFmtId="9" fontId="12" fillId="0" borderId="0" xfId="2" applyFont="1" applyAlignment="1">
      <alignment horizontal="left"/>
    </xf>
    <xf numFmtId="9" fontId="15" fillId="0" borderId="0" xfId="2" applyFont="1"/>
    <xf numFmtId="9" fontId="0" fillId="11" borderId="0" xfId="2" applyFont="1" applyFill="1"/>
    <xf numFmtId="166" fontId="0" fillId="0" borderId="0" xfId="0" applyNumberFormat="1" applyAlignment="1">
      <alignment horizontal="center"/>
    </xf>
    <xf numFmtId="0" fontId="26"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78" fontId="12" fillId="0" borderId="0" xfId="1" applyNumberFormat="1" applyFont="1" applyFill="1" applyAlignment="1">
      <alignment horizontal="center"/>
    </xf>
    <xf numFmtId="177" fontId="21" fillId="12" borderId="2" xfId="0" applyNumberFormat="1" applyFont="1" applyFill="1" applyBorder="1"/>
    <xf numFmtId="10" fontId="25" fillId="12" borderId="8" xfId="2" applyNumberFormat="1" applyFont="1" applyFill="1" applyBorder="1"/>
    <xf numFmtId="10" fontId="25" fillId="12" borderId="0" xfId="2" applyNumberFormat="1" applyFont="1" applyFill="1" applyBorder="1"/>
    <xf numFmtId="10" fontId="0" fillId="13" borderId="0" xfId="0" applyNumberFormat="1" applyFill="1"/>
    <xf numFmtId="178" fontId="23" fillId="13" borderId="0" xfId="1" applyNumberFormat="1" applyFont="1" applyFill="1"/>
    <xf numFmtId="178" fontId="0" fillId="0" borderId="0" xfId="0" applyNumberFormat="1"/>
    <xf numFmtId="9" fontId="0" fillId="14" borderId="0" xfId="2" applyFont="1" applyFill="1"/>
    <xf numFmtId="43" fontId="23" fillId="8" borderId="0" xfId="1" applyFont="1" applyFill="1"/>
    <xf numFmtId="177" fontId="21" fillId="13" borderId="2" xfId="0" applyNumberFormat="1" applyFont="1" applyFill="1" applyBorder="1"/>
    <xf numFmtId="177" fontId="25" fillId="12" borderId="2" xfId="0" applyNumberFormat="1" applyFont="1" applyFill="1" applyBorder="1"/>
    <xf numFmtId="10" fontId="25" fillId="13" borderId="8" xfId="2" applyNumberFormat="1" applyFont="1" applyFill="1" applyBorder="1"/>
    <xf numFmtId="10" fontId="23" fillId="8" borderId="0" xfId="0" applyNumberFormat="1" applyFont="1" applyFill="1"/>
    <xf numFmtId="49" fontId="0" fillId="0" borderId="0" xfId="0" applyNumberFormat="1"/>
  </cellXfs>
  <cellStyles count="6">
    <cellStyle name="Accent1" xfId="5" builtinId="29"/>
    <cellStyle name="Bad" xfId="3" builtinId="27"/>
    <cellStyle name="Comma" xfId="1" builtinId="3"/>
    <cellStyle name="Input" xfId="4" builtinId="20"/>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78" formatCode="0.0%;[Red]\-0.0%"/>
      <fill>
        <patternFill patternType="solid">
          <fgColor indexed="64"/>
          <bgColor theme="4" tint="0.79998168889431442"/>
        </patternFill>
      </fill>
    </dxf>
    <dxf>
      <numFmt numFmtId="178" formatCode="0.0%;[Red]\-0.0%"/>
    </dxf>
    <dxf>
      <font>
        <color rgb="FF00B050"/>
      </font>
      <numFmt numFmtId="178"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35" formatCode="_(* #,##0.00_);_(* \(#,##0.00\);_(* &quot;-&quot;??_);_(@_)"/>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2.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externalLink" Target="externalLinks/externalLink1.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DATA.xlsm" TargetMode="External"/><Relationship Id="rId1" Type="http://schemas.openxmlformats.org/officeDocument/2006/relationships/externalLinkPath" Target="SpeedyDAT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 val="SpeedyDATA"/>
    </sheetNames>
    <sheetDataSet>
      <sheetData sheetId="0">
        <row r="3">
          <cell r="E3">
            <v>0.9</v>
          </cell>
          <cell r="F3">
            <v>0.8</v>
          </cell>
        </row>
        <row r="4">
          <cell r="E4">
            <v>1.1000000000000001</v>
          </cell>
          <cell r="F4">
            <v>1.2</v>
          </cell>
        </row>
      </sheetData>
      <sheetData sheetId="1" refreshError="1"/>
      <sheetData sheetId="2" refreshError="1"/>
      <sheetData sheetId="3" refreshError="1"/>
      <sheetData sheetId="4" refreshError="1"/>
      <sheetData sheetId="5">
        <row r="15">
          <cell r="Z15" t="str">
            <v>UD</v>
          </cell>
        </row>
        <row r="55">
          <cell r="M55">
            <v>0.5</v>
          </cell>
          <cell r="N55">
            <v>0.5</v>
          </cell>
          <cell r="O55">
            <v>0</v>
          </cell>
          <cell r="P55">
            <v>0</v>
          </cell>
          <cell r="Q55">
            <v>0</v>
          </cell>
          <cell r="R55">
            <v>0</v>
          </cell>
          <cell r="S55">
            <v>0</v>
          </cell>
          <cell r="T55">
            <v>0</v>
          </cell>
        </row>
        <row r="56">
          <cell r="M56">
            <v>0</v>
          </cell>
          <cell r="N56">
            <v>0</v>
          </cell>
          <cell r="O56">
            <v>0.66666666666666663</v>
          </cell>
          <cell r="P56">
            <v>0.33333333333333331</v>
          </cell>
          <cell r="Q56">
            <v>0</v>
          </cell>
          <cell r="R56">
            <v>0</v>
          </cell>
          <cell r="S56">
            <v>0</v>
          </cell>
          <cell r="T56">
            <v>0</v>
          </cell>
        </row>
        <row r="57">
          <cell r="M57">
            <v>0</v>
          </cell>
          <cell r="N57">
            <v>0</v>
          </cell>
          <cell r="O57">
            <v>0</v>
          </cell>
          <cell r="P57">
            <v>0</v>
          </cell>
          <cell r="Q57">
            <v>0</v>
          </cell>
          <cell r="R57">
            <v>1</v>
          </cell>
          <cell r="S57">
            <v>0</v>
          </cell>
          <cell r="T57">
            <v>0</v>
          </cell>
        </row>
        <row r="58">
          <cell r="M58">
            <v>0</v>
          </cell>
          <cell r="N58">
            <v>0</v>
          </cell>
          <cell r="O58">
            <v>0</v>
          </cell>
          <cell r="P58">
            <v>0</v>
          </cell>
          <cell r="Q58">
            <v>0</v>
          </cell>
          <cell r="R58">
            <v>0</v>
          </cell>
          <cell r="S58">
            <v>0</v>
          </cell>
          <cell r="T58">
            <v>1</v>
          </cell>
        </row>
        <row r="59">
          <cell r="M59">
            <v>0.5</v>
          </cell>
          <cell r="N59">
            <v>0.5</v>
          </cell>
          <cell r="O59">
            <v>0</v>
          </cell>
          <cell r="P59">
            <v>0</v>
          </cell>
          <cell r="Q59">
            <v>0</v>
          </cell>
          <cell r="R59">
            <v>0</v>
          </cell>
          <cell r="S59">
            <v>0</v>
          </cell>
          <cell r="T59">
            <v>0</v>
          </cell>
        </row>
        <row r="60">
          <cell r="M60">
            <v>0</v>
          </cell>
          <cell r="N60">
            <v>0</v>
          </cell>
          <cell r="O60">
            <v>0.33333333333333331</v>
          </cell>
          <cell r="P60">
            <v>0.66666666666666663</v>
          </cell>
          <cell r="Q60">
            <v>0</v>
          </cell>
          <cell r="R60">
            <v>0</v>
          </cell>
          <cell r="S60">
            <v>0</v>
          </cell>
          <cell r="T60">
            <v>0</v>
          </cell>
        </row>
        <row r="61">
          <cell r="M61">
            <v>0</v>
          </cell>
          <cell r="N61">
            <v>0</v>
          </cell>
          <cell r="O61">
            <v>0</v>
          </cell>
          <cell r="P61">
            <v>0</v>
          </cell>
          <cell r="Q61">
            <v>0.5</v>
          </cell>
          <cell r="R61">
            <v>0.5</v>
          </cell>
          <cell r="S61">
            <v>0</v>
          </cell>
          <cell r="T61">
            <v>0</v>
          </cell>
        </row>
        <row r="62">
          <cell r="M62">
            <v>0</v>
          </cell>
          <cell r="N62">
            <v>0</v>
          </cell>
          <cell r="O62">
            <v>0</v>
          </cell>
          <cell r="P62">
            <v>0</v>
          </cell>
          <cell r="Q62">
            <v>0</v>
          </cell>
          <cell r="R62">
            <v>0</v>
          </cell>
          <cell r="S62">
            <v>0.5</v>
          </cell>
          <cell r="T62">
            <v>0.5</v>
          </cell>
        </row>
        <row r="80">
          <cell r="M80">
            <v>0</v>
          </cell>
          <cell r="N80">
            <v>1</v>
          </cell>
          <cell r="O80">
            <v>0</v>
          </cell>
          <cell r="P80">
            <v>0</v>
          </cell>
          <cell r="Q80">
            <v>0</v>
          </cell>
          <cell r="R80">
            <v>0</v>
          </cell>
          <cell r="S80">
            <v>0</v>
          </cell>
          <cell r="T80">
            <v>0</v>
          </cell>
        </row>
        <row r="81">
          <cell r="M81">
            <v>0</v>
          </cell>
          <cell r="N81">
            <v>0</v>
          </cell>
          <cell r="O81">
            <v>0.5</v>
          </cell>
          <cell r="P81">
            <v>0.5</v>
          </cell>
          <cell r="Q81">
            <v>0</v>
          </cell>
          <cell r="R81">
            <v>0</v>
          </cell>
          <cell r="S81">
            <v>0</v>
          </cell>
          <cell r="T81">
            <v>0</v>
          </cell>
        </row>
        <row r="82">
          <cell r="M82">
            <v>0</v>
          </cell>
          <cell r="N82">
            <v>0</v>
          </cell>
          <cell r="O82">
            <v>0</v>
          </cell>
          <cell r="P82">
            <v>0</v>
          </cell>
          <cell r="Q82">
            <v>0</v>
          </cell>
          <cell r="R82">
            <v>0</v>
          </cell>
          <cell r="S82">
            <v>0</v>
          </cell>
          <cell r="T82">
            <v>0</v>
          </cell>
        </row>
        <row r="83">
          <cell r="M83">
            <v>0</v>
          </cell>
          <cell r="N83">
            <v>0</v>
          </cell>
          <cell r="O83">
            <v>0</v>
          </cell>
          <cell r="P83">
            <v>0</v>
          </cell>
          <cell r="Q83">
            <v>0</v>
          </cell>
          <cell r="R83">
            <v>0</v>
          </cell>
          <cell r="S83">
            <v>0</v>
          </cell>
          <cell r="T83">
            <v>1</v>
          </cell>
        </row>
        <row r="84">
          <cell r="M84">
            <v>0</v>
          </cell>
          <cell r="N84">
            <v>1</v>
          </cell>
          <cell r="O84">
            <v>0</v>
          </cell>
          <cell r="P84">
            <v>0</v>
          </cell>
          <cell r="Q84">
            <v>0</v>
          </cell>
          <cell r="R84">
            <v>0</v>
          </cell>
          <cell r="S84">
            <v>0</v>
          </cell>
          <cell r="T84">
            <v>0</v>
          </cell>
        </row>
        <row r="85">
          <cell r="M85">
            <v>0</v>
          </cell>
          <cell r="N85">
            <v>0</v>
          </cell>
          <cell r="O85">
            <v>0</v>
          </cell>
          <cell r="P85">
            <v>0</v>
          </cell>
          <cell r="Q85">
            <v>0</v>
          </cell>
          <cell r="R85">
            <v>0</v>
          </cell>
          <cell r="S85">
            <v>0</v>
          </cell>
          <cell r="T85">
            <v>0</v>
          </cell>
        </row>
        <row r="86">
          <cell r="M86">
            <v>0</v>
          </cell>
          <cell r="N86">
            <v>0</v>
          </cell>
          <cell r="O86">
            <v>0</v>
          </cell>
          <cell r="P86">
            <v>0</v>
          </cell>
          <cell r="Q86">
            <v>1</v>
          </cell>
          <cell r="R86">
            <v>0</v>
          </cell>
          <cell r="S86">
            <v>0</v>
          </cell>
          <cell r="T86">
            <v>0</v>
          </cell>
        </row>
        <row r="87">
          <cell r="M87">
            <v>0</v>
          </cell>
          <cell r="N87">
            <v>0</v>
          </cell>
          <cell r="O87">
            <v>0</v>
          </cell>
          <cell r="P87">
            <v>0</v>
          </cell>
          <cell r="Q87">
            <v>0</v>
          </cell>
          <cell r="R87">
            <v>0</v>
          </cell>
          <cell r="S87">
            <v>0</v>
          </cell>
          <cell r="T87">
            <v>1</v>
          </cell>
        </row>
      </sheetData>
      <sheetData sheetId="6" refreshError="1"/>
      <sheetData sheetId="7">
        <row r="5">
          <cell r="J5">
            <v>255.46</v>
          </cell>
        </row>
        <row r="6">
          <cell r="J6" t="str">
            <v>USD</v>
          </cell>
        </row>
        <row r="7">
          <cell r="J7" t="str">
            <v>AAPL</v>
          </cell>
        </row>
        <row r="9">
          <cell r="C9">
            <v>0.58823529411764708</v>
          </cell>
        </row>
        <row r="10">
          <cell r="J10">
            <v>1</v>
          </cell>
        </row>
        <row r="15">
          <cell r="C15">
            <v>94.536455215476181</v>
          </cell>
        </row>
        <row r="16">
          <cell r="I16">
            <v>992632.77976249997</v>
          </cell>
        </row>
        <row r="18">
          <cell r="E18">
            <v>2682330</v>
          </cell>
        </row>
        <row r="19">
          <cell r="D19">
            <v>-206.05272476190476</v>
          </cell>
          <cell r="E19">
            <v>10500</v>
          </cell>
          <cell r="G19">
            <v>953271.33378750004</v>
          </cell>
          <cell r="H19">
            <v>-2642968.554025</v>
          </cell>
          <cell r="I19">
            <v>2682330</v>
          </cell>
        </row>
        <row r="20">
          <cell r="B20">
            <v>5.0000000000000001E-3</v>
          </cell>
        </row>
        <row r="21">
          <cell r="C21">
            <v>5000</v>
          </cell>
          <cell r="D21">
            <v>-107.46</v>
          </cell>
          <cell r="P21">
            <v>206.05272476190476</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M1" t="str">
            <v>CH_TODAY</v>
          </cell>
        </row>
        <row r="104">
          <cell r="AZ104">
            <v>2791682.4627000005</v>
          </cell>
        </row>
      </sheetData>
      <sheetData sheetId="10" refreshError="1"/>
      <sheetData sheetId="11">
        <row r="1">
          <cell r="A1" t="str">
            <v>AAPL</v>
          </cell>
        </row>
      </sheetData>
      <sheetData sheetId="12">
        <row r="1">
          <cell r="B1" t="str">
            <v>AAPL</v>
          </cell>
        </row>
      </sheetData>
      <sheetData sheetId="13" refreshError="1"/>
      <sheetData sheetId="14">
        <row r="4">
          <cell r="B4" t="str">
            <v>Sell</v>
          </cell>
          <cell r="D4" t="str">
            <v>MVE</v>
          </cell>
        </row>
        <row r="6">
          <cell r="D6" t="str">
            <v>SAF</v>
          </cell>
        </row>
        <row r="7">
          <cell r="D7" t="str">
            <v>JB</v>
          </cell>
        </row>
      </sheetData>
      <sheetData sheetId="15" refreshError="1"/>
      <sheetData sheetId="16" refreshError="1"/>
      <sheetData sheetId="17" refreshError="1"/>
      <sheetData sheetId="18">
        <row r="1">
          <cell r="R1" t="str">
            <v>AAPL</v>
          </cell>
        </row>
      </sheetData>
      <sheetData sheetId="19">
        <row r="1">
          <cell r="R1" t="str">
            <v>AAPL</v>
          </cell>
        </row>
      </sheetData>
      <sheetData sheetId="20" refreshError="1"/>
      <sheetData sheetId="21">
        <row r="3">
          <cell r="B3">
            <v>4.1666666666666664E-2</v>
          </cell>
        </row>
        <row r="23">
          <cell r="F23">
            <v>0.71008206018450437</v>
          </cell>
        </row>
        <row r="24">
          <cell r="F24">
            <v>0.91666666666666663</v>
          </cell>
        </row>
        <row r="25">
          <cell r="F25">
            <v>0.27083333333333337</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sheetData sheetId="1">
        <row r="2">
          <cell r="B2" t="str">
            <v>AAPL</v>
          </cell>
          <cell r="E2">
            <v>248.17128</v>
          </cell>
          <cell r="F2">
            <v>45880</v>
          </cell>
          <cell r="G2" t="str">
            <v>Oct 30, 2025</v>
          </cell>
          <cell r="H2">
            <v>4.1999999999999997E-3</v>
          </cell>
        </row>
        <row r="3">
          <cell r="B3" t="str">
            <v>ADEA</v>
          </cell>
          <cell r="E3">
            <v>20.66667</v>
          </cell>
          <cell r="F3">
            <v>45895</v>
          </cell>
          <cell r="G3">
            <v>0</v>
          </cell>
          <cell r="H3">
            <v>1.2699999999999999E-2</v>
          </cell>
        </row>
        <row r="4">
          <cell r="B4" t="str">
            <v>AET</v>
          </cell>
          <cell r="E4">
            <v>96.66</v>
          </cell>
          <cell r="F4">
            <v>0</v>
          </cell>
          <cell r="G4">
            <v>0</v>
          </cell>
          <cell r="H4">
            <v>0</v>
          </cell>
        </row>
        <row r="5">
          <cell r="B5" t="str">
            <v>AMZN</v>
          </cell>
          <cell r="E5">
            <v>266.56450000000001</v>
          </cell>
          <cell r="F5">
            <v>0</v>
          </cell>
          <cell r="G5" t="str">
            <v>Oct 30, 2025</v>
          </cell>
          <cell r="H5">
            <v>0</v>
          </cell>
        </row>
        <row r="6">
          <cell r="B6" t="str">
            <v>ALDNE</v>
          </cell>
          <cell r="E6">
            <v>1.5333300000000001</v>
          </cell>
          <cell r="F6">
            <v>0</v>
          </cell>
          <cell r="G6" t="str">
            <v>--</v>
          </cell>
          <cell r="H6">
            <v>0</v>
          </cell>
        </row>
        <row r="7">
          <cell r="B7" t="str">
            <v>ASML</v>
          </cell>
          <cell r="E7">
            <v>873.90326000000005</v>
          </cell>
          <cell r="F7">
            <v>45866</v>
          </cell>
          <cell r="G7">
            <v>0</v>
          </cell>
          <cell r="H7">
            <v>8.0000000000000002E-3</v>
          </cell>
        </row>
        <row r="8">
          <cell r="B8" t="str">
            <v>AZN</v>
          </cell>
          <cell r="E8">
            <v>89.77</v>
          </cell>
          <cell r="F8">
            <v>45877</v>
          </cell>
          <cell r="G8" t="str">
            <v>Nov 6, 2025</v>
          </cell>
          <cell r="H8">
            <v>1.8499999999999999E-2</v>
          </cell>
        </row>
        <row r="9">
          <cell r="B9" t="str">
            <v>BLDP</v>
          </cell>
          <cell r="E9">
            <v>2.4325000000000001</v>
          </cell>
          <cell r="F9">
            <v>0</v>
          </cell>
          <cell r="G9" t="str">
            <v>Nov 4, 2025</v>
          </cell>
          <cell r="H9">
            <v>0</v>
          </cell>
        </row>
        <row r="10">
          <cell r="B10" t="str">
            <v>BMRA</v>
          </cell>
          <cell r="E10">
            <v>0</v>
          </cell>
          <cell r="F10">
            <v>0</v>
          </cell>
          <cell r="G10">
            <v>0</v>
          </cell>
          <cell r="H10">
            <v>0</v>
          </cell>
        </row>
        <row r="11">
          <cell r="B11" t="str">
            <v>C</v>
          </cell>
          <cell r="E11">
            <v>110.64286</v>
          </cell>
          <cell r="F11">
            <v>45873</v>
          </cell>
          <cell r="G11" t="str">
            <v>Oct 14, 2025</v>
          </cell>
          <cell r="H11">
            <v>2.5600000000000001E-2</v>
          </cell>
        </row>
        <row r="12">
          <cell r="B12" t="str">
            <v>CSCO</v>
          </cell>
          <cell r="E12">
            <v>76.290949999999995</v>
          </cell>
          <cell r="F12">
            <v>45933</v>
          </cell>
          <cell r="G12" t="str">
            <v>Nov 12, 2025</v>
          </cell>
          <cell r="H12">
            <v>2.41E-2</v>
          </cell>
        </row>
        <row r="13">
          <cell r="B13" t="str">
            <v>CVS</v>
          </cell>
          <cell r="E13">
            <v>83.791669999999996</v>
          </cell>
          <cell r="F13">
            <v>45953</v>
          </cell>
          <cell r="G13" t="str">
            <v>Oct 29, 2025</v>
          </cell>
          <cell r="H13">
            <v>3.4099999999999998E-2</v>
          </cell>
        </row>
        <row r="14">
          <cell r="B14" t="str">
            <v>DDD</v>
          </cell>
          <cell r="E14">
            <v>3.25</v>
          </cell>
          <cell r="F14">
            <v>0</v>
          </cell>
          <cell r="G14" t="str">
            <v>Nov 10, 2025</v>
          </cell>
          <cell r="H14">
            <v>0</v>
          </cell>
        </row>
        <row r="15">
          <cell r="B15" t="str">
            <v>DIS</v>
          </cell>
          <cell r="E15">
            <v>133.96896000000001</v>
          </cell>
          <cell r="F15">
            <v>45832</v>
          </cell>
          <cell r="G15">
            <v>0</v>
          </cell>
          <cell r="H15">
            <v>9.1999999999999998E-3</v>
          </cell>
        </row>
        <row r="16">
          <cell r="B16" t="str">
            <v>DSY</v>
          </cell>
          <cell r="E16">
            <v>35.352780000000003</v>
          </cell>
          <cell r="F16">
            <v>45803</v>
          </cell>
          <cell r="G16">
            <v>0</v>
          </cell>
          <cell r="H16">
            <v>9.1000000000000004E-3</v>
          </cell>
        </row>
        <row r="17">
          <cell r="B17" t="str">
            <v>DVA</v>
          </cell>
          <cell r="E17">
            <v>151.5</v>
          </cell>
          <cell r="F17">
            <v>0</v>
          </cell>
          <cell r="G17" t="str">
            <v>Oct 28, 2025</v>
          </cell>
          <cell r="H17">
            <v>0</v>
          </cell>
        </row>
        <row r="18">
          <cell r="B18" t="str">
            <v>DXC</v>
          </cell>
          <cell r="E18">
            <v>15.125</v>
          </cell>
          <cell r="F18">
            <v>43914</v>
          </cell>
          <cell r="G18" t="str">
            <v>Oct 30, 2025</v>
          </cell>
          <cell r="H18">
            <v>0</v>
          </cell>
        </row>
        <row r="19">
          <cell r="B19" t="str">
            <v>EOAN</v>
          </cell>
          <cell r="E19">
            <v>16.882349999999999</v>
          </cell>
          <cell r="F19">
            <v>45793</v>
          </cell>
          <cell r="G19">
            <v>0</v>
          </cell>
          <cell r="H19">
            <v>3.4200000000000001E-2</v>
          </cell>
        </row>
        <row r="20">
          <cell r="B20" t="str">
            <v>EPIX</v>
          </cell>
          <cell r="E20">
            <v>0</v>
          </cell>
          <cell r="F20">
            <v>45894</v>
          </cell>
          <cell r="G20" t="str">
            <v>Dec 16, 2025</v>
          </cell>
          <cell r="H20">
            <v>0</v>
          </cell>
        </row>
        <row r="21">
          <cell r="B21" t="str">
            <v>GM</v>
          </cell>
          <cell r="E21">
            <v>63.8</v>
          </cell>
          <cell r="F21">
            <v>45905</v>
          </cell>
          <cell r="G21" t="str">
            <v>Oct 21, 2025</v>
          </cell>
          <cell r="H21">
            <v>1.0800000000000001E-2</v>
          </cell>
        </row>
        <row r="22">
          <cell r="B22" t="str">
            <v>HPE</v>
          </cell>
          <cell r="E22">
            <v>26.040559999999999</v>
          </cell>
          <cell r="F22">
            <v>45918</v>
          </cell>
          <cell r="G22" t="str">
            <v>Dec 4, 2025</v>
          </cell>
          <cell r="H22">
            <v>2.1300000999999999E-2</v>
          </cell>
        </row>
        <row r="23">
          <cell r="B23" t="str">
            <v>HPQ</v>
          </cell>
          <cell r="E23">
            <v>28.16375</v>
          </cell>
          <cell r="F23">
            <v>45910</v>
          </cell>
          <cell r="G23" t="str">
            <v>Nov 25, 2025</v>
          </cell>
          <cell r="H23">
            <v>4.5300002999999998E-2</v>
          </cell>
        </row>
        <row r="24">
          <cell r="B24" t="str">
            <v>IAG</v>
          </cell>
          <cell r="E24">
            <v>438.45612</v>
          </cell>
          <cell r="F24">
            <v>45834</v>
          </cell>
          <cell r="G24">
            <v>0</v>
          </cell>
          <cell r="H24">
            <v>1.8800000000000001E-2</v>
          </cell>
        </row>
        <row r="25">
          <cell r="B25" t="str">
            <v>KR</v>
          </cell>
          <cell r="E25">
            <v>76.272729999999996</v>
          </cell>
          <cell r="F25">
            <v>45975</v>
          </cell>
          <cell r="G25" t="str">
            <v>Dec 4, 2025</v>
          </cell>
          <cell r="H25">
            <v>2.07E-2</v>
          </cell>
        </row>
        <row r="26">
          <cell r="B26" t="str">
            <v>LNSR</v>
          </cell>
          <cell r="E26">
            <v>15</v>
          </cell>
          <cell r="F26">
            <v>0</v>
          </cell>
          <cell r="G26">
            <v>0</v>
          </cell>
          <cell r="H26">
            <v>0</v>
          </cell>
        </row>
        <row r="27">
          <cell r="B27" t="str">
            <v>LUMN</v>
          </cell>
          <cell r="E27">
            <v>5.2436400000000001</v>
          </cell>
          <cell r="F27">
            <v>44802</v>
          </cell>
          <cell r="G27" t="str">
            <v>Jul 31, 2025</v>
          </cell>
          <cell r="H27">
            <v>0</v>
          </cell>
        </row>
        <row r="28">
          <cell r="B28" t="str">
            <v>MRNA</v>
          </cell>
          <cell r="E28">
            <v>44.3</v>
          </cell>
          <cell r="F28">
            <v>0</v>
          </cell>
          <cell r="G28" t="str">
            <v>Nov 6, 2025</v>
          </cell>
          <cell r="H28">
            <v>0</v>
          </cell>
        </row>
        <row r="29">
          <cell r="B29" t="str">
            <v>MSFT</v>
          </cell>
          <cell r="E29">
            <v>620.73689999999999</v>
          </cell>
          <cell r="F29">
            <v>45981</v>
          </cell>
          <cell r="G29" t="str">
            <v>Oct 29, 2025</v>
          </cell>
          <cell r="H29">
            <v>7.0999996000000003E-3</v>
          </cell>
        </row>
        <row r="30">
          <cell r="B30" t="str">
            <v>NEE</v>
          </cell>
          <cell r="E30">
            <v>84.722219999999993</v>
          </cell>
          <cell r="F30">
            <v>45897</v>
          </cell>
          <cell r="G30" t="str">
            <v>Oct 23, 2025</v>
          </cell>
          <cell r="H30">
            <v>2.7199999999999998E-2</v>
          </cell>
        </row>
        <row r="31">
          <cell r="B31" t="str">
            <v>NEM</v>
          </cell>
          <cell r="E31">
            <v>91.209500000000006</v>
          </cell>
          <cell r="F31">
            <v>45904</v>
          </cell>
          <cell r="G31" t="str">
            <v>Oct 23, 2025</v>
          </cell>
          <cell r="H31">
            <v>1.17E-2</v>
          </cell>
        </row>
        <row r="32">
          <cell r="B32" t="str">
            <v>NFLX</v>
          </cell>
          <cell r="E32">
            <v>1358.6105</v>
          </cell>
          <cell r="F32">
            <v>0</v>
          </cell>
          <cell r="G32" t="str">
            <v>Oct 21, 2025</v>
          </cell>
          <cell r="H32">
            <v>0</v>
          </cell>
        </row>
        <row r="33">
          <cell r="B33" t="str">
            <v>NOTE</v>
          </cell>
          <cell r="E33">
            <v>31.501080000000002</v>
          </cell>
          <cell r="F33">
            <v>0</v>
          </cell>
          <cell r="G33">
            <v>0</v>
          </cell>
          <cell r="H33">
            <v>0</v>
          </cell>
        </row>
        <row r="34">
          <cell r="B34" t="str">
            <v>PAAS</v>
          </cell>
          <cell r="E34">
            <v>44.5</v>
          </cell>
          <cell r="F34">
            <v>45887</v>
          </cell>
          <cell r="G34" t="str">
            <v>Nov 12, 2025</v>
          </cell>
          <cell r="H34">
            <v>1.2500000000000001E-2</v>
          </cell>
        </row>
        <row r="35">
          <cell r="B35" t="str">
            <v>PROF</v>
          </cell>
          <cell r="E35">
            <v>12.1</v>
          </cell>
          <cell r="F35">
            <v>0</v>
          </cell>
          <cell r="G35">
            <v>0</v>
          </cell>
          <cell r="H35">
            <v>0</v>
          </cell>
        </row>
        <row r="36">
          <cell r="B36" t="str">
            <v>POET</v>
          </cell>
          <cell r="E36">
            <v>6.6333299999999999</v>
          </cell>
          <cell r="F36">
            <v>0</v>
          </cell>
          <cell r="G36" t="str">
            <v>Nov 13, 2025</v>
          </cell>
          <cell r="H36">
            <v>0</v>
          </cell>
        </row>
        <row r="37">
          <cell r="B37" t="str">
            <v>PW</v>
          </cell>
          <cell r="E37">
            <v>0</v>
          </cell>
          <cell r="F37">
            <v>41284</v>
          </cell>
          <cell r="G37">
            <v>0</v>
          </cell>
          <cell r="H37">
            <v>0</v>
          </cell>
        </row>
        <row r="38">
          <cell r="B38" t="str">
            <v>RIGL</v>
          </cell>
          <cell r="E38">
            <v>38.333329999999997</v>
          </cell>
          <cell r="F38">
            <v>0</v>
          </cell>
          <cell r="G38" t="str">
            <v>Nov 6, 2025</v>
          </cell>
          <cell r="H38">
            <v>0</v>
          </cell>
        </row>
        <row r="39">
          <cell r="B39" t="str">
            <v>RWE</v>
          </cell>
          <cell r="E39">
            <v>43.982349999999997</v>
          </cell>
          <cell r="F39">
            <v>45779</v>
          </cell>
          <cell r="G39">
            <v>0</v>
          </cell>
          <cell r="H39">
            <v>2.7199999999999998E-2</v>
          </cell>
        </row>
        <row r="40">
          <cell r="B40" t="str">
            <v>SAP</v>
          </cell>
          <cell r="E40">
            <v>287.60270000000003</v>
          </cell>
          <cell r="F40">
            <v>45791</v>
          </cell>
          <cell r="G40">
            <v>0</v>
          </cell>
          <cell r="H40">
            <v>1.0199999E-2</v>
          </cell>
        </row>
        <row r="41">
          <cell r="B41" t="str">
            <v>SHECY</v>
          </cell>
          <cell r="E41">
            <v>0</v>
          </cell>
          <cell r="F41">
            <v>45747</v>
          </cell>
          <cell r="G41">
            <v>0</v>
          </cell>
          <cell r="H41">
            <v>2.3199999999999998E-2</v>
          </cell>
        </row>
        <row r="42">
          <cell r="B42" t="str">
            <v>SSYS</v>
          </cell>
          <cell r="E42">
            <v>13.33333</v>
          </cell>
          <cell r="F42">
            <v>0</v>
          </cell>
          <cell r="G42" t="str">
            <v>Nov 12, 2025</v>
          </cell>
          <cell r="H42">
            <v>0</v>
          </cell>
        </row>
        <row r="43">
          <cell r="B43" t="str">
            <v>TSLA</v>
          </cell>
          <cell r="E43">
            <v>360.62945999999999</v>
          </cell>
          <cell r="F43">
            <v>0</v>
          </cell>
          <cell r="G43" t="str">
            <v>Oct 22, 2025</v>
          </cell>
          <cell r="H43">
            <v>0</v>
          </cell>
        </row>
        <row r="44">
          <cell r="B44" t="str">
            <v>TSM</v>
          </cell>
          <cell r="E44">
            <v>307.64688000000001</v>
          </cell>
          <cell r="F44">
            <v>46002</v>
          </cell>
          <cell r="G44" t="str">
            <v>Oct 16, 2025</v>
          </cell>
          <cell r="H44">
            <v>1.1900000000000001E-2</v>
          </cell>
        </row>
        <row r="45">
          <cell r="B45" t="str">
            <v>UN0</v>
          </cell>
          <cell r="E45">
            <v>0</v>
          </cell>
          <cell r="F45">
            <v>0</v>
          </cell>
          <cell r="G45">
            <v>0</v>
          </cell>
          <cell r="H45">
            <v>0</v>
          </cell>
        </row>
        <row r="46">
          <cell r="B46" t="str">
            <v>UNIT</v>
          </cell>
          <cell r="E46">
            <v>7.4749999999999996</v>
          </cell>
        </row>
        <row r="47">
          <cell r="B47" t="str">
            <v>AVGO</v>
          </cell>
          <cell r="E47">
            <v>370.36489999999998</v>
          </cell>
        </row>
        <row r="48">
          <cell r="B48" t="str">
            <v>VLVLY</v>
          </cell>
          <cell r="E48">
            <v>36</v>
          </cell>
          <cell r="F48">
            <v>45751</v>
          </cell>
          <cell r="G48">
            <v>0</v>
          </cell>
          <cell r="H48">
            <v>2.8800000999999999E-2</v>
          </cell>
        </row>
        <row r="49">
          <cell r="B49" t="str">
            <v>VONN</v>
          </cell>
          <cell r="E49">
            <v>61.1</v>
          </cell>
          <cell r="F49">
            <v>45751</v>
          </cell>
          <cell r="G49" t="str">
            <v>Jul 24, 2025</v>
          </cell>
          <cell r="H49">
            <v>4.9299999999999997E-2</v>
          </cell>
        </row>
        <row r="50">
          <cell r="B50" t="str">
            <v>VTRS</v>
          </cell>
          <cell r="E50">
            <v>11.428570000000001</v>
          </cell>
          <cell r="F50">
            <v>45891</v>
          </cell>
          <cell r="G50" t="str">
            <v>Nov 6, 2025</v>
          </cell>
          <cell r="H50">
            <v>4.9299999999999997E-2</v>
          </cell>
        </row>
        <row r="51">
          <cell r="B51" t="str">
            <v>WBA</v>
          </cell>
          <cell r="E51">
            <v>12.11429</v>
          </cell>
          <cell r="F51">
            <v>45614</v>
          </cell>
          <cell r="G51">
            <v>0</v>
          </cell>
          <cell r="H51">
            <v>8.3500005000000002E-2</v>
          </cell>
        </row>
        <row r="52">
          <cell r="B52" t="str">
            <v>XOM</v>
          </cell>
          <cell r="E52">
            <v>124.4512</v>
          </cell>
          <cell r="F52">
            <v>45884</v>
          </cell>
          <cell r="G52" t="str">
            <v>Oct 31, 2025</v>
          </cell>
          <cell r="H52">
            <v>3.5799999999999998E-2</v>
          </cell>
        </row>
        <row r="53">
          <cell r="B53" t="str">
            <v>XPER</v>
          </cell>
          <cell r="E53">
            <v>11.4</v>
          </cell>
          <cell r="F53">
            <v>0</v>
          </cell>
          <cell r="G53">
            <v>0</v>
          </cell>
          <cell r="H53">
            <v>0</v>
          </cell>
        </row>
        <row r="54">
          <cell r="B54" t="str">
            <v>MVEALDNE</v>
          </cell>
          <cell r="E54">
            <v>1.5333300000000001</v>
          </cell>
          <cell r="F54">
            <v>0</v>
          </cell>
          <cell r="G54" t="str">
            <v>--</v>
          </cell>
          <cell r="H54">
            <v>0</v>
          </cell>
        </row>
        <row r="55">
          <cell r="B55" t="str">
            <v>MVEDDD</v>
          </cell>
          <cell r="E55">
            <v>3.25</v>
          </cell>
          <cell r="F55">
            <v>0</v>
          </cell>
          <cell r="G55" t="str">
            <v>Nov 10, 2025</v>
          </cell>
          <cell r="H55">
            <v>0</v>
          </cell>
        </row>
        <row r="56">
          <cell r="B56" t="str">
            <v>MVEDSY</v>
          </cell>
          <cell r="E56">
            <v>35.352780000000003</v>
          </cell>
          <cell r="F56">
            <v>45803</v>
          </cell>
          <cell r="G56">
            <v>0</v>
          </cell>
        </row>
        <row r="57">
          <cell r="B57" t="str">
            <v>MVEEOAN</v>
          </cell>
          <cell r="E57">
            <v>16.882349999999999</v>
          </cell>
          <cell r="F57">
            <v>45793</v>
          </cell>
          <cell r="G57">
            <v>0</v>
          </cell>
          <cell r="H57">
            <v>3.4200000000000001E-2</v>
          </cell>
        </row>
        <row r="58">
          <cell r="B58" t="str">
            <v>MVEENI</v>
          </cell>
          <cell r="E58">
            <v>15.586360000000001</v>
          </cell>
          <cell r="F58">
            <v>45985</v>
          </cell>
          <cell r="G58">
            <v>0</v>
          </cell>
        </row>
        <row r="59">
          <cell r="B59" t="str">
            <v>MVEEPIX</v>
          </cell>
          <cell r="E59">
            <v>0</v>
          </cell>
          <cell r="F59">
            <v>45894</v>
          </cell>
          <cell r="G59" t="str">
            <v>Dec 16, 2025</v>
          </cell>
          <cell r="H59">
            <v>0</v>
          </cell>
        </row>
        <row r="60">
          <cell r="B60" t="str">
            <v>MVEGLE</v>
          </cell>
          <cell r="E60">
            <v>63.157220000000002</v>
          </cell>
          <cell r="F60">
            <v>45937</v>
          </cell>
          <cell r="G60" t="str">
            <v>Oct 30, 2025</v>
          </cell>
        </row>
        <row r="61">
          <cell r="B61" t="str">
            <v>MVEORA</v>
          </cell>
          <cell r="E61">
            <v>15.28889</v>
          </cell>
          <cell r="F61">
            <v>45993</v>
          </cell>
          <cell r="G61">
            <v>0</v>
          </cell>
        </row>
        <row r="62">
          <cell r="B62" t="str">
            <v>MVERWE</v>
          </cell>
          <cell r="E62">
            <v>43.982349999999997</v>
          </cell>
          <cell r="F62">
            <v>45779</v>
          </cell>
          <cell r="G62">
            <v>0</v>
          </cell>
          <cell r="H62">
            <v>2.7199999999999998E-2</v>
          </cell>
        </row>
        <row r="63">
          <cell r="B63" t="str">
            <v>MVESAP</v>
          </cell>
          <cell r="E63">
            <v>287.60270000000003</v>
          </cell>
          <cell r="F63">
            <v>45791</v>
          </cell>
          <cell r="G63">
            <v>0</v>
          </cell>
          <cell r="H63">
            <v>1.0199999E-2</v>
          </cell>
        </row>
        <row r="64">
          <cell r="B64" t="str">
            <v>MVEUN0</v>
          </cell>
          <cell r="E64">
            <v>0</v>
          </cell>
          <cell r="F64">
            <v>0</v>
          </cell>
          <cell r="G64">
            <v>0</v>
          </cell>
          <cell r="H64">
            <v>0</v>
          </cell>
        </row>
        <row r="65">
          <cell r="B65" t="str">
            <v>SAFAAPL</v>
          </cell>
          <cell r="E65">
            <v>248.17128</v>
          </cell>
          <cell r="F65">
            <v>45880</v>
          </cell>
          <cell r="G65" t="str">
            <v>Oct 30, 2025</v>
          </cell>
          <cell r="H65">
            <v>4.1999999999999997E-3</v>
          </cell>
        </row>
        <row r="66">
          <cell r="B66" t="str">
            <v>SAFAMZN</v>
          </cell>
          <cell r="E66">
            <v>266.56450000000001</v>
          </cell>
          <cell r="F66">
            <v>0</v>
          </cell>
          <cell r="G66" t="str">
            <v>Oct 30, 2025</v>
          </cell>
          <cell r="H66">
            <v>0</v>
          </cell>
        </row>
        <row r="67">
          <cell r="B67" t="str">
            <v>SAFASML</v>
          </cell>
          <cell r="E67">
            <v>873.90326000000005</v>
          </cell>
          <cell r="F67">
            <v>45866</v>
          </cell>
          <cell r="G67">
            <v>0</v>
          </cell>
          <cell r="H67">
            <v>8.0000000000000002E-3</v>
          </cell>
        </row>
        <row r="68">
          <cell r="B68" t="str">
            <v>SAFDDD</v>
          </cell>
          <cell r="E68">
            <v>3.25</v>
          </cell>
          <cell r="F68">
            <v>0</v>
          </cell>
          <cell r="G68" t="str">
            <v>Nov 10, 2025</v>
          </cell>
          <cell r="H68">
            <v>0</v>
          </cell>
        </row>
        <row r="69">
          <cell r="B69" t="str">
            <v>SAFDIS</v>
          </cell>
          <cell r="E69">
            <v>133.96896000000001</v>
          </cell>
          <cell r="F69">
            <v>45832</v>
          </cell>
          <cell r="G69">
            <v>0</v>
          </cell>
          <cell r="H69">
            <v>9.1999999999999998E-3</v>
          </cell>
        </row>
        <row r="70">
          <cell r="B70" t="str">
            <v>SAFGM</v>
          </cell>
          <cell r="E70">
            <v>63.8</v>
          </cell>
          <cell r="F70">
            <v>45905</v>
          </cell>
          <cell r="G70" t="str">
            <v>Oct 21, 2025</v>
          </cell>
          <cell r="H70">
            <v>1.0800000000000001E-2</v>
          </cell>
        </row>
        <row r="71">
          <cell r="B71" t="str">
            <v>SAFIAG</v>
          </cell>
          <cell r="E71">
            <v>438.45612</v>
          </cell>
          <cell r="F71">
            <v>45834</v>
          </cell>
          <cell r="G71">
            <v>0</v>
          </cell>
          <cell r="H71">
            <v>1.8800000000000001E-2</v>
          </cell>
        </row>
        <row r="72">
          <cell r="B72" t="str">
            <v>SAFMRNA</v>
          </cell>
          <cell r="E72">
            <v>44.3</v>
          </cell>
          <cell r="F72">
            <v>0</v>
          </cell>
          <cell r="G72" t="str">
            <v>Nov 6, 2025</v>
          </cell>
          <cell r="H72">
            <v>0</v>
          </cell>
        </row>
        <row r="73">
          <cell r="B73" t="str">
            <v>BLNK</v>
          </cell>
          <cell r="E73">
            <v>2.4</v>
          </cell>
          <cell r="F73">
            <v>0</v>
          </cell>
          <cell r="G73" t="str">
            <v>Nov 6, 2025</v>
          </cell>
          <cell r="H73">
            <v>0</v>
          </cell>
        </row>
        <row r="74">
          <cell r="B74" t="str">
            <v>ENI</v>
          </cell>
          <cell r="E74">
            <v>15.586360000000001</v>
          </cell>
          <cell r="F74">
            <v>45985</v>
          </cell>
          <cell r="G74">
            <v>0</v>
          </cell>
          <cell r="H74">
            <v>6.9500000000000006E-2</v>
          </cell>
        </row>
        <row r="75">
          <cell r="B75" t="str">
            <v>EZJ</v>
          </cell>
          <cell r="E75">
            <v>643.68399999999997</v>
          </cell>
          <cell r="F75">
            <v>45708</v>
          </cell>
          <cell r="G75">
            <v>0</v>
          </cell>
          <cell r="H75">
            <v>2.6099998999999999E-2</v>
          </cell>
        </row>
        <row r="76">
          <cell r="B76" t="str">
            <v>F</v>
          </cell>
          <cell r="E76">
            <v>11.475</v>
          </cell>
          <cell r="F76">
            <v>45880</v>
          </cell>
          <cell r="G76" t="str">
            <v>Oct 23, 2025</v>
          </cell>
          <cell r="H76">
            <v>5.2600003999999999E-2</v>
          </cell>
        </row>
        <row r="77">
          <cell r="B77" t="str">
            <v>GLE</v>
          </cell>
          <cell r="E77">
            <v>63.157220000000002</v>
          </cell>
          <cell r="F77">
            <v>45937</v>
          </cell>
          <cell r="G77" t="str">
            <v>Oct 30, 2025</v>
          </cell>
          <cell r="H77">
            <v>3.1600002000000002E-2</v>
          </cell>
        </row>
        <row r="78">
          <cell r="B78" t="str">
            <v>GNRC</v>
          </cell>
          <cell r="E78">
            <v>203.375</v>
          </cell>
          <cell r="F78">
            <v>41435</v>
          </cell>
          <cell r="G78" t="str">
            <v>Oct 30, 2025</v>
          </cell>
          <cell r="H78">
            <v>0</v>
          </cell>
        </row>
        <row r="79">
          <cell r="B79" t="str">
            <v>GS</v>
          </cell>
          <cell r="E79">
            <v>764.68420000000003</v>
          </cell>
          <cell r="F79">
            <v>45898</v>
          </cell>
          <cell r="G79" t="str">
            <v>Oct 14, 2025</v>
          </cell>
          <cell r="H79">
            <v>2.0899999999999998E-2</v>
          </cell>
        </row>
        <row r="80">
          <cell r="B80" t="str">
            <v>LAZR</v>
          </cell>
          <cell r="E80">
            <v>2.6666699999999999</v>
          </cell>
          <cell r="F80">
            <v>0</v>
          </cell>
          <cell r="G80" t="str">
            <v>Nov 14, 2025</v>
          </cell>
          <cell r="H80">
            <v>0</v>
          </cell>
        </row>
        <row r="81">
          <cell r="B81" t="str">
            <v>LUV</v>
          </cell>
          <cell r="E81">
            <v>33.06</v>
          </cell>
          <cell r="F81">
            <v>45903</v>
          </cell>
          <cell r="G81" t="str">
            <v>Oct 22, 2025</v>
          </cell>
          <cell r="H81">
            <v>2.3E-2</v>
          </cell>
        </row>
        <row r="82">
          <cell r="B82" t="str">
            <v>MA</v>
          </cell>
          <cell r="E82">
            <v>648.43029999999999</v>
          </cell>
          <cell r="F82">
            <v>45939</v>
          </cell>
          <cell r="G82" t="str">
            <v>Oct 30, 2025</v>
          </cell>
          <cell r="H82">
            <v>5.4999999999999997E-3</v>
          </cell>
        </row>
        <row r="83">
          <cell r="B83" t="str">
            <v>NVAX</v>
          </cell>
          <cell r="E83">
            <v>12.5</v>
          </cell>
          <cell r="F83">
            <v>0</v>
          </cell>
          <cell r="G83" t="str">
            <v>Aug 6, 2025</v>
          </cell>
          <cell r="H83">
            <v>0</v>
          </cell>
        </row>
        <row r="84">
          <cell r="B84" t="str">
            <v>NVS</v>
          </cell>
          <cell r="E84">
            <v>122.054</v>
          </cell>
          <cell r="F84">
            <v>45728</v>
          </cell>
          <cell r="G84" t="str">
            <v>Oct 28, 2025</v>
          </cell>
          <cell r="H84">
            <v>3.0700000000000002E-2</v>
          </cell>
        </row>
        <row r="85">
          <cell r="B85" t="str">
            <v>ORA</v>
          </cell>
          <cell r="E85">
            <v>15.28889</v>
          </cell>
          <cell r="F85">
            <v>45993</v>
          </cell>
          <cell r="G85">
            <v>0</v>
          </cell>
          <cell r="H85">
            <v>5.5199999999999999E-2</v>
          </cell>
        </row>
        <row r="86">
          <cell r="B86" t="str">
            <v>OXY</v>
          </cell>
          <cell r="E86">
            <v>51.545450000000002</v>
          </cell>
          <cell r="F86">
            <v>45910</v>
          </cell>
          <cell r="G86" t="str">
            <v>Aug 6, 2025</v>
          </cell>
          <cell r="H86">
            <v>2.2800000000000001E-2</v>
          </cell>
        </row>
        <row r="87">
          <cell r="B87" t="str">
            <v>PFE</v>
          </cell>
          <cell r="E87">
            <v>28.80864</v>
          </cell>
          <cell r="F87">
            <v>45968</v>
          </cell>
          <cell r="G87" t="str">
            <v>Nov 4, 2025</v>
          </cell>
          <cell r="H87">
            <v>6.9400000000000003E-2</v>
          </cell>
        </row>
        <row r="88">
          <cell r="B88" t="str">
            <v>RIG</v>
          </cell>
          <cell r="E88">
            <v>3.8769200000000001</v>
          </cell>
          <cell r="F88">
            <v>42237</v>
          </cell>
          <cell r="G88" t="str">
            <v>Nov 3, 2025</v>
          </cell>
          <cell r="H88">
            <v>0</v>
          </cell>
        </row>
        <row r="89">
          <cell r="B89" t="str">
            <v>RRC</v>
          </cell>
          <cell r="E89">
            <v>42.25</v>
          </cell>
          <cell r="F89">
            <v>45912</v>
          </cell>
          <cell r="G89" t="str">
            <v>Oct 28, 2025</v>
          </cell>
          <cell r="H89">
            <v>9.9000000000000008E-3</v>
          </cell>
        </row>
        <row r="90">
          <cell r="B90" t="str">
            <v>XYZ</v>
          </cell>
          <cell r="E90">
            <v>88.005560000000003</v>
          </cell>
          <cell r="F90">
            <v>0</v>
          </cell>
          <cell r="G90" t="str">
            <v>Nov 6, 2025</v>
          </cell>
          <cell r="H90">
            <v>0</v>
          </cell>
        </row>
        <row r="91">
          <cell r="B91" t="str">
            <v>THC</v>
          </cell>
          <cell r="E91">
            <v>204.90475000000001</v>
          </cell>
          <cell r="F91">
            <v>36598</v>
          </cell>
          <cell r="G91" t="str">
            <v>Oct 28, 2025</v>
          </cell>
          <cell r="H91">
            <v>0</v>
          </cell>
        </row>
        <row r="92">
          <cell r="B92" t="str">
            <v>X</v>
          </cell>
          <cell r="E92">
            <v>0</v>
          </cell>
          <cell r="F92">
            <v>0</v>
          </cell>
          <cell r="G92">
            <v>0</v>
          </cell>
          <cell r="H92">
            <v>0</v>
          </cell>
        </row>
        <row r="93">
          <cell r="B93" t="str">
            <v>LOCK</v>
          </cell>
          <cell r="E93">
            <v>0</v>
          </cell>
          <cell r="F93">
            <v>0</v>
          </cell>
          <cell r="G93">
            <v>0</v>
          </cell>
          <cell r="H93">
            <v>0</v>
          </cell>
        </row>
        <row r="94">
          <cell r="B94" t="str">
            <v>JBASML</v>
          </cell>
          <cell r="E94">
            <v>873.90326000000005</v>
          </cell>
          <cell r="F94">
            <v>45866</v>
          </cell>
          <cell r="G94">
            <v>0</v>
          </cell>
          <cell r="H94">
            <v>8.0000000000000002E-3</v>
          </cell>
        </row>
        <row r="95">
          <cell r="B95" t="str">
            <v>JBEOAN</v>
          </cell>
          <cell r="E95">
            <v>16.882349999999999</v>
          </cell>
          <cell r="F95">
            <v>45793</v>
          </cell>
          <cell r="G95">
            <v>0</v>
          </cell>
          <cell r="H95">
            <v>3.4200000000000001E-2</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80">
  <rv s="0">
    <v>https://www.bing.com/financeapi/forcetrigger?t=a1mou2&amp;q=XNAS%3aAAPL&amp;form=skydnc</v>
    <v>Learn more on Bing</v>
  </rv>
  <rv s="1">
    <v>0</v>
    <v>APPLE INC. (XNAS:AAPL)</v>
    <v>2</v>
    <v>3</v>
    <v>Finance</v>
    <v>4</v>
    <v>en-US</v>
    <v>a1mou2</v>
    <v>268435456</v>
    <v>1</v>
    <v>Powered by Refinitiv</v>
    <v>265.29000000000002</v>
    <v>169.21010000000001</v>
    <v>1.0826</v>
    <v>1.1299999999999999</v>
    <v>4.372E-3</v>
    <v>6.0400000000000002E-2</v>
    <v>2.3269999999999999E-4</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260.62</v>
    <v>Computers, Phones &amp; Household Electronics</v>
    <v>Stock</v>
    <v>45953.935132731247</v>
    <v>0</v>
    <v>258.01010000000002</v>
    <v>3899609000000</v>
    <v>APPLE INC.</v>
    <v>APPLE INC.</v>
    <v>259.94</v>
    <v>35.802700000000002</v>
    <v>258.45</v>
    <v>259.58</v>
    <v>259.6404</v>
    <v>14840390000</v>
    <v>AAPL</v>
    <v>APPLE INC. (XNAS:AAPL)</v>
    <v>32648320</v>
    <v>53110715</v>
    <v>1977</v>
  </rv>
  <rv s="2">
    <v>1</v>
  </rv>
  <rv s="0">
    <v>https://www.bing.com/financeapi/forcetrigger?t=a269vh&amp;q=XNAS%3aXPER&amp;form=skydnc</v>
    <v>Learn more on Bing</v>
  </rv>
  <rv s="1">
    <v>0</v>
    <v>ADEIA INC. (XNAS:ADEA)</v>
    <v>2</v>
    <v>3</v>
    <v>Finance</v>
    <v>5</v>
    <v>en-US</v>
    <v>a269vh</v>
    <v>268435456</v>
    <v>1</v>
    <v>Powered by Refinitiv</v>
    <v>18.25</v>
    <v>10.59</v>
    <v>2.5766</v>
    <v>-0.05</v>
    <v>-2.9729999999999999E-3</v>
    <v>0</v>
    <v>0</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17.079999999999998</v>
    <v>Software &amp; IT Services</v>
    <v>Stock</v>
    <v>45953.853834328125</v>
    <v>3</v>
    <v>16.75</v>
    <v>1860360000</v>
    <v>ADEIA INC.</v>
    <v>ADEIA INC.</v>
    <v>16.8</v>
    <v>22.6844</v>
    <v>16.82</v>
    <v>16.77</v>
    <v>16.77</v>
    <v>109368600</v>
    <v>ADEA</v>
    <v>ADEIA INC. (XNAS:ADEA)</v>
    <v>316994</v>
    <v>574337</v>
    <v>2019</v>
  </rv>
  <rv s="2">
    <v>4</v>
  </rv>
  <rv s="0">
    <v>https://www.bing.com/financeapi/forcetrigger?t=aodfgh&amp;q=XLON%3aAET&amp;form=skydnc</v>
    <v>Learn more on Bing</v>
  </rv>
  <rv s="3">
    <v>6</v>
    <v>AFENTRA PLC (XLON:AET)</v>
    <v>2</v>
    <v>7</v>
    <v>Finance</v>
    <v>8</v>
    <v>en-US</v>
    <v>aodfgh</v>
    <v>268435456</v>
    <v>1</v>
    <v>Powered by Refinitiv</v>
    <v>56.2</v>
    <v>33.064999999999998</v>
    <v>1.1551</v>
    <v>1</v>
    <v>2.3040999999999999E-2</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44.4</v>
    <v>Oil &amp; Gas</v>
    <v>Stock</v>
    <v>45953.619284015622</v>
    <v>6</v>
    <v>43.8</v>
    <v>97247080</v>
    <v>AFENTRA PLC</v>
    <v>AFENTRA PLC</v>
    <v>44.3</v>
    <v>3.7673999999999999</v>
    <v>43.4</v>
    <v>44.4</v>
    <v>226156000</v>
    <v>AET</v>
    <v>AFENTRA PLC (XLON:AET)</v>
    <v>523454</v>
    <v>1059800</v>
    <v>1983</v>
  </rv>
  <rv s="2">
    <v>7</v>
  </rv>
  <rv s="0">
    <v>https://www.bing.com/financeapi/forcetrigger?t=a1nhlh&amp;q=XNAS%3aAMZN&amp;form=skydnc</v>
    <v>Learn more on Bing</v>
  </rv>
  <rv s="1">
    <v>0</v>
    <v>AMAZON.COM, INC. (XNAS:AMZN)</v>
    <v>2</v>
    <v>3</v>
    <v>Finance</v>
    <v>4</v>
    <v>en-US</v>
    <v>a1nhlh</v>
    <v>268435456</v>
    <v>1</v>
    <v>Powered by Refinitiv</v>
    <v>242.52</v>
    <v>161.38</v>
    <v>1.2831999999999999</v>
    <v>3.14</v>
    <v>1.4407000000000001E-2</v>
    <v>-0.52</v>
    <v>-2.3519999999999999E-3</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221.3</v>
    <v>Diversified Retail</v>
    <v>Stock</v>
    <v>45953.935426620315</v>
    <v>9</v>
    <v>218.18</v>
    <v>2367931000000</v>
    <v>AMAZON.COM, INC.</v>
    <v>AMAZON.COM, INC.</v>
    <v>219</v>
    <v>33.737699999999997</v>
    <v>217.95</v>
    <v>221.09</v>
    <v>220.57</v>
    <v>10664910000</v>
    <v>AMZN</v>
    <v>AMAZON.COM, INC. (XNAS:AMZN)</v>
    <v>31481995</v>
    <v>48377656</v>
    <v>1996</v>
  </rv>
  <rv s="2">
    <v>10</v>
  </rv>
  <rv s="0">
    <v>https://www.bing.com/financeapi/forcetrigger?t=b125ww&amp;q=XPAR%3aALDNE&amp;form=skydnc</v>
    <v>Learn more on Bing</v>
  </rv>
  <rv s="3">
    <v>6</v>
    <v>Dont Nod Entertainment SA (XPAR:ALDNE)</v>
    <v>2</v>
    <v>9</v>
    <v>Finance</v>
    <v>10</v>
    <v>en-US</v>
    <v>b125ww</v>
    <v>268435456</v>
    <v>1</v>
    <v>Powered by Refinitiv</v>
    <v>1.53</v>
    <v>0.65</v>
    <v>1.0339</v>
    <v>-2E-3</v>
    <v>-2.3809999999999999E-3</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0.84</v>
    <v>Software &amp; IT Services</v>
    <v>Stock</v>
    <v>45953.666666666664</v>
    <v>12</v>
    <v>0.81</v>
    <v>10857860</v>
    <v>Dont Nod Entertainment SA</v>
    <v>Dont Nod Entertainment SA</v>
    <v>0.84</v>
    <v>0</v>
    <v>0.84</v>
    <v>0.83799999999999997</v>
    <v>13081760</v>
    <v>ALDNE</v>
    <v>Dont Nod Entertainment SA (XPAR:ALDNE)</v>
    <v>2266</v>
    <v>5670</v>
    <v>2008</v>
  </rv>
  <rv s="2">
    <v>13</v>
  </rv>
  <rv s="0">
    <v>https://www.bing.com/financeapi/forcetrigger?t=alnz5r&amp;q=XAMS%3aASML&amp;form=skydnc</v>
    <v>Learn more on Bing</v>
  </rv>
  <rv s="3">
    <v>6</v>
    <v>ASML Holding NV (XAMS:ASML)</v>
    <v>2</v>
    <v>9</v>
    <v>Finance</v>
    <v>10</v>
    <v>en-US</v>
    <v>alnz5r</v>
    <v>268435456</v>
    <v>1</v>
    <v>Powered by Refinitiv</v>
    <v>905.1</v>
    <v>508.4</v>
    <v>1.9639</v>
    <v>17.600000000000001</v>
    <v>2.0228000000000003E-2</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891.2</v>
    <v>Semiconductors &amp; Semiconductor Equipment</v>
    <v>Stock</v>
    <v>45953.666666666664</v>
    <v>15</v>
    <v>854.1</v>
    <v>345373800000</v>
    <v>ASML Holding NV</v>
    <v>ASML Holding NV</v>
    <v>872</v>
    <v>33.408700000000003</v>
    <v>870.1</v>
    <v>887.7</v>
    <v>388147700</v>
    <v>ASML</v>
    <v>ASML Holding NV (XAMS:ASML)</v>
    <v>746164</v>
    <v>794970</v>
    <v>1994</v>
  </rv>
  <rv s="2">
    <v>16</v>
  </rv>
  <rv s="0">
    <v>https://www.bing.com/financeapi/forcetrigger?t=a1nz8m&amp;q=XNAS%3aAVGO&amp;form=skydnc</v>
    <v>Learn more on Bing</v>
  </rv>
  <rv s="1">
    <v>0</v>
    <v>BROADCOM INC. (XNAS:AVGO)</v>
    <v>2</v>
    <v>3</v>
    <v>Finance</v>
    <v>4</v>
    <v>en-US</v>
    <v>a1nz8m</v>
    <v>268435456</v>
    <v>1</v>
    <v>Powered by Refinitiv</v>
    <v>374.23</v>
    <v>138.1</v>
    <v>1.1960999999999999</v>
    <v>3.99</v>
    <v>1.1725000000000001E-2</v>
    <v>3.6949999999999998</v>
    <v>1.0731999999999998E-2</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346.57</v>
    <v>Semiconductors &amp; Semiconductor Equipment</v>
    <v>Stock</v>
    <v>45953.935370046092</v>
    <v>18</v>
    <v>340.4</v>
    <v>1618166000000</v>
    <v>BROADCOM INC.</v>
    <v>BROADCOM INC.</v>
    <v>340.4</v>
    <v>88.256900000000002</v>
    <v>340.3</v>
    <v>344.29</v>
    <v>347.98500000000001</v>
    <v>4722365000</v>
    <v>AVGO</v>
    <v>BROADCOM INC. (XNAS:AVGO)</v>
    <v>12788852</v>
    <v>22376649</v>
    <v>2018</v>
  </rv>
  <rv s="2">
    <v>19</v>
  </rv>
  <rv s="4">
    <v>12</v>
    <v>Expense ratio</v>
    <v>0</v>
  </rv>
  <rv s="0">
    <v>https://www.bing.com/financeapi/forcetrigger?t=a1o3qh&amp;q=XNAS%3aAZN&amp;form=skydnc</v>
    <v>Learn more on Bing</v>
  </rv>
  <rv s="1">
    <v>0</v>
    <v>ASTRAZENECA PLC (XNAS:AZN)</v>
    <v>2</v>
    <v>3</v>
    <v>Finance</v>
    <v>4</v>
    <v>en-US</v>
    <v>a1o3qh</v>
    <v>268435456</v>
    <v>1</v>
    <v>Powered by Refinitiv</v>
    <v>86.57</v>
    <v>61.24</v>
    <v>0.33910000000000001</v>
    <v>-0.03</v>
    <v>-3.5960000000000001E-4</v>
    <v>-0.33</v>
    <v>-3.9569999999999996E-3</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83.81</v>
    <v>Pharmaceuticals</v>
    <v>Stock</v>
    <v>45953.925513876566</v>
    <v>22</v>
    <v>83.12</v>
    <v>258543600000</v>
    <v>ASTRAZENECA PLC</v>
    <v>ASTRAZENECA PLC</v>
    <v>83.17</v>
    <v>31.3994</v>
    <v>83.43</v>
    <v>83.4</v>
    <v>83.07</v>
    <v>3101404000</v>
    <v>AZN</v>
    <v>ASTRAZENECA PLC (XNAS:AZN)</v>
    <v>2149842</v>
    <v>5932836</v>
    <v>1992</v>
  </rv>
  <rv s="2">
    <v>23</v>
  </rv>
  <rv s="0">
    <v>https://www.bing.com/financeapi/forcetrigger?t=a1oldm&amp;q=XNAS%3aBLDP&amp;form=skydnc</v>
    <v>Learn more on Bing</v>
  </rv>
  <rv s="1">
    <v>0</v>
    <v>BALLARD POWER SYSTEMS INC. (XNAS:BLDP)</v>
    <v>2</v>
    <v>11</v>
    <v>Finance</v>
    <v>4</v>
    <v>en-US</v>
    <v>a1oldm</v>
    <v>268435456</v>
    <v>1</v>
    <v>Powered by Refinitiv</v>
    <v>4.0999999999999996</v>
    <v>1</v>
    <v>1.9228000000000001</v>
    <v>0</v>
    <v>0</v>
    <v>-0.03</v>
    <v>-9.1459999999999996E-3</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3.3</v>
    <v>Renewable Energy</v>
    <v>Stock</v>
    <v>45953.934781885939</v>
    <v>25</v>
    <v>3.21</v>
    <v>1406704000</v>
    <v>BALLARD POWER SYSTEMS INC.</v>
    <v>BALLARD POWER SYSTEMS INC.</v>
    <v>3.2650000000000001</v>
    <v>0</v>
    <v>3.28</v>
    <v>3.28</v>
    <v>3.25</v>
    <v>300577700</v>
    <v>BLDP</v>
    <v>BALLARD POWER SYSTEMS INC. (XNAS:BLDP)</v>
    <v>5627306</v>
    <v>9973914</v>
    <v>2016</v>
  </rv>
  <rv s="2">
    <v>26</v>
  </rv>
  <rv s="0">
    <v>https://www.bing.com/financeapi/forcetrigger?t=a1oo5r&amp;q=XNAS%3aBMRA&amp;form=skydnc</v>
    <v>Learn more on Bing</v>
  </rv>
  <rv s="1">
    <v>0</v>
    <v>BIOMERICA, INC. (XNAS:BMRA)</v>
    <v>2</v>
    <v>3</v>
    <v>Finance</v>
    <v>4</v>
    <v>en-US</v>
    <v>a1oo5r</v>
    <v>268435456</v>
    <v>1</v>
    <v>Powered by Refinitiv</v>
    <v>10.16</v>
    <v>2.08</v>
    <v>0.26950000000000002</v>
    <v>0</v>
    <v>0</v>
    <v>-0.01</v>
    <v>-3.4360000000000003E-3</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2.9769000000000001</v>
    <v>Healthcare Equipment &amp; Supplies</v>
    <v>Stock</v>
    <v>45953.925526503903</v>
    <v>28</v>
    <v>2.82</v>
    <v>9433490</v>
    <v>BIOMERICA, INC.</v>
    <v>BIOMERICA, INC.</v>
    <v>2.93</v>
    <v>0</v>
    <v>2.93</v>
    <v>2.93</v>
    <v>2.9</v>
    <v>2947970</v>
    <v>BMRA</v>
    <v>BIOMERICA, INC. (XNAS:BMRA)</v>
    <v>19587</v>
    <v>205884</v>
    <v>1971</v>
  </rv>
  <rv s="2">
    <v>29</v>
  </rv>
  <rv s="0">
    <v>https://www.bing.com/financeapi/forcetrigger?t=a1p3ww&amp;q=XNYS%3aC&amp;form=skydnc</v>
    <v>Learn more on Bing</v>
  </rv>
  <rv s="1">
    <v>0</v>
    <v>CITIGROUP INC. (XNYS:C)</v>
    <v>2</v>
    <v>3</v>
    <v>Finance</v>
    <v>4</v>
    <v>en-US</v>
    <v>a1p3ww</v>
    <v>268435456</v>
    <v>1</v>
    <v>Powered by Refinitiv</v>
    <v>105.59</v>
    <v>55.51</v>
    <v>1.3587</v>
    <v>0.36</v>
    <v>3.738E-3</v>
    <v>0.26</v>
    <v>2.6889999999999996E-3</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227000</v>
    <v>New York Stock Exchange</v>
    <v>XNYS</v>
    <v>XNYS</v>
    <v>388 Greenwich Street, 17th Floor, NEW YORK, NY, 10013 US</v>
    <v>97.529899999999998</v>
    <v>Investment Banking &amp; Investment Services</v>
    <v>Stock</v>
    <v>45953.93435594844</v>
    <v>31</v>
    <v>96.3</v>
    <v>175798700000</v>
    <v>CITIGROUP INC.</v>
    <v>CITIGROUP INC.</v>
    <v>96.814999999999998</v>
    <v>13.588100000000001</v>
    <v>96.3</v>
    <v>96.66</v>
    <v>96.95</v>
    <v>1789300000</v>
    <v>C</v>
    <v>CITIGROUP INC. (XNYS:C)</v>
    <v>8187088</v>
    <v>14528385</v>
    <v>1988</v>
  </rv>
  <rv s="2">
    <v>32</v>
  </rv>
  <rv s="0">
    <v>https://www.bing.com/financeapi/forcetrigger?t=a1qe5r&amp;q=XNAS%3aCSCO&amp;form=skydnc</v>
    <v>Learn more on Bing</v>
  </rv>
  <rv s="1">
    <v>0</v>
    <v>CISCO SYSTEMS, INC. (XNAS:CSCO)</v>
    <v>2</v>
    <v>3</v>
    <v>Finance</v>
    <v>4</v>
    <v>en-US</v>
    <v>a1qe5r</v>
    <v>268435456</v>
    <v>1</v>
    <v>Powered by Refinitiv</v>
    <v>72.55</v>
    <v>52.11</v>
    <v>0.94440000000000002</v>
    <v>-0.39</v>
    <v>-5.5189999999999996E-3</v>
    <v>0.13</v>
    <v>1.8500000000000001E-3</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71.234999999999999</v>
    <v>Communications &amp; Networking</v>
    <v>Stock</v>
    <v>45953.934520532028</v>
    <v>34</v>
    <v>70.23</v>
    <v>279570100000</v>
    <v>CISCO SYSTEMS, INC.</v>
    <v>CISCO SYSTEMS, INC.</v>
    <v>70.599999999999994</v>
    <v>29.706199999999999</v>
    <v>70.66</v>
    <v>70.27</v>
    <v>70.400000000000006</v>
    <v>3953197000</v>
    <v>CSCO</v>
    <v>CISCO SYSTEMS, INC. (XNAS:CSCO)</v>
    <v>14605493</v>
    <v>19064603</v>
    <v>2021</v>
  </rv>
  <rv s="2">
    <v>35</v>
  </rv>
  <rv s="0">
    <v>https://www.bing.com/financeapi/forcetrigger?t=a1qlnm&amp;q=XNYS%3aCVS&amp;form=skydnc</v>
    <v>Learn more on Bing</v>
  </rv>
  <rv s="1">
    <v>0</v>
    <v>CVS HEALTH CORPORATION (XNYS:CVS)</v>
    <v>2</v>
    <v>3</v>
    <v>Finance</v>
    <v>4</v>
    <v>en-US</v>
    <v>a1qlnm</v>
    <v>268435456</v>
    <v>1</v>
    <v>Powered by Refinitiv</v>
    <v>83.52</v>
    <v>43.56</v>
    <v>0.59709999999999996</v>
    <v>-0.28499999999999998</v>
    <v>-3.5039999999999997E-3</v>
    <v>0.03</v>
    <v>3.701E-4</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81.625</v>
    <v>Healthcare Providers &amp; Services</v>
    <v>Stock</v>
    <v>45953.928770960156</v>
    <v>37</v>
    <v>80.510000000000005</v>
    <v>105321800000</v>
    <v>CVS HEALTH CORPORATION</v>
    <v>CVS HEALTH CORPORATION</v>
    <v>81.239999999999995</v>
    <v>22.702000000000002</v>
    <v>81.344999999999999</v>
    <v>81.06</v>
    <v>81.099999999999994</v>
    <v>1268326000</v>
    <v>CVS</v>
    <v>CVS HEALTH CORPORATION (XNYS:CVS)</v>
    <v>6025020</v>
    <v>7318726</v>
    <v>1996</v>
  </rv>
  <rv s="2">
    <v>38</v>
  </rv>
  <rv s="0">
    <v>https://www.bing.com/financeapi/forcetrigger?t=a1qu2w&amp;q=XNYS%3aDDD&amp;form=skydnc</v>
    <v>Learn more on Bing</v>
  </rv>
  <rv s="5">
    <v>12</v>
    <v>3D SYSTEMS CORPORATION (XNYS:DDD)</v>
    <v>2</v>
    <v>13</v>
    <v>Finance</v>
    <v>4</v>
    <v>en-US</v>
    <v>a1qu2w</v>
    <v>268435456</v>
    <v>1</v>
    <v>Powered by Refinitiv</v>
    <v>4.9991000000000003</v>
    <v>1.32</v>
    <v>2.1789000000000001</v>
    <v>6.5000000000000002E-2</v>
    <v>2.1595E-2</v>
    <v>0.01</v>
    <v>3.2469999999999999E-3</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3.21</v>
    <v>Electronic Equipment &amp; Parts</v>
    <v>Stock</v>
    <v>45953.931008935157</v>
    <v>40</v>
    <v>3.01</v>
    <v>433493700</v>
    <v>3D SYSTEMS CORPORATION</v>
    <v>3D SYSTEMS CORPORATION</v>
    <v>3.08</v>
    <v>3.01</v>
    <v>3.0750000000000002</v>
    <v>3.09</v>
    <v>128252600</v>
    <v>DDD</v>
    <v>3D SYSTEMS CORPORATION (XNYS:DDD)</v>
    <v>2828733</v>
    <v>5090282</v>
    <v>1993</v>
  </rv>
  <rv s="2">
    <v>41</v>
  </rv>
  <rv s="0">
    <v>http://en.wikipedia.org/wiki/Public_domain</v>
    <v>Public domain</v>
  </rv>
  <rv s="0">
    <v>http://en.wikipedia.org/wiki/The_Walt_Disney_Company</v>
    <v>Wikipedia</v>
  </rv>
  <rv s="6">
    <v>43</v>
    <v>44</v>
  </rv>
  <rv s="7">
    <v>18</v>
    <v>https://www.bing.com/th?id=AMMS_0aa288ba528f6f45e3de87d97e250136&amp;qlt=95</v>
    <v>45</v>
    <v>0</v>
    <v>https://www.bing.com/images/search?form=xlimg&amp;q=the+walt+disney+company</v>
    <v>Image of THE WALT DISNEY COMPANY</v>
  </rv>
  <rv s="0">
    <v>https://www.bing.com/financeapi/forcetrigger?t=a1r2z2&amp;q=XNYS%3aDIS&amp;form=skydnc</v>
    <v>Learn more on Bing</v>
  </rv>
  <rv s="8">
    <v>14</v>
    <v>THE WALT DISNEY COMPANY (XNYS:DIS)</v>
    <v>16</v>
    <v>17</v>
    <v>Finance</v>
    <v>4</v>
    <v>en-US</v>
    <v>a1r2z2</v>
    <v>268435456</v>
    <v>1</v>
    <v>Powered by Refinitiv</v>
    <v>124.69</v>
    <v>80.099999999999994</v>
    <v>1.5536000000000001</v>
    <v>-0.06</v>
    <v>-5.306E-4</v>
    <v>0.22</v>
    <v>1.946E-3</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113.83</v>
    <v>46</v>
    <v>Media &amp; Publishing</v>
    <v>Stock</v>
    <v>45953.933630231251</v>
    <v>47</v>
    <v>111.90009999999999</v>
    <v>205503800000</v>
    <v>THE WALT DISNEY COMPANY</v>
    <v>THE WALT DISNEY COMPANY</v>
    <v>113.17</v>
    <v>17.7287</v>
    <v>113.08</v>
    <v>113.02</v>
    <v>113.25</v>
    <v>1797934000</v>
    <v>DIS</v>
    <v>THE WALT DISNEY COMPANY (XNYS:DIS)</v>
    <v>6943706</v>
    <v>9017926</v>
    <v>2018</v>
  </rv>
  <rv s="2">
    <v>48</v>
  </rv>
  <rv s="0">
    <v>https://www.bing.com/financeapi/forcetrigger?t=ae8e9c&amp;q=XPAR%3aDSY&amp;form=skydnc</v>
    <v>Learn more on Bing</v>
  </rv>
  <rv s="3">
    <v>6</v>
    <v>Dassault Systemes SE (XPAR:DSY)</v>
    <v>2</v>
    <v>9</v>
    <v>Finance</v>
    <v>10</v>
    <v>en-US</v>
    <v>ae8e9c</v>
    <v>268435456</v>
    <v>1</v>
    <v>Powered by Refinitiv</v>
    <v>41.17</v>
    <v>25.01</v>
    <v>0.68330000000000002</v>
    <v>-3.91</v>
    <v>-0.12981400000000001</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26.35</v>
    <v>Software &amp; IT Services</v>
    <v>Stock</v>
    <v>45953.666666666664</v>
    <v>50</v>
    <v>25.01</v>
    <v>40605880000</v>
    <v>Dassault Systemes SE</v>
    <v>Dassault Systemes SE</v>
    <v>26</v>
    <v>34.608800000000002</v>
    <v>30.12</v>
    <v>26.21</v>
    <v>1341456000</v>
    <v>DSY</v>
    <v>Dassault Systemes SE (XPAR:DSY)</v>
    <v>7762453</v>
    <v>1473940</v>
    <v>1981</v>
  </rv>
  <rv s="2">
    <v>51</v>
  </rv>
  <rv s="0">
    <v>https://www.bing.com/financeapi/forcetrigger?t=a1rec7&amp;q=XNYS%3aDVA&amp;form=skydnc</v>
    <v>Learn more on Bing</v>
  </rv>
  <rv s="1">
    <v>0</v>
    <v>DAVITA INC. (XNYS:DVA)</v>
    <v>2</v>
    <v>3</v>
    <v>Finance</v>
    <v>5</v>
    <v>en-US</v>
    <v>a1rec7</v>
    <v>268435456</v>
    <v>1</v>
    <v>Powered by Refinitiv</v>
    <v>179.6</v>
    <v>122.925</v>
    <v>1.1397999999999999</v>
    <v>-1.06</v>
    <v>-8.2120000000000005E-3</v>
    <v>0.48</v>
    <v>3.7490000000000002E-3</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128.36000000000001</v>
    <v>Healthcare Providers &amp; Services</v>
    <v>Stock</v>
    <v>45953.919264467186</v>
    <v>53</v>
    <v>126.57</v>
    <v>9181315000</v>
    <v>DAVITA INC.</v>
    <v>DAVITA INC.</v>
    <v>128.21</v>
    <v>12.5792</v>
    <v>129.08000000000001</v>
    <v>128.02000000000001</v>
    <v>128.5</v>
    <v>71500000</v>
    <v>DVA</v>
    <v>DAVITA INC. (XNYS:DVA)</v>
    <v>537224</v>
    <v>719757</v>
    <v>1994</v>
  </rv>
  <rv s="2">
    <v>54</v>
  </rv>
  <rv s="0">
    <v>https://www.bing.com/financeapi/forcetrigger?t=a1rgur&amp;q=XNYS%3aDXC&amp;form=skydnc</v>
    <v>Learn more on Bing</v>
  </rv>
  <rv s="1">
    <v>0</v>
    <v>DXC TECHNOLOGY COMPANY (XNYS:DXC)</v>
    <v>2</v>
    <v>3</v>
    <v>Finance</v>
    <v>5</v>
    <v>en-US</v>
    <v>a1rgur</v>
    <v>268435456</v>
    <v>1</v>
    <v>Powered by Refinitiv</v>
    <v>24.83</v>
    <v>12.24</v>
    <v>1.1529</v>
    <v>0.1</v>
    <v>7.5360000000000002E-3</v>
    <v>0</v>
    <v>0</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13.37</v>
    <v>Software &amp; IT Services</v>
    <v>Stock</v>
    <v>45953.893758506252</v>
    <v>56</v>
    <v>13.12</v>
    <v>2393212619</v>
    <v>DXC TECHNOLOGY COMPANY</v>
    <v>DXC TECHNOLOGY COMPANY</v>
    <v>13.13</v>
    <v>6.5282999999999998</v>
    <v>13.27</v>
    <v>13.37</v>
    <v>13.37</v>
    <v>178998700</v>
    <v>DXC</v>
    <v>DXC TECHNOLOGY COMPANY (XNYS:DXC)</v>
    <v>1687767</v>
    <v>1837101</v>
    <v>2017</v>
  </rv>
  <rv s="2">
    <v>57</v>
  </rv>
  <rv s="0">
    <v>https://www.bing.com/financeapi/forcetrigger?t=af9doc&amp;q=XFRA%3aEOAN&amp;form=skydnc</v>
    <v>Learn more on Bing</v>
  </rv>
  <rv s="3">
    <v>6</v>
    <v>E.ON SE (XFRA:EOAN)</v>
    <v>2</v>
    <v>9</v>
    <v>Finance</v>
    <v>10</v>
    <v>en-US</v>
    <v>af9doc</v>
    <v>268435456</v>
    <v>1</v>
    <v>Powered by Refinitiv</v>
    <v>16.515000000000001</v>
    <v>7.3</v>
    <v>0.72070000000000001</v>
    <v>-0.12</v>
    <v>-7.4529999999999996E-3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Deutsche Boerse AG</v>
    <v>XFRA</v>
    <v>XFRA</v>
    <v>Bruesseler Platz 1, ESSEN, NORDRHEIN-WESTFALEN, 45131 DE</v>
    <v>16.13</v>
    <v>Multiline Utilities</v>
    <v>Stock</v>
    <v>45953.836805555555</v>
    <v>59</v>
    <v>15.97</v>
    <v>43185560000</v>
    <v>E.ON SE</v>
    <v>E.ON SE</v>
    <v>16.13</v>
    <v>13.2066</v>
    <v>16.100000000000001</v>
    <v>15.98</v>
    <v>2641319000</v>
    <v>EOAN</v>
    <v>E.ON SE (XFRA:EOAN)</v>
    <v>6458</v>
    <v>3081430</v>
    <v>2017</v>
  </rv>
  <rv s="2">
    <v>60</v>
  </rv>
  <rv s="0">
    <v>https://www.bing.com/financeapi/forcetrigger?t=a1s2zr&amp;q=XNAS%3aEPIX&amp;form=skydnc</v>
    <v>Learn more on Bing</v>
  </rv>
  <rv s="3">
    <v>6</v>
    <v>ESSA Pharma Inc. (XNAS:EPIX)</v>
    <v>2</v>
    <v>19</v>
    <v>Finance</v>
    <v>20</v>
    <v>en-US</v>
    <v>a1s2zr</v>
    <v>268435456</v>
    <v>1</v>
    <v>Powered by Refinitiv</v>
    <v>0.82499999999999996</v>
    <v>0.17330000000000001</v>
    <v>1.5513999999999999</v>
    <v>0</v>
    <v>0</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0.20699999999999999</v>
    <v>Holding Companies</v>
    <v>Stock</v>
    <v>45938.992447279685</v>
    <v>62</v>
    <v>0.18990000000000001</v>
    <v>9518448</v>
    <v>ESSA Pharma Inc.</v>
    <v>ESSA Pharma Inc.</v>
    <v>0.2</v>
    <v>0</v>
    <v>0.20499999999999999</v>
    <v>0.20119999999999999</v>
    <v>47308390</v>
    <v>EPIX</v>
    <v>ESSA Pharma Inc. (XNAS:EPIX)</v>
    <v>5945141</v>
    <v>3209641</v>
    <v>2009</v>
  </rv>
  <rv s="2">
    <v>63</v>
  </rv>
  <rv s="0">
    <v>https://www.bing.com/financeapi/forcetrigger?t=a1tyrw&amp;q=XNYS%3aGM&amp;form=skydnc</v>
    <v>Learn more on Bing</v>
  </rv>
  <rv s="1">
    <v>0</v>
    <v>GENERAL MOTORS COMPANY (XNYS:GM)</v>
    <v>2</v>
    <v>3</v>
    <v>Finance</v>
    <v>4</v>
    <v>en-US</v>
    <v>a1tyrw</v>
    <v>268435456</v>
    <v>1</v>
    <v>Powered by Refinitiv</v>
    <v>68.48</v>
    <v>41.6</v>
    <v>1.4006000000000001</v>
    <v>-0.47499999999999998</v>
    <v>-7.0569999999999999E-3</v>
    <v>0.35</v>
    <v>5.2359999999999993E-3</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68.48</v>
    <v>Automobiles &amp; Auto Parts</v>
    <v>Stock</v>
    <v>45953.935127013283</v>
    <v>65</v>
    <v>66.569999999999993</v>
    <v>62147220000</v>
    <v>GENERAL MOTORS COMPANY</v>
    <v>GENERAL MOTORS COMPANY</v>
    <v>67.97</v>
    <v>12.946300000000001</v>
    <v>67.31</v>
    <v>66.834999999999994</v>
    <v>67.2</v>
    <v>932861300</v>
    <v>GM</v>
    <v>GENERAL MOTORS COMPANY (XNYS:GM)</v>
    <v>12643966</v>
    <v>10036558</v>
    <v>2009</v>
  </rv>
  <rv s="2">
    <v>66</v>
  </rv>
  <rv s="0">
    <v>https://www.bing.com/financeapi/forcetrigger?t=a1utqh&amp;q=XNYS%3aHPE&amp;form=skydnc</v>
    <v>Learn more on Bing</v>
  </rv>
  <rv s="1">
    <v>0</v>
    <v>HEWLETT PACKARD ENTERPRISE COMPANY (XNYS:HPE)</v>
    <v>2</v>
    <v>3</v>
    <v>Finance</v>
    <v>4</v>
    <v>en-US</v>
    <v>a1utqh</v>
    <v>268435456</v>
    <v>1</v>
    <v>Powered by Refinitiv</v>
    <v>26.44</v>
    <v>11.965</v>
    <v>1.4474</v>
    <v>0.11</v>
    <v>4.764E-3</v>
    <v>0.1</v>
    <v>4.3119999999999999E-3</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23.46</v>
    <v>Computers, Phones &amp; Household Electronics</v>
    <v>Stock</v>
    <v>45953.934509282029</v>
    <v>68</v>
    <v>23.055</v>
    <v>30703600000</v>
    <v>HEWLETT PACKARD ENTERPRISE COMPANY</v>
    <v>HEWLETT PACKARD ENTERPRISE COMPANY</v>
    <v>23.14</v>
    <v>27.695499999999999</v>
    <v>23.09</v>
    <v>23.2</v>
    <v>23.29</v>
    <v>1319450000</v>
    <v>HPE</v>
    <v>HEWLETT PACKARD ENTERPRISE COMPANY (XNYS:HPE)</v>
    <v>30704371</v>
    <v>34999770</v>
    <v>2015</v>
  </rv>
  <rv s="2">
    <v>69</v>
  </rv>
  <rv s="0">
    <v>http://en.wikipedia.org/wiki/Hewlett-Packard</v>
    <v>Wikipedia</v>
  </rv>
  <rv s="6">
    <v>43</v>
    <v>71</v>
  </rv>
  <rv s="7">
    <v>18</v>
    <v>https://www.bing.com/th?id=AMMS_98757b1e7b158827481b7c629463c21b&amp;qlt=95</v>
    <v>72</v>
    <v>0</v>
    <v>https://www.bing.com/images/search?form=xlimg&amp;q=hp+company</v>
    <v>Image of HP INC.</v>
  </rv>
  <rv s="0">
    <v>https://www.bing.com/financeapi/forcetrigger?t=a1uu5r&amp;q=XNYS%3aHPQ&amp;form=skydnc</v>
    <v>Learn more on Bing</v>
  </rv>
  <rv s="8">
    <v>14</v>
    <v>HP INC. (XNYS:HPQ)</v>
    <v>16</v>
    <v>17</v>
    <v>Finance</v>
    <v>5</v>
    <v>en-US</v>
    <v>a1uu5r</v>
    <v>268435456</v>
    <v>1</v>
    <v>Powered by Refinitiv</v>
    <v>39.795000000000002</v>
    <v>21.21</v>
    <v>1.2943</v>
    <v>0.17</v>
    <v>6.1460000000000004E-3</v>
    <v>0.02</v>
    <v>7.185999999999999E-4</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28.14</v>
    <v>73</v>
    <v>Computers, Phones &amp; Household Electronics</v>
    <v>Stock</v>
    <v>45953.918455856248</v>
    <v>74</v>
    <v>27.664999999999999</v>
    <v>26321210000</v>
    <v>HP INC.</v>
    <v>HP INC.</v>
    <v>27.78</v>
    <v>10.1381</v>
    <v>27.66</v>
    <v>27.83</v>
    <v>27.85</v>
    <v>934701800</v>
    <v>HPQ</v>
    <v>HP INC. (XNYS:HPQ)</v>
    <v>11798708</v>
    <v>11942687</v>
    <v>1998</v>
  </rv>
  <rv s="2">
    <v>75</v>
  </rv>
  <rv s="0">
    <v>https://www.bing.com/financeapi/forcetrigger?t=ao9wcw&amp;q=XLON%3aIAG&amp;form=skydnc</v>
    <v>Learn more on Bing</v>
  </rv>
  <rv s="3">
    <v>6</v>
    <v>International Consolidated Airlines Group SA (XLON:IAG)</v>
    <v>2</v>
    <v>7</v>
    <v>Finance</v>
    <v>8</v>
    <v>en-US</v>
    <v>ao9wcw</v>
    <v>268435456</v>
    <v>1</v>
    <v>Powered by Refinitiv</v>
    <v>416</v>
    <v>207.2</v>
    <v>2.8881999999999999</v>
    <v>0.9</v>
    <v>2.235E-3</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406.2</v>
    <v>Passenger Transportation Services</v>
    <v>Stock</v>
    <v>45953.638413425782</v>
    <v>77</v>
    <v>398.9</v>
    <v>18094520000</v>
    <v>International Consolidated Airlines Group SA</v>
    <v>International Consolidated Airlines Group SA</v>
    <v>400.5</v>
    <v>7.2526999999999999</v>
    <v>402.6</v>
    <v>403.5</v>
    <v>4594849000</v>
    <v>IAG</v>
    <v>International Consolidated Airlines Group SA (XLON:IAG)</v>
    <v>9874009</v>
    <v>13633200</v>
    <v>2009</v>
  </rv>
  <rv s="2">
    <v>78</v>
  </rv>
  <rv s="0">
    <v>https://www.bing.com/financeapi/forcetrigger?t=a1wmu2&amp;q=XNYS%3aKR&amp;form=skydnc</v>
    <v>Learn more on Bing</v>
  </rv>
  <rv s="1">
    <v>0</v>
    <v>THE KROGER CO. (XNYS:KR)</v>
    <v>2</v>
    <v>3</v>
    <v>Finance</v>
    <v>5</v>
    <v>en-US</v>
    <v>a1wmu2</v>
    <v>268435456</v>
    <v>1</v>
    <v>Powered by Refinitiv</v>
    <v>74.900000000000006</v>
    <v>55.6</v>
    <v>0.55310000000000004</v>
    <v>0.06</v>
    <v>8.7460000000000001E-4</v>
    <v>-0.16</v>
    <v>-2.33E-3</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68.83</v>
    <v>Food &amp; Drug Retailing</v>
    <v>Stock</v>
    <v>45953.922182673436</v>
    <v>80</v>
    <v>68.185000000000002</v>
    <v>44797050000</v>
    <v>THE KROGER CO.</v>
    <v>THE KROGER CO.</v>
    <v>68.680000000000007</v>
    <v>17.394600000000001</v>
    <v>68.599999999999994</v>
    <v>68.66</v>
    <v>68.5</v>
    <v>662678200</v>
    <v>KR</v>
    <v>THE KROGER CO. (XNYS:KR)</v>
    <v>5057449</v>
    <v>6931531</v>
    <v>1902</v>
  </rv>
  <rv s="2">
    <v>81</v>
  </rv>
  <rv s="0">
    <v>https://www.bing.com/financeapi/forcetrigger?t=bvuap2&amp;q=XNAS%3aLNSR&amp;form=skydnc</v>
    <v>Learn more on Bing</v>
  </rv>
  <rv s="1">
    <v>0</v>
    <v>LENSAR, INC. (XNAS:LNSR)</v>
    <v>2</v>
    <v>3</v>
    <v>Finance</v>
    <v>5</v>
    <v>en-US</v>
    <v>bvuap2</v>
    <v>268435456</v>
    <v>1</v>
    <v>Powered by Refinitiv</v>
    <v>17.309999999999999</v>
    <v>5.25</v>
    <v>0.49099999999999999</v>
    <v>-0.24</v>
    <v>-1.9640000000000001E-2</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12.262499999999999</v>
    <v>Healthcare Equipment &amp; Supplies</v>
    <v>Stock</v>
    <v>45953.840324282028</v>
    <v>83</v>
    <v>11.94</v>
    <v>146320400</v>
    <v>LENSAR, INC.</v>
    <v>LENSAR, INC.</v>
    <v>12.21</v>
    <v>0</v>
    <v>12.22</v>
    <v>11.98</v>
    <v>11.98</v>
    <v>11934780</v>
    <v>LNSR</v>
    <v>LENSAR, INC. (XNAS:LNSR)</v>
    <v>34351</v>
    <v>48423</v>
    <v>2004</v>
  </rv>
  <rv s="2">
    <v>84</v>
  </rv>
  <rv s="0">
    <v>https://www.bing.com/financeapi/forcetrigger?t=a1qgzr&amp;q=XNYS%3aLUMN&amp;form=skydnc</v>
    <v>Learn more on Bing</v>
  </rv>
  <rv s="5">
    <v>12</v>
    <v>LUMEN TECHNOLOGIES, INC. (XNYS:LUMN)</v>
    <v>2</v>
    <v>13</v>
    <v>Finance</v>
    <v>4</v>
    <v>en-US</v>
    <v>a1qgzr</v>
    <v>268435456</v>
    <v>1</v>
    <v>Powered by Refinitiv</v>
    <v>10.33</v>
    <v>3.01</v>
    <v>1.3926000000000001</v>
    <v>0.745</v>
    <v>0.105824</v>
    <v>0.11</v>
    <v>1.4121E-2</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7.8250000000000002</v>
    <v>Telecommunications Services</v>
    <v>Stock</v>
    <v>45953.934978680467</v>
    <v>86</v>
    <v>7.2</v>
    <v>7357430000</v>
    <v>LUMEN TECHNOLOGIES, INC.</v>
    <v>LUMEN TECHNOLOGIES, INC.</v>
    <v>7.25</v>
    <v>7.04</v>
    <v>7.7850000000000001</v>
    <v>7.9</v>
    <v>1026141000</v>
    <v>LUMN</v>
    <v>LUMEN TECHNOLOGIES, INC. (XNYS:LUMN)</v>
    <v>24120829</v>
    <v>15456859</v>
    <v>1968</v>
  </rv>
  <rv s="2">
    <v>87</v>
  </rv>
  <rv s="0">
    <v>https://www.bing.com/financeapi/forcetrigger?t=bo5fpr&amp;q=XNAS%3aMRNA&amp;form=skydnc</v>
    <v>Learn more on Bing</v>
  </rv>
  <rv s="1">
    <v>0</v>
    <v>MODERNA, INC. (XNAS:MRNA)</v>
    <v>2</v>
    <v>3</v>
    <v>Finance</v>
    <v>4</v>
    <v>en-US</v>
    <v>bo5fpr</v>
    <v>268435456</v>
    <v>1</v>
    <v>Powered by Refinitiv</v>
    <v>57.69</v>
    <v>23.15</v>
    <v>2.0123000000000002</v>
    <v>-0.6</v>
    <v>-2.2345999999999998E-2</v>
    <v>0.04</v>
    <v>1.5240000000000002E-3</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26.67</v>
    <v>Pharmaceuticals</v>
    <v>Stock</v>
    <v>45953.935325763283</v>
    <v>89</v>
    <v>25.57</v>
    <v>10737070000</v>
    <v>MODERNA, INC.</v>
    <v>MODERNA, INC.</v>
    <v>25.82</v>
    <v>0</v>
    <v>26.85</v>
    <v>26.25</v>
    <v>26.29</v>
    <v>390580800</v>
    <v>MRNA</v>
    <v>MODERNA, INC. (XNAS:MRNA)</v>
    <v>8717204</v>
    <v>9899919</v>
    <v>2016</v>
  </rv>
  <rv s="2">
    <v>90</v>
  </rv>
  <rv s="0">
    <v>https://en.wikipedia.org/wiki/Microsoft</v>
    <v>Wikipedia</v>
  </rv>
  <rv s="6">
    <v>43</v>
    <v>92</v>
  </rv>
  <rv s="7">
    <v>18</v>
    <v>https://www.bing.com/th?id=AMMS_e6e837c7bf3a77408619758b7447855a&amp;qlt=95</v>
    <v>93</v>
    <v>0</v>
    <v>https://www.bing.com/images/search?form=xlimg&amp;q=microsoft</v>
    <v>Image of MICROSOFT CORPORATION</v>
  </rv>
  <rv s="0">
    <v>https://www.bing.com/financeapi/forcetrigger?t=a1xzim&amp;q=XNAS%3aMSFT&amp;form=skydnc</v>
    <v>Learn more on Bing</v>
  </rv>
  <rv s="8">
    <v>14</v>
    <v>MICROSOFT CORPORATION (XNAS:MSFT)</v>
    <v>16</v>
    <v>17</v>
    <v>Finance</v>
    <v>4</v>
    <v>en-US</v>
    <v>a1xzim</v>
    <v>268435456</v>
    <v>1</v>
    <v>Powered by Refinitiv</v>
    <v>555.45000000000005</v>
    <v>344.79</v>
    <v>1.0199</v>
    <v>0.02</v>
    <v>3.8420000000000001E-5</v>
    <v>0.12</v>
    <v>2.3050000000000002E-4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523.95000000000005</v>
    <v>94</v>
    <v>Software &amp; IT Services</v>
    <v>Stock</v>
    <v>45953.935077939066</v>
    <v>95</v>
    <v>518.61</v>
    <v>3847812000000</v>
    <v>MICROSOFT CORPORATION</v>
    <v>MICROSOFT CORPORATION</v>
    <v>522.46</v>
    <v>38.161099999999998</v>
    <v>520.54</v>
    <v>520.55999999999995</v>
    <v>520.67999999999995</v>
    <v>7433087000</v>
    <v>MSFT</v>
    <v>MICROSOFT CORPORATION (XNAS:MSFT)</v>
    <v>13990542</v>
    <v>18927730</v>
    <v>1993</v>
  </rv>
  <rv s="2">
    <v>96</v>
  </rv>
  <rv s="0">
    <v>https://www.bing.com/financeapi/forcetrigger?t=a1ye2w&amp;q=XNYS%3aNEE&amp;form=skydnc</v>
    <v>Learn more on Bing</v>
  </rv>
  <rv s="1">
    <v>0</v>
    <v>NEXTERA ENERGY, INC. (XNYS:NEE)</v>
    <v>2</v>
    <v>3</v>
    <v>Finance</v>
    <v>4</v>
    <v>en-US</v>
    <v>a1ye2w</v>
    <v>268435456</v>
    <v>1</v>
    <v>Powered by Refinitiv</v>
    <v>86.74</v>
    <v>61.72</v>
    <v>0.67279999999999995</v>
    <v>0.43</v>
    <v>5.1910000000000003E-3</v>
    <v>0.35</v>
    <v>4.2040000000000003E-3</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83.89</v>
    <v>Electrical Utilities &amp; IPPs</v>
    <v>Stock</v>
    <v>45953.93288987266</v>
    <v>98</v>
    <v>82.57</v>
    <v>172960000000</v>
    <v>NEXTERA ENERGY, INC.</v>
    <v>NEXTERA ENERGY, INC.</v>
    <v>83.89</v>
    <v>31.142900000000001</v>
    <v>82.84</v>
    <v>83.27</v>
    <v>83.6</v>
    <v>2059292000</v>
    <v>NEE</v>
    <v>NEXTERA ENERGY, INC. (XNYS:NEE)</v>
    <v>5627402</v>
    <v>10353590</v>
    <v>1984</v>
  </rv>
  <rv s="2">
    <v>99</v>
  </rv>
  <rv s="0">
    <v>https://www.bing.com/financeapi/forcetrigger?t=a1yeec&amp;q=XNYS%3aNEM&amp;form=skydnc</v>
    <v>Learn more on Bing</v>
  </rv>
  <rv s="1">
    <v>0</v>
    <v>NEWMONT CORPORATION (XNYS:NEM)</v>
    <v>2</v>
    <v>3</v>
    <v>Finance</v>
    <v>4</v>
    <v>en-US</v>
    <v>a1yeec</v>
    <v>268435456</v>
    <v>1</v>
    <v>Powered by Refinitiv</v>
    <v>98.578000000000003</v>
    <v>36.86</v>
    <v>0.35349999999999998</v>
    <v>1.85</v>
    <v>2.1262E-2</v>
    <v>-1.62</v>
    <v>-1.8221000000000001E-2</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90.19</v>
    <v>Metals &amp; Mining</v>
    <v>Stock</v>
    <v>45953.935389189064</v>
    <v>101</v>
    <v>87.27</v>
    <v>94818180000</v>
    <v>NEWMONT CORPORATION</v>
    <v>NEWMONT CORPORATION</v>
    <v>89.15</v>
    <v>15.748900000000001</v>
    <v>87.01</v>
    <v>88.86</v>
    <v>87.29</v>
    <v>1098450000</v>
    <v>NEM</v>
    <v>NEWMONT CORPORATION (XNYS:NEM)</v>
    <v>14556714</v>
    <v>12944738</v>
    <v>2001</v>
  </rv>
  <rv s="2">
    <v>102</v>
  </rv>
  <rv s="0">
    <v>https://www.bing.com/financeapi/forcetrigger?t=a1ygoc&amp;q=XNAS%3aNFLX&amp;form=skydnc</v>
    <v>Learn more on Bing</v>
  </rv>
  <rv s="1">
    <v>0</v>
    <v>NETFLIX, INC. (XNAS:NFLX)</v>
    <v>2</v>
    <v>3</v>
    <v>Finance</v>
    <v>4</v>
    <v>en-US</v>
    <v>a1ygoc</v>
    <v>268435456</v>
    <v>1</v>
    <v>Powered by Refinitiv</v>
    <v>1341.15</v>
    <v>744.26</v>
    <v>1.5895999999999999</v>
    <v>-2.78</v>
    <v>-2.49E-3</v>
    <v>0.38</v>
    <v>3.412E-4</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1127.8285000000001</v>
    <v>Software &amp; IT Services</v>
    <v>Stock</v>
    <v>45953.935361943753</v>
    <v>104</v>
    <v>1099.73</v>
    <v>527482300000</v>
    <v>NETFLIX, INC.</v>
    <v>NETFLIX, INC.</v>
    <v>1126.9000000000001</v>
    <v>46.636200000000002</v>
    <v>1116.3699999999999</v>
    <v>1113.5899999999999</v>
    <v>1113.97</v>
    <v>424926400</v>
    <v>NFLX</v>
    <v>NETFLIX, INC. (XNAS:NFLX)</v>
    <v>6837622</v>
    <v>3713183</v>
    <v>1997</v>
  </rv>
  <rv s="2">
    <v>105</v>
  </rv>
  <rv s="0">
    <v>https://www.bing.com/financeapi/forcetrigger?t=bwxx4c&amp;q=XNAS%3aDSAC&amp;form=skydnc</v>
    <v>Learn more on Bing</v>
  </rv>
  <rv s="5">
    <v>12</v>
    <v>FISCALNOTE HOLDINGS, INC. (XNYS:NOTE)</v>
    <v>2</v>
    <v>13</v>
    <v>Finance</v>
    <v>5</v>
    <v>en-US</v>
    <v>bwxx4c</v>
    <v>268435456</v>
    <v>1</v>
    <v>Powered by Refinitiv</v>
    <v>24.36</v>
    <v>3.8</v>
    <v>0.55130000000000001</v>
    <v>0.21</v>
    <v>4.9527999999999996E-2</v>
    <v>-0.2492</v>
    <v>-5.5999999999999994E-2</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4.47</v>
    <v>Software &amp; IT Services</v>
    <v>Stock</v>
    <v>45953.923083714843</v>
    <v>107</v>
    <v>4.2693000000000003</v>
    <v>64506520</v>
    <v>FISCALNOTE HOLDINGS, INC.</v>
    <v>FISCALNOTE HOLDINGS, INC.</v>
    <v>4.2699999999999996</v>
    <v>4.24</v>
    <v>4.45</v>
    <v>4.2008000000000001</v>
    <v>14366710</v>
    <v>NOTE</v>
    <v>FISCALNOTE HOLDINGS, INC. (XNYS:NOTE)</v>
    <v>192635</v>
    <v>275085</v>
    <v>2022</v>
  </rv>
  <rv s="2">
    <v>108</v>
  </rv>
  <rv s="0">
    <v>https://www.bing.com/financeapi/forcetrigger?t=a1zfec&amp;q=XNAS%3aPAAS&amp;form=skydnc</v>
    <v>Learn more on Bing</v>
  </rv>
  <rv s="1">
    <v>0</v>
    <v>Pan American Silver Corp. (XNYS:PAAS)</v>
    <v>2</v>
    <v>11</v>
    <v>Finance</v>
    <v>4</v>
    <v>en-US</v>
    <v>a1zfec</v>
    <v>268435456</v>
    <v>1</v>
    <v>Powered by Refinitiv</v>
    <v>42.57</v>
    <v>19.8017</v>
    <v>0.89970000000000006</v>
    <v>0.33</v>
    <v>9.1970000000000003E-3</v>
    <v>-7.0000000000000007E-2</v>
    <v>-1.933E-3</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37</v>
    <v>Metals &amp; Mining</v>
    <v>Stock</v>
    <v>45953.932166562503</v>
    <v>110</v>
    <v>36.119999999999997</v>
    <v>20967990000</v>
    <v>Pan American Silver Corp.</v>
    <v>Pan American Silver Corp.</v>
    <v>36.950000000000003</v>
    <v>25.140599999999999</v>
    <v>35.880000000000003</v>
    <v>36.21</v>
    <v>36.15</v>
    <v>421976000</v>
    <v>PAAS</v>
    <v>Pan American Silver Corp. (XNYS:PAAS)</v>
    <v>3606541</v>
    <v>7546484</v>
    <v>1979</v>
  </rv>
  <rv s="2">
    <v>111</v>
  </rv>
  <rv s="0">
    <v>https://www.bing.com/financeapi/forcetrigger?t=a2sqhw&amp;q=XNAS%3aPROF&amp;form=skydnc</v>
    <v>Learn more on Bing</v>
  </rv>
  <rv s="1">
    <v>0</v>
    <v>Profound Medical Corp. (XNAS:PROF)</v>
    <v>2</v>
    <v>11</v>
    <v>Finance</v>
    <v>5</v>
    <v>en-US</v>
    <v>a2sqhw</v>
    <v>268435456</v>
    <v>1</v>
    <v>Powered by Refinitiv</v>
    <v>9.17</v>
    <v>3.76</v>
    <v>0.35460000000000003</v>
    <v>-0.114</v>
    <v>-2.1033E-2</v>
    <v>4.0000000000000001E-3</v>
    <v>7.5389999999999995E-4</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5.6</v>
    <v>Healthcare Equipment &amp; Supplies</v>
    <v>Stock</v>
    <v>45953.836210126559</v>
    <v>113</v>
    <v>5.3</v>
    <v>247031200</v>
    <v>Profound Medical Corp.</v>
    <v>Profound Medical Corp.</v>
    <v>5.6</v>
    <v>0</v>
    <v>5.42</v>
    <v>5.306</v>
    <v>5.31</v>
    <v>30121260</v>
    <v>PROF</v>
    <v>Profound Medical Corp. (XNAS:PROF)</v>
    <v>41970</v>
    <v>147943</v>
    <v>2014</v>
  </rv>
  <rv s="2">
    <v>114</v>
  </rv>
  <rv s="0">
    <v>https://www.bing.com/financeapi/forcetrigger?t=a2si9c&amp;q=XNAS%3aPOET&amp;form=skydnc</v>
    <v>Learn more on Bing</v>
  </rv>
  <rv s="1">
    <v>0</v>
    <v>POET Technologies Inc. (XNAS:POET)</v>
    <v>2</v>
    <v>3</v>
    <v>Finance</v>
    <v>4</v>
    <v>en-US</v>
    <v>a2si9c</v>
    <v>268435456</v>
    <v>1</v>
    <v>Powered by Refinitiv</v>
    <v>9.41</v>
    <v>3.09</v>
    <v>0.36149999999999999</v>
    <v>-0.06</v>
    <v>-8.1410000000000007E-3</v>
    <v>0.1099</v>
    <v>1.5034E-2</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7.9398999999999997</v>
    <v>Semiconductors &amp; Semiconductor Equipment</v>
    <v>Stock</v>
    <v>45953.934156515628</v>
    <v>116</v>
    <v>7.12</v>
    <v>777584900</v>
    <v>POET Technologies Inc.</v>
    <v>POET Technologies Inc.</v>
    <v>7.2750000000000004</v>
    <v>0</v>
    <v>7.37</v>
    <v>7.31</v>
    <v>7.4199000000000002</v>
    <v>104373800</v>
    <v>POET</v>
    <v>POET Technologies Inc. (XNAS:POET)</v>
    <v>11145913</v>
    <v>14172675</v>
    <v>2010</v>
  </rv>
  <rv s="2">
    <v>117</v>
  </rv>
  <rv s="0">
    <v>https://www.bing.com/financeapi/forcetrigger?t=a21g2w&amp;q=XNYS%3aPW&amp;form=skydnc</v>
    <v>Learn more on Bing</v>
  </rv>
  <rv s="5">
    <v>12</v>
    <v>POWER REIT (XNYS:PW)</v>
    <v>2</v>
    <v>13</v>
    <v>Finance</v>
    <v>4</v>
    <v>en-US</v>
    <v>a21g2w</v>
    <v>268435456</v>
    <v>1</v>
    <v>Powered by Refinitiv</v>
    <v>2.59</v>
    <v>0.66600000000000004</v>
    <v>1.6032999999999999</v>
    <v>-2.4500000000000001E-2</v>
    <v>-3.4530999999999999E-2</v>
    <v>6.8099999999999994E-2</v>
    <v>9.6883999999999998E-2</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0.71</v>
    <v>Residential &amp; Commercial REIT</v>
    <v>Stock</v>
    <v>45953.931524247659</v>
    <v>119</v>
    <v>0.66600000000000004</v>
    <v>2590040</v>
    <v>POWER REIT</v>
    <v>POWER REIT</v>
    <v>0.69</v>
    <v>0.70950000000000002</v>
    <v>0.68500000000000005</v>
    <v>0.77100000000000002</v>
    <v>3389660</v>
    <v>PW</v>
    <v>POWER REIT (XNYS:PW)</v>
    <v>319152</v>
    <v>66451</v>
    <v>2011</v>
  </rv>
  <rv s="2">
    <v>120</v>
  </rv>
  <rv s="0">
    <v>https://www.bing.com/financeapi/forcetrigger?t=a2218m&amp;q=XNAS%3aRIGL&amp;form=skydnc</v>
    <v>Learn more on Bing</v>
  </rv>
  <rv s="1">
    <v>0</v>
    <v>RIGEL PHARMACEUTICALS, INC. (XNAS:RIGL)</v>
    <v>2</v>
    <v>3</v>
    <v>Finance</v>
    <v>5</v>
    <v>en-US</v>
    <v>a2218m</v>
    <v>268435456</v>
    <v>1</v>
    <v>Powered by Refinitiv</v>
    <v>43.7181</v>
    <v>13.570499999999999</v>
    <v>1.2112000000000001</v>
    <v>-1.3</v>
    <v>-4.2359000000000001E-2</v>
    <v>0.36</v>
    <v>1.2249000000000001E-2</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31.92</v>
    <v>Pharmaceuticals</v>
    <v>Stock</v>
    <v>45953.902897441403</v>
    <v>122</v>
    <v>29.23</v>
    <v>542963300</v>
    <v>RIGEL PHARMACEUTICALS, INC.</v>
    <v>RIGEL PHARMACEUTICALS, INC.</v>
    <v>30.69</v>
    <v>5.6676000000000002</v>
    <v>30.69</v>
    <v>29.39</v>
    <v>29.75</v>
    <v>17937340</v>
    <v>RIGL</v>
    <v>RIGEL PHARMACEUTICALS, INC. (XNAS:RIGL)</v>
    <v>447071</v>
    <v>621368</v>
    <v>1996</v>
  </rv>
  <rv s="2">
    <v>123</v>
  </rv>
  <rv s="0">
    <v>https://www.bing.com/financeapi/forcetrigger?t=afjzfr&amp;q=XFRA%3aRWE&amp;form=skydnc</v>
    <v>Learn more on Bing</v>
  </rv>
  <rv s="3">
    <v>6</v>
    <v>RWE AG (XFRA:RWE)</v>
    <v>2</v>
    <v>9</v>
    <v>Finance</v>
    <v>10</v>
    <v>en-US</v>
    <v>afjzfr</v>
    <v>268435456</v>
    <v>1</v>
    <v>Powered by Refinitiv</v>
    <v>44.03</v>
    <v>14.231</v>
    <v>0.51759999999999995</v>
    <v>-0.22</v>
    <v>-5.47E-3</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Deutsche Boerse AG</v>
    <v>XFRA</v>
    <v>XFRA</v>
    <v>RWE Platz 1, ESSEN, NORDRHEIN-WESTFALEN, 45141 DE</v>
    <v>40.119999999999997</v>
    <v>Multiline Utilities</v>
    <v>Stock</v>
    <v>45953.836805555555</v>
    <v>125</v>
    <v>39.78</v>
    <v>30304090000</v>
    <v>RWE AG</v>
    <v>RWE AG</v>
    <v>39.78</v>
    <v>11.4613</v>
    <v>40.22</v>
    <v>40</v>
    <v>743841200</v>
    <v>RWE</v>
    <v>RWE AG (XFRA:RWE)</v>
    <v>2249</v>
    <v>1718010</v>
    <v>2000</v>
  </rv>
  <rv s="2">
    <v>126</v>
  </rv>
  <rv s="0">
    <v>https://www.bing.com/financeapi/forcetrigger?t=aftlr7&amp;q=XETR%3aSAP&amp;form=skydnc</v>
    <v>Learn more on Bing</v>
  </rv>
  <rv s="3">
    <v>6</v>
    <v>Sap Se (XETR:SAP)</v>
    <v>2</v>
    <v>9</v>
    <v>Finance</v>
    <v>10</v>
    <v>en-US</v>
    <v>aftlr7</v>
    <v>268435456</v>
    <v>1</v>
    <v>Powered by Refinitiv</v>
    <v>283.5</v>
    <v>209.7</v>
    <v>0.99260000000000004</v>
    <v>5.15</v>
    <v>2.1743999999999999E-2</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244.3</v>
    <v>Software &amp; IT Services</v>
    <v>Stock</v>
    <v>45953.896145833336</v>
    <v>128</v>
    <v>229.7</v>
    <v>295332400000</v>
    <v>Sap Se</v>
    <v>Sap Se</v>
    <v>239.4</v>
    <v>39.863</v>
    <v>236.85</v>
    <v>242</v>
    <v>1228504000</v>
    <v>SAP</v>
    <v>Sap Se (XETR:SAP)</v>
    <v>3172728</v>
    <v>1190530</v>
    <v>2014</v>
  </rv>
  <rv s="2">
    <v>129</v>
  </rv>
  <rv s="0">
    <v>https://www.bing.com/financeapi/forcetrigger?t=a2vkww&amp;q=OTCM%3aSHECY&amp;form=skydnc</v>
    <v>Learn more on Bing</v>
  </rv>
  <rv s="1">
    <v>0</v>
    <v>Shin-Etsu Chemical Co., Ltd. (OTCM:SHECY)</v>
    <v>2</v>
    <v>21</v>
    <v>Finance</v>
    <v>22</v>
    <v>en-US</v>
    <v>a2vkww</v>
    <v>268435456</v>
    <v>1</v>
    <v>Powered by Refinitiv</v>
    <v>20.102</v>
    <v>11.88</v>
    <v>1.5149999999999999</v>
    <v>0.11</v>
    <v>6.8579999999999995E-3</v>
    <v>-0.01</v>
    <v>-6.1919999999999998E-4</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16.690000000000001</v>
    <v>Chemicals</v>
    <v>Stock</v>
    <v>45953.888888888891</v>
    <v>131</v>
    <v>16</v>
    <v>9805880000000</v>
    <v>Shin-Etsu Chemical Co., Ltd.</v>
    <v>Shin-Etsu Chemical Co., Ltd.</v>
    <v>16.690000000000001</v>
    <v>0</v>
    <v>16.04</v>
    <v>16.149999999999999</v>
    <v>16.14</v>
    <v>1984996000</v>
    <v>SHECY</v>
    <v>Shin-Etsu Chemical Co., Ltd. (OTCM:SHECY)</v>
    <v>208392</v>
    <v>6346040</v>
    <v>1926</v>
  </rv>
  <rv s="2">
    <v>132</v>
  </rv>
  <rv s="0">
    <v>https://www.bing.com/financeapi/forcetrigger?t=a23myc&amp;q=XNAS%3aSSYS&amp;form=skydnc</v>
    <v>Learn more on Bing</v>
  </rv>
  <rv s="1">
    <v>0</v>
    <v>STRATASYS LTD (XNAS:SSYS)</v>
    <v>2</v>
    <v>3</v>
    <v>Finance</v>
    <v>4</v>
    <v>en-US</v>
    <v>a23myc</v>
    <v>268435456</v>
    <v>1</v>
    <v>Powered by Refinitiv</v>
    <v>12.88</v>
    <v>6.92</v>
    <v>1.611</v>
    <v>0.48</v>
    <v>4.2477999999999995E-2</v>
    <v>0.05</v>
    <v>4.2440000000000004E-3</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12.05</v>
    <v>Electronic Equipment &amp; Parts</v>
    <v>Stock</v>
    <v>45953.932098645309</v>
    <v>134</v>
    <v>11.15</v>
    <v>1050902000</v>
    <v>STRATASYS LTD</v>
    <v>STRATASYS LTD</v>
    <v>11.3</v>
    <v>0</v>
    <v>11.3</v>
    <v>11.78</v>
    <v>11.83</v>
    <v>85093280</v>
    <v>SSYS</v>
    <v>STRATASYS LTD (XNAS:SSYS)</v>
    <v>1872218</v>
    <v>1204972</v>
    <v>1998</v>
  </rv>
  <rv s="2">
    <v>135</v>
  </rv>
  <rv s="0">
    <v>https://www.bing.com/financeapi/forcetrigger?t=a24kar&amp;q=XNAS%3aTSLA&amp;form=skydnc</v>
    <v>Learn more on Bing</v>
  </rv>
  <rv s="1">
    <v>0</v>
    <v>TESLA, INC. (XNAS:TSLA)</v>
    <v>2</v>
    <v>3</v>
    <v>Finance</v>
    <v>4</v>
    <v>en-US</v>
    <v>a24kar</v>
    <v>268435456</v>
    <v>1</v>
    <v>Powered by Refinitiv</v>
    <v>488.53989999999999</v>
    <v>212.11</v>
    <v>2.0720000000000001</v>
    <v>10.01</v>
    <v>2.2803E-2</v>
    <v>-1.8102</v>
    <v>-4.032E-3</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449.3999</v>
    <v>Automobiles &amp; Auto Parts</v>
    <v>Stock</v>
    <v>45953.93528346016</v>
    <v>137</v>
    <v>413.9</v>
    <v>1471712000000</v>
    <v>TESLA, INC.</v>
    <v>TESLA, INC.</v>
    <v>420</v>
    <v>300.02</v>
    <v>438.97</v>
    <v>448.98</v>
    <v>447.16980000000001</v>
    <v>3325151000</v>
    <v>TSLA</v>
    <v>TESLA, INC. (XNAS:TSLA)</v>
    <v>126366738</v>
    <v>88420456</v>
    <v>2024</v>
  </rv>
  <rv s="2">
    <v>138</v>
  </rv>
  <rv s="0">
    <v>https://www.bing.com/financeapi/forcetrigger?t=a24kjc&amp;q=XNYS%3aTSM&amp;form=skydnc</v>
    <v>Learn more on Bing</v>
  </rv>
  <rv s="1">
    <v>0</v>
    <v>Taiwan Semiconductor Manufacturing Co., Ltd. (XNYS:TSM)</v>
    <v>2</v>
    <v>3</v>
    <v>Finance</v>
    <v>4</v>
    <v>en-US</v>
    <v>a24kjc</v>
    <v>268435456</v>
    <v>1</v>
    <v>Powered by Refinitiv</v>
    <v>311.36849999999998</v>
    <v>134.25</v>
    <v>1.3088</v>
    <v>1.86</v>
    <v>6.4390000000000003E-3</v>
    <v>1.82</v>
    <v>6.2599999999999999E-3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294.08999999999997</v>
    <v>Semiconductors &amp; Semiconductor Equipment</v>
    <v>Stock</v>
    <v>45953.935297789059</v>
    <v>140</v>
    <v>289.63</v>
    <v>1234162000000</v>
    <v>Taiwan Semiconductor Manufacturing Co., Ltd.</v>
    <v>Taiwan Semiconductor Manufacturing Co., Ltd.</v>
    <v>289.8</v>
    <v>28.930499999999999</v>
    <v>288.88</v>
    <v>290.74</v>
    <v>292.55</v>
    <v>5186523000</v>
    <v>TSM</v>
    <v>Taiwan Semiconductor Manufacturing Co., Ltd. (XNYS:TSM)</v>
    <v>10339306</v>
    <v>14773409</v>
    <v>1987</v>
  </rv>
  <rv s="2">
    <v>141</v>
  </rv>
  <rv s="0">
    <v>https://www.bing.com/financeapi/forcetrigger?t=afn5ec&amp;q=XFRA%3aUN01&amp;form=skydnc</v>
    <v>Learn more on Bing</v>
  </rv>
  <rv s="9">
    <v>23</v>
    <v>Uniper SE (XFRA:UN0)</v>
    <v>2</v>
    <v>24</v>
    <v>Finance</v>
    <v>10</v>
    <v>en-US</v>
    <v>afn5ec</v>
    <v>268435456</v>
    <v>1</v>
    <v>Powered by Refinitiv</v>
    <v>73.5</v>
    <v>2.1</v>
    <v>1.0701000000000001</v>
    <v>-0.85</v>
    <v>-2.673E-2</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31.3</v>
    <v>Multiline Utilities</v>
    <v>Stock</v>
    <v>45953.836805555555</v>
    <v>143</v>
    <v>30.9</v>
    <v>13348030000</v>
    <v>Uniper SE</v>
    <v>Uniper SE</v>
    <v>31.3</v>
    <v>31.8</v>
    <v>30.95</v>
    <v>416475300</v>
    <v>UN0</v>
    <v>Uniper SE (XFRA:UN0)</v>
    <v>118</v>
    <v>4760</v>
    <v>2016</v>
  </rv>
  <rv s="2">
    <v>144</v>
  </rv>
  <rv s="0">
    <v>https://www.bing.com/financeapi/forcetrigger?t=a24xoc&amp;q=XNAS%3aUNIT&amp;form=skydnc</v>
    <v>Learn more on Bing</v>
  </rv>
  <rv s="1">
    <v>0</v>
    <v>UNITI GROUP INC. (XNAS:UNIT)</v>
    <v>2</v>
    <v>3</v>
    <v>Finance</v>
    <v>5</v>
    <v>en-US</v>
    <v>a24xoc</v>
    <v>268435456</v>
    <v>1</v>
    <v>Powered by Refinitiv</v>
    <v>10.466100000000001</v>
    <v>5.3</v>
    <v>1.5399</v>
    <v>0.25</v>
    <v>4.5045000000000002E-2</v>
    <v>0</v>
    <v>0</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5.9</v>
    <v>Telecommunications Services</v>
    <v>Stock</v>
    <v>45953.870670057811</v>
    <v>146</v>
    <v>5.4450000000000003</v>
    <v>828709700</v>
    <v>UNITI GROUP INC.</v>
    <v>UNITI GROUP INC.</v>
    <v>5.5</v>
    <v>24.38</v>
    <v>5.55</v>
    <v>5.8</v>
    <v>5.8</v>
    <v>147983900</v>
    <v>UNIT</v>
    <v>UNITI GROUP INC. (XNAS:UNIT)</v>
    <v>2509431</v>
    <v>2992338</v>
    <v>2024</v>
  </rv>
  <rv s="2">
    <v>147</v>
  </rv>
  <rv s="0">
    <v>http://tr.wikipedia.org/wiki/Volvo</v>
    <v>Wikipedia</v>
  </rv>
  <rv s="6">
    <v>43</v>
    <v>149</v>
  </rv>
  <rv s="7">
    <v>18</v>
    <v>https://www.bing.com/th?id=AMMS_a85eaa33bec7c64e52ade4c230f05d74&amp;qlt=95</v>
    <v>150</v>
    <v>0</v>
    <v>https://www.bing.com/images/search?form=xlimg&amp;q=ab+volvo</v>
    <v>Image of Volvo AB</v>
  </rv>
  <rv s="0">
    <v>https://www.bing.com/financeapi/forcetrigger?t=a31af2&amp;q=OTCM%3aVLVLY&amp;form=skydnc</v>
    <v>Learn more on Bing</v>
  </rv>
  <rv s="8">
    <v>14</v>
    <v>Volvo AB (OTCM:VLVLY)</v>
    <v>16</v>
    <v>25</v>
    <v>Finance</v>
    <v>22</v>
    <v>en-US</v>
    <v>a31af2</v>
    <v>268435456</v>
    <v>1</v>
    <v>Powered by Refinitiv</v>
    <v>33.33</v>
    <v>22.55</v>
    <v>0.92090000000000005</v>
    <v>0.23</v>
    <v>8.461999999999999E-3</v>
    <v>0</v>
    <v>0</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88191</v>
    <v>OTC Markets</v>
    <v>OTCM</v>
    <v>OTCM</v>
    <v>Gropegardsgatan 2, GOETEBORG, VASTRA GOTALANDS, 417 15 SE</v>
    <v>27.57</v>
    <v>151</v>
    <v>Machinery, Equipment &amp; Components</v>
    <v>Stock</v>
    <v>45953.888888888891</v>
    <v>152</v>
    <v>27.324999999999999</v>
    <v>525210300000</v>
    <v>Volvo AB</v>
    <v>Volvo AB</v>
    <v>27.57</v>
    <v>0</v>
    <v>27.18</v>
    <v>27.41</v>
    <v>27.41</v>
    <v>2033452000</v>
    <v>VLVLY</v>
    <v>Volvo AB (OTCM:VLVLY)</v>
    <v>64546</v>
    <v>4868410</v>
    <v>1915</v>
  </rv>
  <rv s="2">
    <v>153</v>
  </rv>
  <rv s="0">
    <v>https://www.bing.com/financeapi/forcetrigger?t=an41hw&amp;q=XSWX%3aVONN&amp;form=skydnc</v>
    <v>Learn more on Bing</v>
  </rv>
  <rv s="3">
    <v>6</v>
    <v>Vontobel Holding Ltd (XSWX:VONN)</v>
    <v>2</v>
    <v>26</v>
    <v>Finance</v>
    <v>10</v>
    <v>en-US</v>
    <v>an41hw</v>
    <v>268435456</v>
    <v>1</v>
    <v>Powered by Refinitiv</v>
    <v>69.5</v>
    <v>51.1</v>
    <v>0.99439999999999995</v>
    <v>0.8</v>
    <v>1.3266999999999999E-2</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61.1</v>
    <v>Investment Banking &amp; Investment Services</v>
    <v>Stock</v>
    <v>45953.722719907404</v>
    <v>155</v>
    <v>60.2</v>
    <v>3338563000</v>
    <v>Vontobel Holding Ltd</v>
    <v>Vontobel Holding Ltd</v>
    <v>60.2</v>
    <v>13.611700000000001</v>
    <v>60.3</v>
    <v>61.1</v>
    <v>56875000</v>
    <v>VONN</v>
    <v>Vontobel Holding Ltd (XSWX:VONN)</v>
    <v>35718</v>
    <v>31990</v>
    <v>1936</v>
  </rv>
  <rv s="2">
    <v>156</v>
  </rv>
  <rv s="0">
    <v>https://www.bing.com/financeapi/forcetrigger?t=a1y7rw&amp;q=XNAS%3aVTRS&amp;form=skydnc</v>
    <v>Learn more on Bing</v>
  </rv>
  <rv s="1">
    <v>0</v>
    <v>VIATRIS INC. (XNAS:VTRS)</v>
    <v>2</v>
    <v>3</v>
    <v>Finance</v>
    <v>5</v>
    <v>en-US</v>
    <v>a1y7rw</v>
    <v>268435456</v>
    <v>1</v>
    <v>Powered by Refinitiv</v>
    <v>13.55</v>
    <v>6.85</v>
    <v>0.89280000000000004</v>
    <v>-0.1</v>
    <v>-9.606E-3</v>
    <v>0.02</v>
    <v>1.9400000000000001E-3</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10.494999999999999</v>
    <v>Pharmaceuticals</v>
    <v>Stock</v>
    <v>45953.922192117971</v>
    <v>158</v>
    <v>10.29</v>
    <v>12113410000</v>
    <v>VIATRIS INC.</v>
    <v>VIATRIS INC.</v>
    <v>10.39</v>
    <v>0</v>
    <v>10.41</v>
    <v>10.31</v>
    <v>10.33</v>
    <v>1165872000</v>
    <v>VTRS</v>
    <v>VIATRIS INC. (XNAS:VTRS)</v>
    <v>5274430</v>
    <v>9179417</v>
    <v>2019</v>
  </rv>
  <rv s="2">
    <v>159</v>
  </rv>
  <rv s="0">
    <v>https://www.bing.com/financeapi/forcetrigger?t=a25pm7&amp;q=XNAS%3aWBA&amp;form=skydnc</v>
    <v>Learn more on Bing</v>
  </rv>
  <rv s="3">
    <v>6</v>
    <v>WALGREENS BOOTS ALLIANCE, INC. (XNAS:WBA)</v>
    <v>2</v>
    <v>19</v>
    <v>Finance</v>
    <v>20</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161</v>
    <v>11.9</v>
    <v>10369417186</v>
    <v>WALGREENS BOOTS ALLIANCE, INC.</v>
    <v>WALGREENS BOOTS ALLIANCE, INC.</v>
    <v>11.914999999999999</v>
    <v>0</v>
    <v>11.92</v>
    <v>11.98</v>
    <v>865560700</v>
    <v>WBA</v>
    <v>WALGREENS BOOTS ALLIANCE, INC. (XNAS:WBA)</v>
    <v>452081061</v>
    <v>30166826</v>
    <v>2014</v>
  </rv>
  <rv s="2">
    <v>162</v>
  </rv>
  <rv s="0">
    <v>https://www.bing.com/financeapi/forcetrigger?t=a269ec&amp;q=XNYS%3aXOM&amp;form=skydnc</v>
    <v>Learn more on Bing</v>
  </rv>
  <rv s="1">
    <v>0</v>
    <v>EXXON MOBIL CORPORATION (XNYS:XOM)</v>
    <v>2</v>
    <v>3</v>
    <v>Finance</v>
    <v>4</v>
    <v>en-US</v>
    <v>a269ec</v>
    <v>268435456</v>
    <v>1</v>
    <v>Powered by Refinitiv</v>
    <v>123.21</v>
    <v>97.8</v>
    <v>0.46710000000000002</v>
    <v>1.24</v>
    <v>1.081E-2</v>
    <v>-0.18</v>
    <v>-1.552E-3</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116.85</v>
    <v>Oil &amp; Gas</v>
    <v>Stock</v>
    <v>45953.934055821097</v>
    <v>164</v>
    <v>115.36</v>
    <v>480510600000</v>
    <v>EXXON MOBIL CORPORATION</v>
    <v>EXXON MOBIL CORPORATION</v>
    <v>116.63</v>
    <v>16.4526</v>
    <v>114.71</v>
    <v>115.95</v>
    <v>115.8</v>
    <v>4263247000</v>
    <v>XOM</v>
    <v>EXXON MOBIL CORPORATION (XNYS:XOM)</v>
    <v>14997935</v>
    <v>14968390</v>
    <v>1882</v>
  </rv>
  <rv s="2">
    <v>165</v>
  </rv>
  <rv s="10">
    <v>27</v>
    <v>XPERI INC. (XNYS:XPER)</v>
    <v>28</v>
    <v>13</v>
    <v>Finance</v>
    <v>5</v>
    <v>en-US</v>
    <v>c7dbfr</v>
    <v>268435456</v>
    <v>1</v>
    <v>Powered by Refinitiv</v>
    <v>11.074999999999999</v>
    <v>5.6849999999999996</v>
    <v>1.1579999999999999</v>
    <v>0.06</v>
    <v>9.1599999999999997E-3</v>
    <v>0</v>
    <v>0</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6.68</v>
    <v>Software &amp; IT Services</v>
    <v>Stock</v>
    <v>45953.905362082813</v>
    <v>6.54</v>
    <v>313643900</v>
    <v>XPERI INC.</v>
    <v>XPERI INC.</v>
    <v>6.54</v>
    <v>6.55</v>
    <v>6.61</v>
    <v>6.61</v>
    <v>46260160</v>
    <v>XPER</v>
    <v>XPERI INC. (XNYS:XPER)</v>
    <v>418162</v>
    <v>510665</v>
    <v>2019</v>
  </rv>
  <rv s="2">
    <v>167</v>
  </rv>
  <rv s="0">
    <v>https://www.bing.com/financeapi/forcetrigger?t=ajezf2&amp;q=XMIL%3aENI&amp;form=skydnc</v>
    <v>Learn more on Bing</v>
  </rv>
  <rv s="11">
    <v>29</v>
    <v>Eni SpA (XMIL:ENI)</v>
    <v>2</v>
    <v>30</v>
    <v>Finance</v>
    <v>31</v>
    <v>en-US</v>
    <v>ajezf2</v>
    <v>268435456</v>
    <v>1</v>
    <v>Powered by Refinitiv</v>
    <v>15.63</v>
    <v>11.01</v>
    <v>1.0833999999999999</v>
    <v>0.46</v>
    <v>3.0411000000000001E-2</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15.63</v>
    <v>Oil &amp; Gas</v>
    <v>Stock</v>
    <v>45953.666666666664</v>
    <v>169</v>
    <v>15.327999999999999</v>
    <v>46886800000</v>
    <v>Eni SpA</v>
    <v>Eni SpA</v>
    <v>15.35</v>
    <v>18.898099999999999</v>
    <v>15.125999999999999</v>
    <v>15.586</v>
    <v>3146765000</v>
    <v>ENI</v>
    <v>Eni SpA (XMIL:ENI)</v>
    <v>30583218</v>
    <v>10904760</v>
  </rv>
  <rv s="2">
    <v>170</v>
  </rv>
  <rv s="0">
    <v>https://www.bing.com/financeapi/forcetrigger?t=ae8t4c&amp;q=XPAR%3aGLE&amp;form=skydnc</v>
    <v>Learn more on Bing</v>
  </rv>
  <rv s="11">
    <v>29</v>
    <v>Societe Generale SA (XPAR:GLE)</v>
    <v>2</v>
    <v>30</v>
    <v>Finance</v>
    <v>10</v>
    <v>en-US</v>
    <v>ae8t4c</v>
    <v>268435456</v>
    <v>1</v>
    <v>Powered by Refinitiv</v>
    <v>59.42</v>
    <v>23.35</v>
    <v>1.5591999999999999</v>
    <v>0.7</v>
    <v>1.3238000000000002E-2</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54</v>
    <v>Banking Services</v>
    <v>Stock</v>
    <v>45953.666666666664</v>
    <v>172</v>
    <v>52.8</v>
    <v>41708780000</v>
    <v>Societe Generale SA</v>
    <v>Societe Generale SA</v>
    <v>53.22</v>
    <v>8.8566000000000003</v>
    <v>52.88</v>
    <v>53.58</v>
    <v>785180400</v>
    <v>GLE</v>
    <v>Societe Generale SA (XPAR:GLE)</v>
    <v>2134406</v>
    <v>2120970</v>
  </rv>
  <rv s="2">
    <v>173</v>
  </rv>
  <rv s="0">
    <v>https://www.bing.com/financeapi/forcetrigger?t=ae9qlh&amp;q=XPAR%3aORA&amp;form=skydnc</v>
    <v>Learn more on Bing</v>
  </rv>
  <rv s="3">
    <v>6</v>
    <v>Orange SA (XPAR:ORA)</v>
    <v>2</v>
    <v>9</v>
    <v>Finance</v>
    <v>10</v>
    <v>en-US</v>
    <v>ae9qlh</v>
    <v>268435456</v>
    <v>1</v>
    <v>Powered by Refinitiv</v>
    <v>14.56</v>
    <v>9.3699999999999992</v>
    <v>0.30930000000000002</v>
    <v>0.08</v>
    <v>5.6860000000000001E-3</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14.29</v>
    <v>Telecommunications Services</v>
    <v>Stock</v>
    <v>45953.666666666664</v>
    <v>175</v>
    <v>13.994999999999999</v>
    <v>37573300000</v>
    <v>Orange SA</v>
    <v>Orange SA</v>
    <v>14.1</v>
    <v>44.440899999999999</v>
    <v>14.07</v>
    <v>14.15</v>
    <v>2660057000</v>
    <v>ORA</v>
    <v>Orange SA (XPAR:ORA)</v>
    <v>4437686</v>
    <v>4007920</v>
    <v>1991</v>
  </rv>
  <rv s="2">
    <v>176</v>
  </rv>
  <rv s="0">
    <v>https://www.bing.com/financeapi/forcetrigger?t=ayz4u2&amp;q=XNAS%3aBLNK&amp;form=skydnc</v>
    <v>Learn more on Bing</v>
  </rv>
  <rv s="1">
    <v>0</v>
    <v>BLINK CHARGING CO. (XNAS:BLNK)</v>
    <v>2</v>
    <v>3</v>
    <v>Finance</v>
    <v>4</v>
    <v>en-US</v>
    <v>ayz4u2</v>
    <v>268435456</v>
    <v>1</v>
    <v>Powered by Refinitiv</v>
    <v>2.6499000000000001</v>
    <v>0.63009999999999999</v>
    <v>3.4971999999999999</v>
    <v>0</v>
    <v>0</v>
    <v>1.4999999999999999E-2</v>
    <v>8.3800000000000003E-3</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1.82</v>
    <v>Electrical Utilities &amp; IPPs</v>
    <v>Stock</v>
    <v>45953.930495022658</v>
    <v>178</v>
    <v>1.7649999999999999</v>
    <v>185344300</v>
    <v>BLINK CHARGING CO.</v>
    <v>BLINK CHARGING CO.</v>
    <v>1.8</v>
    <v>0</v>
    <v>1.79</v>
    <v>1.79</v>
    <v>1.8049999999999999</v>
    <v>104714300</v>
    <v>BLNK</v>
    <v>BLINK CHARGING CO. (XNAS:BLNK)</v>
    <v>1774442</v>
    <v>6746790</v>
    <v>2006</v>
  </rv>
  <rv s="2">
    <v>179</v>
  </rv>
  <rv s="0">
    <v>https://www.bing.com/financeapi/forcetrigger?t=ao8g3m&amp;q=XLON%3aEZJ&amp;form=skydnc</v>
    <v>Learn more on Bing</v>
  </rv>
  <rv s="1">
    <v>0</v>
    <v>EASYJET PLC (XLON:EZJ)</v>
    <v>2</v>
    <v>32</v>
    <v>Finance</v>
    <v>33</v>
    <v>en-US</v>
    <v>ao8g3m</v>
    <v>268435456</v>
    <v>1</v>
    <v>Powered by Refinitiv</v>
    <v>594</v>
    <v>401.05</v>
    <v>2.8776999999999999</v>
    <v>-13.8</v>
    <v>-2.7975E-2</v>
    <v>2.5</v>
    <v>5.2139999999999999E-3</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490.4</v>
    <v>Passenger Transportation Services</v>
    <v>Stock</v>
    <v>45953.67224537037</v>
    <v>181</v>
    <v>479.5</v>
    <v>3640722000</v>
    <v>EASYJET PLC</v>
    <v>EASYJET PLC</v>
    <v>487.6</v>
    <v>8.9220000000000006</v>
    <v>493.3</v>
    <v>479.5</v>
    <v>482</v>
    <v>758010000</v>
    <v>EZJ</v>
    <v>EASYJET PLC (XLON:EZJ)</v>
    <v>2637704</v>
    <v>4945150</v>
    <v>2000</v>
  </rv>
  <rv s="2">
    <v>182</v>
  </rv>
  <rv s="0">
    <v>http://en.wikipedia.org/wiki/Ford_Motor_Company</v>
    <v>Wikipedia</v>
  </rv>
  <rv s="6">
    <v>43</v>
    <v>184</v>
  </rv>
  <rv s="7">
    <v>18</v>
    <v>https://www.bing.com/th?id=AMMS_cf0311a5f2d2dcb3110aca1404330618&amp;qlt=95</v>
    <v>185</v>
    <v>0</v>
    <v>https://www.bing.com/images/search?form=xlimg&amp;q=ford+motor+company</v>
    <v>Image of FORD MOTOR COMPANY</v>
  </rv>
  <rv s="0">
    <v>https://www.bing.com/financeapi/forcetrigger?t=a1sjw7&amp;q=XNYS%3aF&amp;form=skydnc</v>
    <v>Learn more on Bing</v>
  </rv>
  <rv s="8">
    <v>14</v>
    <v>FORD MOTOR COMPANY (XNYS:F)</v>
    <v>16</v>
    <v>17</v>
    <v>Finance</v>
    <v>4</v>
    <v>en-US</v>
    <v>a1sjw7</v>
    <v>268435456</v>
    <v>1</v>
    <v>Powered by Refinitiv</v>
    <v>12.8</v>
    <v>8.4405999999999999</v>
    <v>1.6001000000000001</v>
    <v>-0.12</v>
    <v>-9.6540000000000011E-3</v>
    <v>0.39</v>
    <v>3.1605000000000001E-2</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12.49</v>
    <v>186</v>
    <v>Automobiles &amp; Auto Parts</v>
    <v>Stock</v>
    <v>45953.935139062502</v>
    <v>187</v>
    <v>12.19</v>
    <v>49987050000</v>
    <v>FORD MOTOR COMPANY</v>
    <v>FORD MOTOR COMPANY</v>
    <v>12.47</v>
    <v>15.7417</v>
    <v>12.43</v>
    <v>12.31</v>
    <v>12.73</v>
    <v>3979860000</v>
    <v>F</v>
    <v>FORD MOTOR COMPANY (XNYS:F)</v>
    <v>479244632</v>
    <v>105043755</v>
    <v>1919</v>
  </rv>
  <rv s="2">
    <v>188</v>
  </rv>
  <rv s="0">
    <v>https://www.bing.com/financeapi/forcetrigger?t=a1u1z2&amp;q=XNYS%3aGNRC&amp;form=skydnc</v>
    <v>Learn more on Bing</v>
  </rv>
  <rv s="1">
    <v>0</v>
    <v>GENERAC HOLDINGS INC. (XNYS:GNRC)</v>
    <v>2</v>
    <v>3</v>
    <v>Finance</v>
    <v>5</v>
    <v>en-US</v>
    <v>a1u1z2</v>
    <v>268435456</v>
    <v>1</v>
    <v>Powered by Refinitiv</v>
    <v>203.2499</v>
    <v>99.5</v>
    <v>1.6833</v>
    <v>5.95</v>
    <v>3.2497999999999999E-2</v>
    <v>-0.05</v>
    <v>-2.6450000000000003E-4</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191.11</v>
    <v>Machinery, Equipment &amp; Components</v>
    <v>Stock</v>
    <v>45953.919108680471</v>
    <v>190</v>
    <v>181.69499999999999</v>
    <v>11295120000</v>
    <v>GENERAC HOLDINGS INC.</v>
    <v>GENERAC HOLDINGS INC.</v>
    <v>183.1</v>
    <v>31.390499999999999</v>
    <v>183.09</v>
    <v>189.04</v>
    <v>188.99</v>
    <v>58675950</v>
    <v>GNRC</v>
    <v>GENERAC HOLDINGS INC. (XNYS:GNRC)</v>
    <v>807232</v>
    <v>1080915</v>
    <v>2006</v>
  </rv>
  <rv s="2">
    <v>191</v>
  </rv>
  <rv s="0">
    <v>https://www.bing.com/financeapi/forcetrigger?t=a1u7xm&amp;q=XNYS%3aGS&amp;form=skydnc</v>
    <v>Learn more on Bing</v>
  </rv>
  <rv s="1">
    <v>0</v>
    <v>THE GOLDMAN SACHS GROUP, INC. (XNYS:GS)</v>
    <v>2</v>
    <v>3</v>
    <v>Finance</v>
    <v>4</v>
    <v>en-US</v>
    <v>a1u7xm</v>
    <v>268435456</v>
    <v>1</v>
    <v>Powered by Refinitiv</v>
    <v>825.25</v>
    <v>439.38</v>
    <v>1.4088000000000001</v>
    <v>6.41</v>
    <v>8.6090000000000003E-3</v>
    <v>0.7</v>
    <v>9.324E-4</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48300</v>
    <v>New York Stock Exchange</v>
    <v>XNYS</v>
    <v>XNYS</v>
    <v>200 West St, NEW YORK, NY, 10282 US</v>
    <v>755</v>
    <v>Investment Banking &amp; Investment Services</v>
    <v>Stock</v>
    <v>45953.935210625001</v>
    <v>193</v>
    <v>744.66</v>
    <v>229759300000</v>
    <v>THE GOLDMAN SACHS GROUP, INC.</v>
    <v>THE GOLDMAN SACHS GROUP, INC.</v>
    <v>749.34</v>
    <v>15.1258</v>
    <v>744.6</v>
    <v>751.01</v>
    <v>751.48</v>
    <v>302721100</v>
    <v>GS</v>
    <v>THE GOLDMAN SACHS GROUP, INC. (XNYS:GS)</v>
    <v>1613606</v>
    <v>2098861</v>
    <v>1998</v>
  </rv>
  <rv s="2">
    <v>194</v>
  </rv>
  <rv s="0">
    <v>https://www.bing.com/financeapi/forcetrigger?t=bplbur&amp;q=XNAS%3aLAZR&amp;form=skydnc</v>
    <v>Learn more on Bing</v>
  </rv>
  <rv s="1">
    <v>0</v>
    <v>LUMINAR TECHNOLOGIES, INC. (XNAS:LAZR)</v>
    <v>2</v>
    <v>3</v>
    <v>Finance</v>
    <v>4</v>
    <v>en-US</v>
    <v>bplbur</v>
    <v>268435456</v>
    <v>1</v>
    <v>Powered by Refinitiv</v>
    <v>18.600000000000001</v>
    <v>1.58</v>
    <v>2.0550000000000002</v>
    <v>-0.03</v>
    <v>-1.7441999999999999E-2</v>
    <v>0.01</v>
    <v>5.9170000000000004E-3</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1.8</v>
    <v>Automobiles &amp; Auto Parts</v>
    <v>Stock</v>
    <v>45953.93083954844</v>
    <v>196</v>
    <v>1.67</v>
    <v>124807500</v>
    <v>LUMINAR TECHNOLOGIES, INC.</v>
    <v>LUMINAR TECHNOLOGIES, INC.</v>
    <v>1.72</v>
    <v>0</v>
    <v>1.72</v>
    <v>1.69</v>
    <v>1.7</v>
    <v>68764460</v>
    <v>LAZR</v>
    <v>LUMINAR TECHNOLOGIES, INC. (XNAS:LAZR)</v>
    <v>5381387</v>
    <v>6597236</v>
    <v>2018</v>
  </rv>
  <rv s="2">
    <v>197</v>
  </rv>
  <rv s="0">
    <v>https://www.bing.com/financeapi/forcetrigger?t=a1x6rw&amp;q=XNYS%3aLUV&amp;form=skydnc</v>
    <v>Learn more on Bing</v>
  </rv>
  <rv s="1">
    <v>0</v>
    <v>SOUTHWEST AIRLINES CO. (XNYS:LUV)</v>
    <v>2</v>
    <v>3</v>
    <v>Finance</v>
    <v>4</v>
    <v>en-US</v>
    <v>a1x6rw</v>
    <v>268435456</v>
    <v>1</v>
    <v>Powered by Refinitiv</v>
    <v>37.96</v>
    <v>23.815000000000001</v>
    <v>1.2293000000000001</v>
    <v>-2.11</v>
    <v>-6.25E-2</v>
    <v>0.04</v>
    <v>1.2640000000000001E-3</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33.15</v>
    <v>Passenger Transportation Services</v>
    <v>Stock</v>
    <v>45953.933973332816</v>
    <v>199</v>
    <v>31.02</v>
    <v>18213510000</v>
    <v>SOUTHWEST AIRLINES CO.</v>
    <v>SOUTHWEST AIRLINES CO.</v>
    <v>32.82</v>
    <v>50.455800000000004</v>
    <v>33.76</v>
    <v>31.65</v>
    <v>31.69</v>
    <v>525187700</v>
    <v>LUV</v>
    <v>SOUTHWEST AIRLINES CO. (XNYS:LUV)</v>
    <v>27780447</v>
    <v>9447684</v>
    <v>1967</v>
  </rv>
  <rv s="2">
    <v>200</v>
  </rv>
  <rv s="0">
    <v>https://www.bing.com/financeapi/forcetrigger?t=a1x8w7&amp;q=XNYS%3aMA&amp;form=skydnc</v>
    <v>Learn more on Bing</v>
  </rv>
  <rv s="1">
    <v>0</v>
    <v>MASTERCARD INCORPORATED. (XNYS:MA)</v>
    <v>2</v>
    <v>3</v>
    <v>Finance</v>
    <v>4</v>
    <v>en-US</v>
    <v>a1x8w7</v>
    <v>268435456</v>
    <v>1</v>
    <v>Powered by Refinitiv</v>
    <v>601.77</v>
    <v>465.59</v>
    <v>0.92759999999999998</v>
    <v>2.4900000000000002</v>
    <v>4.3579999999999999E-3</v>
    <v>3.78</v>
    <v>6.5880000000000001E-3</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576.99</v>
    <v>Software &amp; IT Services</v>
    <v>Stock</v>
    <v>45953.93350540469</v>
    <v>202</v>
    <v>571.66999999999996</v>
    <v>517121900000</v>
    <v>MASTERCARD INCORPORATED.</v>
    <v>MASTERCARD INCORPORATED.</v>
    <v>574.36</v>
    <v>38.5319</v>
    <v>571.36</v>
    <v>573.85</v>
    <v>577.54999999999995</v>
    <v>904011800</v>
    <v>MA</v>
    <v>MASTERCARD INCORPORATED. (XNYS:MA)</v>
    <v>2187494</v>
    <v>2835338</v>
    <v>2001</v>
  </rv>
  <rv s="2">
    <v>203</v>
  </rv>
  <rv s="0">
    <v>https://www.bing.com/financeapi/forcetrigger?t=a1yuvh&amp;q=XNAS%3aNVAX&amp;form=skydnc</v>
    <v>Learn more on Bing</v>
  </rv>
  <rv s="1">
    <v>0</v>
    <v>NOVAVAX, INC. (XNAS:NVAX)</v>
    <v>2</v>
    <v>3</v>
    <v>Finance</v>
    <v>4</v>
    <v>en-US</v>
    <v>a1yuvh</v>
    <v>268435456</v>
    <v>1</v>
    <v>Powered by Refinitiv</v>
    <v>11.55</v>
    <v>5.01</v>
    <v>2.6934999999999998</v>
    <v>-0.1</v>
    <v>-1.1819999999999999E-2</v>
    <v>0.04</v>
    <v>4.7850000000000002E-3</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8.52</v>
    <v>Biotechnology &amp; Medical Research</v>
    <v>Stock</v>
    <v>45953.92983783516</v>
    <v>205</v>
    <v>8.24</v>
    <v>1395202000</v>
    <v>NOVAVAX, INC.</v>
    <v>NOVAVAX, INC.</v>
    <v>8.4749999999999996</v>
    <v>3.6987999999999999</v>
    <v>8.4600000000000009</v>
    <v>8.36</v>
    <v>8.4</v>
    <v>162421600</v>
    <v>NVAX</v>
    <v>NOVAVAX, INC. (XNAS:NVAX)</v>
    <v>3017124</v>
    <v>4608282</v>
    <v>1987</v>
  </rv>
  <rv s="2">
    <v>206</v>
  </rv>
  <rv s="0">
    <v>http://en.wikipedia.org/wiki/Novartis</v>
    <v>Wikipedia</v>
  </rv>
  <rv s="6">
    <v>43</v>
    <v>208</v>
  </rv>
  <rv s="7">
    <v>18</v>
    <v>https://www.bing.com/th?id=AMMS_3a4201ed5d487670c98d0ce5663b2ca7&amp;qlt=95</v>
    <v>209</v>
    <v>0</v>
    <v>https://www.bing.com/images/search?form=xlimg&amp;q=novartis</v>
    <v>Image of Novartis Inc.</v>
  </rv>
  <rv s="0">
    <v>https://www.bing.com/financeapi/forcetrigger?t=a1yw77&amp;q=XNYS%3aNVS&amp;form=skydnc</v>
    <v>Learn more on Bing</v>
  </rv>
  <rv s="8">
    <v>14</v>
    <v>Novartis Inc. (XNYS:NVS)</v>
    <v>16</v>
    <v>17</v>
    <v>Finance</v>
    <v>4</v>
    <v>en-US</v>
    <v>a1yw77</v>
    <v>268435456</v>
    <v>1</v>
    <v>Powered by Refinitiv</v>
    <v>133.55000000000001</v>
    <v>96.061999999999998</v>
    <v>0.60289999999999999</v>
    <v>0.25</v>
    <v>1.902E-3</v>
    <v>0.71630000000000005</v>
    <v>5.4410000000000005E-3</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131.68</v>
    <v>210</v>
    <v>Pharmaceuticals</v>
    <v>Stock</v>
    <v>45953.931957534376</v>
    <v>211</v>
    <v>130.62</v>
    <v>277446100000</v>
    <v>Novartis Inc.</v>
    <v>Novartis Inc.</v>
    <v>130.82</v>
    <v>19.193899999999999</v>
    <v>131.43</v>
    <v>131.68</v>
    <v>132.3563</v>
    <v>2112422000</v>
    <v>NVS</v>
    <v>Novartis Inc. (XNYS:NVS)</v>
    <v>1670261</v>
    <v>1496073</v>
    <v>1996</v>
  </rv>
  <rv s="2">
    <v>212</v>
  </rv>
  <rv s="0">
    <v>https://www.bing.com/financeapi/forcetrigger?t=a1zez2&amp;q=XNYS%3aOXY&amp;form=skydnc</v>
    <v>Learn more on Bing</v>
  </rv>
  <rv s="1">
    <v>0</v>
    <v>OCCIDENTAL PETROLEUM CORPORATION (XNYS:OXY)</v>
    <v>2</v>
    <v>3</v>
    <v>Finance</v>
    <v>4</v>
    <v>en-US</v>
    <v>a1zez2</v>
    <v>268435456</v>
    <v>1</v>
    <v>Powered by Refinitiv</v>
    <v>53.2</v>
    <v>34.784999999999997</v>
    <v>0.93079999999999996</v>
    <v>1.1499999999999999</v>
    <v>2.7557999999999999E-2</v>
    <v>8.8800000000000004E-2</v>
    <v>2.0709999999999999E-3</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43.347900000000003</v>
    <v>Oil &amp; Gas</v>
    <v>Stock</v>
    <v>45953.934693807816</v>
    <v>214</v>
    <v>42.72</v>
    <v>40273430000</v>
    <v>OCCIDENTAL PETROLEUM CORPORATION</v>
    <v>OCCIDENTAL PETROLEUM CORPORATION</v>
    <v>43.14</v>
    <v>24.5809</v>
    <v>41.73</v>
    <v>42.88</v>
    <v>42.968800000000002</v>
    <v>984439800</v>
    <v>OXY</v>
    <v>OCCIDENTAL PETROLEUM CORPORATION (XNYS:OXY)</v>
    <v>13798489</v>
    <v>12250310</v>
    <v>1986</v>
  </rv>
  <rv s="2">
    <v>215</v>
  </rv>
  <rv s="0">
    <v>https://www.bing.com/financeapi/forcetrigger?t=a1zqnm&amp;q=XNYS%3aPFE&amp;form=skydnc</v>
    <v>Learn more on Bing</v>
  </rv>
  <rv s="1">
    <v>0</v>
    <v>PFIZER INC. (XNYS:PFE)</v>
    <v>2</v>
    <v>3</v>
    <v>Finance</v>
    <v>4</v>
    <v>en-US</v>
    <v>a1zqnm</v>
    <v>268435456</v>
    <v>1</v>
    <v>Powered by Refinitiv</v>
    <v>29.17</v>
    <v>20.914999999999999</v>
    <v>0.50880000000000003</v>
    <v>-3.5000000000000003E-2</v>
    <v>-1.4159999999999999E-3</v>
    <v>0.02</v>
    <v>8.1070000000000003E-4</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24.78</v>
    <v>Pharmaceuticals</v>
    <v>Stock</v>
    <v>45953.93516236094</v>
    <v>217</v>
    <v>24.51</v>
    <v>141285900000</v>
    <v>PFIZER INC.</v>
    <v>PFIZER INC.</v>
    <v>24.76</v>
    <v>17.900700000000001</v>
    <v>24.72</v>
    <v>24.684999999999999</v>
    <v>24.69</v>
    <v>5685550000</v>
    <v>PFE</v>
    <v>PFIZER INC. (XNYS:PFE)</v>
    <v>34193259</v>
    <v>58778589</v>
    <v>1942</v>
  </rv>
  <rv s="2">
    <v>218</v>
  </rv>
  <rv s="0">
    <v>https://www.bing.com/financeapi/forcetrigger?t=a2215r&amp;q=XNYS%3aRIG&amp;form=skydnc</v>
    <v>Learn more on Bing</v>
  </rv>
  <rv s="5">
    <v>12</v>
    <v>Transocean Ltd (XNYS:RIG)</v>
    <v>2</v>
    <v>13</v>
    <v>Finance</v>
    <v>4</v>
    <v>en-US</v>
    <v>a2215r</v>
    <v>268435456</v>
    <v>1</v>
    <v>Powered by Refinitiv</v>
    <v>4.74</v>
    <v>1.97</v>
    <v>2.6358000000000001</v>
    <v>0.46500000000000002</v>
    <v>0.135965</v>
    <v>9.7000000000000003E-3</v>
    <v>2.4940000000000001E-3</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3.9550000000000001</v>
    <v>Oil &amp; Gas Related Equipment and Services</v>
    <v>Stock</v>
    <v>45953.934805474222</v>
    <v>220</v>
    <v>3.4950000000000001</v>
    <v>3644284000</v>
    <v>Transocean Ltd</v>
    <v>Transocean Ltd</v>
    <v>3.53</v>
    <v>3.42</v>
    <v>3.8849999999999998</v>
    <v>3.8997000000000002</v>
    <v>1100992000</v>
    <v>RIG</v>
    <v>Transocean Ltd (XNYS:RIG)</v>
    <v>132116292</v>
    <v>57737837</v>
    <v>2008</v>
  </rv>
  <rv s="2">
    <v>221</v>
  </rv>
  <rv s="0">
    <v>https://www.bing.com/financeapi/forcetrigger?t=a228w7&amp;q=XNYS%3aRRC&amp;form=skydnc</v>
    <v>Learn more on Bing</v>
  </rv>
  <rv s="1">
    <v>0</v>
    <v>RANGE RESOURCES CORPORATION (XNYS:RRC)</v>
    <v>2</v>
    <v>3</v>
    <v>Finance</v>
    <v>5</v>
    <v>en-US</v>
    <v>a228w7</v>
    <v>268435456</v>
    <v>1</v>
    <v>Powered by Refinitiv</v>
    <v>43.5</v>
    <v>29.48</v>
    <v>0.50870000000000004</v>
    <v>1.25</v>
    <v>3.4483E-2</v>
    <v>0.4899</v>
    <v>1.3063999999999999E-2</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37.61</v>
    <v>Oil &amp; Gas</v>
    <v>Stock</v>
    <v>45953.883699385937</v>
    <v>223</v>
    <v>36.335000000000001</v>
    <v>8763050000</v>
    <v>RANGE RESOURCES CORPORATION</v>
    <v>RANGE RESOURCES CORPORATION</v>
    <v>37.25</v>
    <v>33.629300000000001</v>
    <v>36.25</v>
    <v>37.5</v>
    <v>37.989899999999999</v>
    <v>238191100</v>
    <v>RRC</v>
    <v>RANGE RESOURCES CORPORATION (XNYS:RRC)</v>
    <v>4242003</v>
    <v>3056937</v>
    <v>1980</v>
  </rv>
  <rv s="2">
    <v>224</v>
  </rv>
  <rv s="0">
    <v>https://www.bing.com/financeapi/forcetrigger?t=a23i8m&amp;q=XNYS%3aSQ&amp;form=skydnc</v>
    <v>Learn more on Bing</v>
  </rv>
  <rv s="1">
    <v>0</v>
    <v>BLOCK, INC. (XNYS:XYZ)</v>
    <v>2</v>
    <v>3</v>
    <v>Finance</v>
    <v>4</v>
    <v>en-US</v>
    <v>a23i8m</v>
    <v>268435456</v>
    <v>1</v>
    <v>Powered by Refinitiv</v>
    <v>99.26</v>
    <v>44.27</v>
    <v>2.7307000000000001</v>
    <v>2.63</v>
    <v>3.4641999999999999E-2</v>
    <v>0.22</v>
    <v>2.8000000000000004E-3</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79.290000000000006</v>
    <v>Professional &amp; Commercial Services</v>
    <v>Stock</v>
    <v>45953.933583911719</v>
    <v>226</v>
    <v>75.760000000000005</v>
    <v>47382960000</v>
    <v>BLOCK, INC.</v>
    <v>BLOCK, INC.</v>
    <v>76.13</v>
    <v>46.386000000000003</v>
    <v>75.92</v>
    <v>78.55</v>
    <v>78.78</v>
    <v>609584000</v>
    <v>XYZ</v>
    <v>BLOCK, INC. (XNYS:XYZ)</v>
    <v>4688610</v>
    <v>6051166</v>
    <v>2009</v>
  </rv>
  <rv s="2">
    <v>227</v>
  </rv>
  <rv s="0">
    <v>https://www.bing.com/financeapi/forcetrigger?t=a2475r&amp;q=XNYS%3aTHC&amp;form=skydnc</v>
    <v>Learn more on Bing</v>
  </rv>
  <rv s="1">
    <v>0</v>
    <v>TENET HEALTHCARE CORPORATION (XNYS:THC)</v>
    <v>2</v>
    <v>3</v>
    <v>Finance</v>
    <v>5</v>
    <v>en-US</v>
    <v>a2475r</v>
    <v>268435456</v>
    <v>1</v>
    <v>Powered by Refinitiv</v>
    <v>208.25</v>
    <v>109.82389999999999</v>
    <v>1.5318000000000001</v>
    <v>1.79</v>
    <v>8.7270000000000004E-3</v>
    <v>0</v>
    <v>0</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208.25</v>
    <v>Healthcare Providers &amp; Services</v>
    <v>Stock</v>
    <v>45953.919867082812</v>
    <v>229</v>
    <v>204.14</v>
    <v>17877820000</v>
    <v>TENET HEALTHCARE CORPORATION</v>
    <v>TENET HEALTHCARE CORPORATION</v>
    <v>204.27</v>
    <v>13.6805</v>
    <v>205.12</v>
    <v>206.91</v>
    <v>206.91</v>
    <v>88351000</v>
    <v>THC</v>
    <v>TENET HEALTHCARE CORPORATION (XNYS:THC)</v>
    <v>1217632</v>
    <v>984540</v>
    <v>1975</v>
  </rv>
  <rv s="2">
    <v>230</v>
  </rv>
  <rv s="0">
    <v>https://www.bing.com/financeapi/forcetrigger?t=a265bh&amp;q=XNYS%3aX&amp;form=skydnc</v>
    <v>Learn more on Bing</v>
  </rv>
  <rv s="3">
    <v>6</v>
    <v>UNITED STATES STEEL CORPORATION (XNYS:X)</v>
    <v>2</v>
    <v>19</v>
    <v>Finance</v>
    <v>20</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232</v>
    <v>54.78</v>
    <v>12416823444</v>
    <v>UNITED STATES STEEL CORPORATION</v>
    <v>UNITED STATES STEEL CORPORATION</v>
    <v>54.83</v>
    <v>186.1634</v>
    <v>54.85</v>
    <v>54.84</v>
    <v>226419100</v>
    <v>X</v>
    <v>UNITED STATES STEEL CORPORATION (XNYS:X)</v>
    <v>876</v>
    <v>12153533</v>
    <v>2001</v>
  </rv>
  <rv s="2">
    <v>233</v>
  </rv>
  <rv s="0">
    <v>https://www.bing.com/financeapi/forcetrigger?t=bnyaur&amp;q=XSWX%3aLOCK&amp;form=skydnc</v>
    <v>Learn more on Bing</v>
  </rv>
  <rv s="12">
    <v>34</v>
    <v>iShs Digtl Sec UCITS ETF USD A (XSWX:LOCK)</v>
    <v>35</v>
    <v>36</v>
    <v>Finance</v>
    <v>10</v>
    <v>en-US</v>
    <v>bnyaur</v>
    <v>268435456</v>
    <v>1</v>
    <v>Powered by Refinitiv</v>
    <v>10.56</v>
    <v>7.4260000000000002</v>
    <v>0.58640000000000003</v>
    <v>0.03</v>
    <v>2.8970000000000003E-3</v>
    <v>USD</v>
    <v>SIX Swiss Exchange</v>
    <v>XSWX</v>
    <v>4.0000000000000001E-3</v>
    <v>10.384</v>
    <v>ETF</v>
    <v>45953.687523148146</v>
    <v>235</v>
    <v>10.384</v>
    <v>1707250070.21</v>
    <v>iShs Digtl Sec UCITS ETF USD A</v>
    <v>10.384</v>
    <v>10.353999999999999</v>
    <v>10.384</v>
    <v>LOCK</v>
    <v>iShs Digtl Sec UCITS ETF USD A (XSWX:LOCK)</v>
    <v>38</v>
  </rv>
  <rv s="2">
    <v>236</v>
  </rv>
  <rv s="4">
    <v>12</v>
    <v>Volume average</v>
    <v>0</v>
  </rv>
  <rv s="13">
    <v>12</v>
    <v>1</v>
  </rv>
  <rv s="14">
    <v>37</v>
    <v>EUR/USD</v>
    <v>38</v>
    <v>39</v>
    <v>Finance</v>
    <v>40</v>
    <v>en-US</v>
    <v>av932w</v>
    <v>268435456</v>
    <v>1</v>
    <v>Powered by Refinitiv</v>
    <v>1.1918</v>
    <v>1.0176000000000001</v>
    <v>2.0000000000000001E-4</v>
    <v>1.7219999999999998E-4</v>
    <v>USD</v>
    <v>EUR</v>
    <v>1.1620999999999999</v>
    <v>Currency Pair</v>
    <v>45953.935127314813</v>
    <v>1.1616</v>
    <v>Euro/US Dollar FX Spot Rate</v>
    <v>1.1617999999999999</v>
    <v>1.1617</v>
    <v>1.1618999999999999</v>
    <v>EURUSD</v>
    <v>EUR/USD</v>
  </rv>
  <rv s="2">
    <v>240</v>
  </rv>
  <rv s="14">
    <v>37</v>
    <v>EUR/CHF</v>
    <v>38</v>
    <v>41</v>
    <v>Finance</v>
    <v>40</v>
    <v>en-US</v>
    <v>av923m</v>
    <v>268435456</v>
    <v>1</v>
    <v>Powered by Refinitiv</v>
    <v>0.96609999999999996</v>
    <v>0.92</v>
    <v>-2.0000000000000001E-4</v>
    <v>-2.165E-4</v>
    <v>CHF</v>
    <v>EUR</v>
    <v>0.92420000000000002</v>
    <v>Currency Pair</v>
    <v>45953.93513888889</v>
    <v>0.92379999999999995</v>
    <v>Euro/Swiss Franc FX Cross Rate</v>
    <v>0.92349999999999999</v>
    <v>0.92359999999999998</v>
    <v>0.9234</v>
    <v>EURCHF</v>
    <v>EUR/CHF</v>
  </rv>
  <rv s="2">
    <v>242</v>
  </rv>
  <rv s="14">
    <v>37</v>
    <v>EUR/GBP</v>
    <v>38</v>
    <v>42</v>
    <v>Finance</v>
    <v>40</v>
    <v>en-US</v>
    <v>av92z2</v>
    <v>268435456</v>
    <v>1</v>
    <v>Powered by Refinitiv</v>
    <v>0.87629999999999997</v>
    <v>0.82189999999999996</v>
    <v>-1E-4</v>
    <v>-1.147E-4</v>
    <v>GBP</v>
    <v>EUR</v>
    <v>0.87190000000000001</v>
    <v>Currency Pair</v>
    <v>45953.93513888889</v>
    <v>0.87180000000000002</v>
    <v>Euro/UK Pound Sterling FX Cross Rate</v>
    <v>0.87160000000000004</v>
    <v>0.87150000000000005</v>
    <v>0.87139999999999995</v>
    <v>EURGBP</v>
    <v>EUR/GBP</v>
  </rv>
  <rv s="2">
    <v>244</v>
  </rv>
  <rv s="14">
    <v>37</v>
    <v>EUR/AUD</v>
    <v>38</v>
    <v>43</v>
    <v>Finance</v>
    <v>40</v>
    <v>en-US</v>
    <v>av8sfr</v>
    <v>268435456</v>
    <v>1</v>
    <v>Powered by Refinitiv</v>
    <v>1.8554999999999999</v>
    <v>1.5899000000000001</v>
    <v>-8.0000000000000004E-4</v>
    <v>-4.4850000000000001E-4</v>
    <v>AUD</v>
    <v>EUR</v>
    <v>1.7846</v>
    <v>Currency Pair</v>
    <v>45953.93513888889</v>
    <v>1.7837000000000001</v>
    <v>Euro/Australian Dollar FX Cross Rate</v>
    <v>1.7838000000000001</v>
    <v>1.7837000000000001</v>
    <v>1.7828999999999999</v>
    <v>EURAUD</v>
    <v>EUR/AUD</v>
  </rv>
  <rv s="2">
    <v>246</v>
  </rv>
  <rv s="14">
    <v>37</v>
    <v>EUR/CAD</v>
    <v>38</v>
    <v>44</v>
    <v>Finance</v>
    <v>40</v>
    <v>en-US</v>
    <v>av8ttc</v>
    <v>268435456</v>
    <v>1</v>
    <v>Powered by Refinitiv</v>
    <v>1.6468</v>
    <v>1.4484999999999999</v>
    <v>-2.9999999999999997E-4</v>
    <v>-1.8460000000000001E-4</v>
    <v>CAD</v>
    <v>EUR</v>
    <v>1.6256999999999999</v>
    <v>Currency Pair</v>
    <v>45953.935300925928</v>
    <v>1.6252</v>
    <v>Euro/Canadian Dollar FX Cross Rate</v>
    <v>1.6251</v>
    <v>1.6252</v>
    <v>1.6249</v>
    <v>EURCAD</v>
    <v>EUR/CAD</v>
  </rv>
  <rv s="2">
    <v>248</v>
  </rv>
  <rv s="14">
    <v>37</v>
    <v>USD/JPY</v>
    <v>38</v>
    <v>45</v>
    <v>Finance</v>
    <v>40</v>
    <v>en-US</v>
    <v>avyomw</v>
    <v>268435456</v>
    <v>1</v>
    <v>Powered by Refinitiv</v>
    <v>158.87</v>
    <v>139.86000000000001</v>
    <v>-0.05</v>
    <v>-3.277E-4</v>
    <v>JPY</v>
    <v>USD</v>
    <v>152.6</v>
    <v>Currency Pair</v>
    <v>45953.935104166667</v>
    <v>152.53</v>
    <v>US Dollar/Japanese Yen FX Spot Rate</v>
    <v>152.55000000000001</v>
    <v>152.58000000000001</v>
    <v>152.53</v>
    <v>USDJPY</v>
    <v>USD/JPY</v>
  </rv>
  <rv s="2">
    <v>250</v>
  </rv>
  <rv s="14">
    <v>37</v>
    <v>USD/CHF</v>
    <v>38</v>
    <v>41</v>
    <v>Finance</v>
    <v>40</v>
    <v>en-US</v>
    <v>avyt7w</v>
    <v>268435456</v>
    <v>1</v>
    <v>Powered by Refinitiv</v>
    <v>0.92</v>
    <v>0.78269999999999995</v>
    <v>-2.9999999999999997E-4</v>
    <v>-3.7740000000000001E-4</v>
    <v>CHF</v>
    <v>USD</v>
    <v>0.79569999999999996</v>
    <v>Currency Pair</v>
    <v>45953.93513888889</v>
    <v>0.79490000000000005</v>
    <v>US Dollar/Swiss Franc FX Spot Rate</v>
    <v>0.79490000000000005</v>
    <v>0.79500000000000004</v>
    <v>0.79469999999999996</v>
    <v>USDCHF</v>
    <v>USD/CHF</v>
  </rv>
  <rv s="2">
    <v>252</v>
  </rv>
  <rv s="14">
    <v>37</v>
    <v>USD/GBP</v>
    <v>38</v>
    <v>42</v>
    <v>Finance</v>
    <v>40</v>
    <v>en-US</v>
    <v>avyu4c</v>
    <v>268435456</v>
    <v>1</v>
    <v>Powered by Refinitiv</v>
    <v>0.82650000000000001</v>
    <v>0.72509999999999997</v>
    <v>-1.6899999999999999E-4</v>
    <v>-2.253E-4</v>
    <v>GBP</v>
    <v>USD</v>
    <v>0.75060000000000004</v>
    <v>Currency Pair</v>
    <v>45953.93513888889</v>
    <v>0.75019999999999998</v>
    <v>US Dollar/UK Pound Sterling FX Cross Rate</v>
    <v>0.75019999999999998</v>
    <v>0.75019999999999998</v>
    <v>0.75</v>
    <v>USDGBP</v>
    <v>USD/GBP</v>
  </rv>
  <rv s="2">
    <v>254</v>
  </rv>
  <rv s="0">
    <v>https://www.bing.com/financeapi/forcetrigger?t=a6qja2&amp;q=DOW+JONES+INDU+AVERAGE+NDX&amp;form=skydnc</v>
    <v>Learn more on Bing</v>
  </rv>
  <rv s="15">
    <v>46</v>
    <v>DOW JONES INDU AVERAGE NDX</v>
    <v>35</v>
    <v>47</v>
    <v>Finance</v>
    <v>48</v>
    <v>en-US</v>
    <v>a6qja2</v>
    <v>268435456</v>
    <v>1</v>
    <v>Powered by Refinitiv</v>
    <v>47125.66</v>
    <v>36611.78</v>
    <v>144.19999999999999</v>
    <v>3.0950000000000001E-3</v>
    <v>US</v>
    <v>46802.15</v>
    <v>Index</v>
    <v>256</v>
    <v>46490.06</v>
    <v>DOW JONES INDU AVERAGE NDX</v>
    <v>46519.13</v>
    <v>46590.41</v>
    <v>46734.61</v>
    <v>DJI</v>
    <v>DOW JONES INDU AVERAGE NDX</v>
  </rv>
  <rv s="2">
    <v>257</v>
  </rv>
  <rv s="0">
    <v>https://www.bing.com/financeapi/forcetrigger?t=bxjpp2&amp;q=XLON%3aXNAS&amp;form=skydnc</v>
    <v>Learn more on Bing</v>
  </rv>
  <rv s="12">
    <v>34</v>
    <v>X NASDAQ 100 UCITS ETF 1C (XLON:XNAS)</v>
    <v>35</v>
    <v>36</v>
    <v>Finance</v>
    <v>49</v>
    <v>en-US</v>
    <v>bxjpp2</v>
    <v>268435456</v>
    <v>1</v>
    <v>Powered by Refinitiv</v>
    <v>58.27</v>
    <v>37.74</v>
    <v>1.1051</v>
    <v>0.36499999999999999</v>
    <v>6.3449999999999999E-3</v>
    <v>USD</v>
    <v>London Stock Exchange</v>
    <v>XLON</v>
    <v>2E-3</v>
    <v>57.9</v>
    <v>ETF</v>
    <v>45953.639570890628</v>
    <v>259</v>
    <v>57.4</v>
    <v>1860372611.6900001</v>
    <v>X NASDAQ 100 UCITS ETF 1C</v>
    <v>57.74</v>
    <v>57.53</v>
    <v>57.895000000000003</v>
    <v>XNAS</v>
    <v>X NASDAQ 100 UCITS ETF 1C (XLON:XNAS)</v>
    <v>4057</v>
  </rv>
  <rv s="2">
    <v>260</v>
  </rv>
  <rv s="4">
    <v>12</v>
    <v>Instrument type</v>
    <v>0</v>
  </rv>
  <rv s="0">
    <v>https://www.bing.com/financeapi/forcetrigger?t=a1ntlh&amp;q=XNAS%3aASML&amp;form=skydnc</v>
    <v>Learn more on Bing</v>
  </rv>
  <rv s="1">
    <v>0</v>
    <v>ASML Holding NV (XNAS:ASML)</v>
    <v>2</v>
    <v>3</v>
    <v>Finance</v>
    <v>4</v>
    <v>en-US</v>
    <v>a1ntlh</v>
    <v>268435456</v>
    <v>1</v>
    <v>Powered by Refinitiv</v>
    <v>1059</v>
    <v>578.51</v>
    <v>1.8752</v>
    <v>24.844999999999999</v>
    <v>2.4561000000000003E-2</v>
    <v>4.8499999999999996</v>
    <v>4.6800000000000001E-3</v>
    <v>USD</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43461</v>
    <v>Nasdaq Stock Market</v>
    <v>XNAS</v>
    <v>XNAS</v>
    <v>De Run 6501, VELDHOVEN, NOORD-BRABANT, 5504 DR NL</v>
    <v>1040.5</v>
    <v>Semiconductors &amp; Semiconductor Equipment</v>
    <v>Stock</v>
    <v>45953.935052453126</v>
    <v>263</v>
    <v>1004.5</v>
    <v>402013500000</v>
    <v>ASML Holding NV</v>
    <v>ASML Holding NV</v>
    <v>1004.52</v>
    <v>36.569400000000002</v>
    <v>1011.5650000000001</v>
    <v>1036.4100000000001</v>
    <v>1041.26</v>
    <v>388147700</v>
    <v>ASML</v>
    <v>ASML Holding NV (XNAS:ASML)</v>
    <v>1317548</v>
    <v>1781534</v>
    <v>1994</v>
  </rv>
  <rv s="2">
    <v>264</v>
  </rv>
  <rv s="16">
    <v>50</v>
    <v>Big Tree Cloud Holdings Limited (XNAS:DSY)</v>
    <v>28</v>
    <v>51</v>
    <v>Finance</v>
    <v>5</v>
    <v>en-US</v>
    <v>c8kfk2</v>
    <v>268435456</v>
    <v>1</v>
    <v>Powered by Refinitiv</v>
    <v>7.33</v>
    <v>0.6</v>
    <v>-1E-4</v>
    <v>-1.538E-4</v>
    <v>-1.35E-2</v>
    <v>-2.0771999999999999E-2</v>
    <v>USD</v>
    <v>Big Tree Cloud Holdings Ltd is a China-based company principally engaged in the development, production and sales of personal care products and other consumer goods. The Company delivers products that cater to the needs of modern, health-conscious, and independent consumers. It focuses on the development and production of feminine hygiene products, including sterilized feminine pads, menstrual pants, and other feminine hygiene products. Its body and oral care products include shampoo and conditioner, body wash, facial mask and cream, and others. Its accessories include earrings, bracelets, pendants and other jewelry accessories. It distributes its products through its flagship stores on e-commerce platforms. The Company also engages in licensing business by authorizing its customers and third-party commercial stores to use its logo, trademark and brand name.</v>
    <v>50</v>
    <v>Nasdaq Stock Market</v>
    <v>XNAS</v>
    <v>XNAS</v>
    <v>Matian Street, Zhongliang Yunjing Plaza, Room 3303, Building 1, SHENZHEN, GUANGDONG, 518083 CN</v>
    <v>0.65</v>
    <v>Personal &amp; Household Products &amp; Services</v>
    <v>Stock</v>
    <v>45953.922656909373</v>
    <v>0.61639999999999995</v>
    <v>64150270</v>
    <v>Big Tree Cloud Holdings Limited</v>
    <v>Big Tree Cloud Holdings Limited</v>
    <v>0.64400000000000002</v>
    <v>57.932299999999998</v>
    <v>0.65</v>
    <v>0.64990000000000003</v>
    <v>0.63639999999999997</v>
    <v>95037440</v>
    <v>DSY</v>
    <v>Big Tree Cloud Holdings Limited (XNAS:DSY)</v>
    <v>85344</v>
    <v>253593</v>
  </rv>
  <rv s="2">
    <v>266</v>
  </rv>
  <rv s="0">
    <v>https://www.bing.com/financeapi/forcetrigger?t=a1v3sm&amp;q=XNYS%3aIAG&amp;form=skydnc</v>
    <v>Learn more on Bing</v>
  </rv>
  <rv s="1">
    <v>0</v>
    <v>IAMGOLD CORPORATION (XNYS:IAG)</v>
    <v>2</v>
    <v>11</v>
    <v>Finance</v>
    <v>4</v>
    <v>en-US</v>
    <v>a1v3sm</v>
    <v>268435456</v>
    <v>1</v>
    <v>Powered by Refinitiv</v>
    <v>14.67</v>
    <v>4.8899999999999997</v>
    <v>1.4558</v>
    <v>-5.0000000000000001E-3</v>
    <v>-4.149E-4</v>
    <v>-0.01</v>
    <v>-8.3059999999999991E-4</v>
    <v>USD</v>
    <v>IAMGOLD Corporation is a Canada-based intermediate gold producer and developer. Its principal activities are the exploration, development, and operation of gold mining properties in North America and West Africa. Its projects include Essakane, Westwood and Cote Gold. The Essakane project is in north-eastern Burkina Faso, West Africa. It straddles the boundary of the Oudalan and Seno provinces in the Sahel region of Burkina Faso and is approximately 330 kilometers (km) northeast of the capital, Ouagadougou. The Westwood Project is located on the Doyon property, 2.5 km east of the former Doyon Gold Mine in Bousquet Township. The Cote Gold Project is in the Chester and Yeo Townships, District of Sudbury, in northeastern Ontario. It owns a 100% interest in the Nelligan Gold Project, located 60Km southwest of Chibougamau. It holds claims of Nelligan, as well as other earlier stage exploration properties in Northern Quebec. It also owns Rich Lake and Lac a l’Eau Jaune (gold) properties.</v>
    <v>4341</v>
    <v>New York Stock Exchange</v>
    <v>XNYS</v>
    <v>XNYS</v>
    <v>150 King Street West, Suite 2200, TORONTO, ON, M5H 1J9 CA</v>
    <v>12.34</v>
    <v>Metals &amp; Mining</v>
    <v>Stock</v>
    <v>45953.933231284376</v>
    <v>268</v>
    <v>11.935</v>
    <v>9826672000</v>
    <v>IAMGOLD CORPORATION</v>
    <v>IAMGOLD CORPORATION</v>
    <v>12.335000000000001</v>
    <v>8.7125000000000004</v>
    <v>12.05</v>
    <v>12.045</v>
    <v>12.03</v>
    <v>575332100</v>
    <v>IAG</v>
    <v>IAMGOLD CORPORATION (XNYS:IAG)</v>
    <v>11316850</v>
    <v>16433360</v>
    <v>2017</v>
  </rv>
  <rv s="2">
    <v>269</v>
  </rv>
  <rv s="0">
    <v>https://www.bing.com/financeapi/forcetrigger?t=bvct77&amp;q=XFRA%3aNQA&amp;form=skydnc</v>
    <v>Learn more on Bing</v>
  </rv>
  <rv s="17">
    <v>52</v>
    <v>Note AB (publ) (XFRA:NQA)</v>
    <v>2</v>
    <v>53</v>
    <v>Finance</v>
    <v>10</v>
    <v>en-US</v>
    <v>bvct77</v>
    <v>268435456</v>
    <v>1</v>
    <v>Powered by Refinitiv</v>
    <v>0.90059999999999996</v>
    <v>-0.46</v>
    <v>-2.793E-2</v>
    <v>EUR</v>
    <v>Note AB (publ) is a Sweden-based company engaged in manufacturing and sale of electronic components. The Company’s operations are divided into four customer segments: Industrial, Communication, Medtech and Greentech. Industrial segment manufactures products in segments like automation, control, infrastructure, energy and construction technology. Communication segment offers technical competence. Medtech provides medical technology products in diagnostics, treatment and X-ray. The Greentech segment consists of customers active in the expansive green technology transition, offers products that make contribution to improved sustainability, such as the transition from fossil to renewable energy or optimising energy consumption.</v>
    <v>1468</v>
    <v>Deutsche Boerse AG</v>
    <v>XFRA</v>
    <v>XFRA</v>
    <v>Sveavagen 52, STOCKHOLM, STOCKHOLM, 111 34 SE</v>
    <v>16.010000000000002</v>
    <v>Semiconductors &amp; Semiconductor Equipment</v>
    <v>Stock</v>
    <v>45953.836805555555</v>
    <v>271</v>
    <v>16.010000000000002</v>
    <v>5077927000</v>
    <v>Note AB (publ)</v>
    <v>Note AB (publ)</v>
    <v>16.010000000000002</v>
    <v>18.8353</v>
    <v>16.47</v>
    <v>16.010000000000002</v>
    <v>28983600</v>
    <v>NQA</v>
    <v>Note AB (publ) (XFRA:NQA)</v>
    <v>90</v>
    <v>72500</v>
    <v>1990</v>
  </rv>
  <rv s="2">
    <v>272</v>
  </rv>
  <rv s="0">
    <v>https://www.bing.com/financeapi/forcetrigger?t=a1rjbh&amp;q=XNYS%3aE&amp;form=skydnc</v>
    <v>Learn more on Bing</v>
  </rv>
  <rv s="18">
    <v>54</v>
    <v>Eni SpA (XNYS:E)</v>
    <v>2</v>
    <v>55</v>
    <v>Finance</v>
    <v>5</v>
    <v>en-US</v>
    <v>a1rjbh</v>
    <v>268435456</v>
    <v>1</v>
    <v>Powered by Refinitiv</v>
    <v>36.380000000000003</v>
    <v>24.65</v>
    <v>0.8871</v>
    <v>0.77</v>
    <v>2.1732999999999999E-2</v>
    <v>0</v>
    <v>0</v>
    <v>USD</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New York Stock Exchange</v>
    <v>XNYS</v>
    <v>XNYS</v>
    <v>Piazza Ezio Vanoni, 1, SAN DONATO MILANESE, MILANO, 20097 IT</v>
    <v>36.380000000000003</v>
    <v>Oil &amp; Gas</v>
    <v>Stock</v>
    <v>45953.920826747657</v>
    <v>274</v>
    <v>36.11</v>
    <v>54576020000</v>
    <v>Eni SpA</v>
    <v>Eni SpA</v>
    <v>36.19</v>
    <v>19.581299999999999</v>
    <v>35.43</v>
    <v>36.200000000000003</v>
    <v>36.200000000000003</v>
    <v>1573383000</v>
    <v>E</v>
    <v>Eni SpA (XNYS:E)</v>
    <v>236086</v>
    <v>227945</v>
  </rv>
  <rv s="2">
    <v>275</v>
  </rv>
  <rv s="0">
    <v>https://www.bing.com/financeapi/forcetrigger?t=aazgim&amp;q=XTSE%3aORA&amp;form=skydnc</v>
    <v>Learn more on Bing</v>
  </rv>
  <rv s="18">
    <v>54</v>
    <v>Aura Minerals Inc. (XTSE:ORA)</v>
    <v>2</v>
    <v>56</v>
    <v>Finance</v>
    <v>57</v>
    <v>en-US</v>
    <v>aazgim</v>
    <v>268435456</v>
    <v>1</v>
    <v>Powered by Refinitiv</v>
    <v>49.33</v>
    <v>14.22</v>
    <v>1.2377</v>
    <v>0</v>
    <v>0</v>
    <v>0</v>
    <v>0</v>
    <v>CAD</v>
    <v>Aura Minerals Inc. is a company focused on the development and operation of gold and base metal projects in the Americas. The Company's five operating assets include the Minosa gold mine in Honduras; the Almas, Apoena, and Borborema gold mines in Brazil; and the Aranzazu copper, gold, and silver mine in Mexico. It also owns Era Dorada, a gold project in Guatemala; Tolda Fria, a gold project in Colombia; and three projects in Brazil: Matupa, which is under development; Sao Francisco, which is in care and maintenance, and the Carajas copper project in the Carajas region, in the exploration phase. Aranzazu is an underground copper mine operation, producing gold and silver as by-products, located within the Municipalities of Concepcion del Oro and Mazapil in the State of Zacatecas, Mexico, near its northern border with the State of Coahuila. Minosa is an open-pit heap leach gold mine located in the highlands of western Honduras. Borborema Project is a greenfield open pit gold project.</v>
    <v>1258</v>
    <v>Toronto Stock Exchange</v>
    <v>XTSE</v>
    <v>XTSE</v>
    <v>255 Giralda Ave, Suite 6W102, CORAL GABLES, FL, 33134 US</v>
    <v>48.12</v>
    <v>Metals &amp; Mining</v>
    <v>Stock</v>
    <v>45925.833333333336</v>
    <v>277</v>
    <v>45.87</v>
    <v>3972179000</v>
    <v>Aura Minerals Inc.</v>
    <v>Aura Minerals Inc.</v>
    <v>48.11</v>
    <v>0</v>
    <v>47.86</v>
    <v>45.97</v>
    <v>45.97</v>
    <v>82637370</v>
    <v>ORA</v>
    <v>Aura Minerals Inc. (XTSE:ORA)</v>
    <v>251753</v>
    <v>95870</v>
  </rv>
  <rv s="2">
    <v>278</v>
  </rv>
</rvData>
</file>

<file path=xl/richData/rdrichvaluestructure.xml><?xml version="1.0" encoding="utf-8"?>
<rvStructures xmlns="http://schemas.microsoft.com/office/spreadsheetml/2017/richdata" count="19">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error">
    <k n="errorType" t="i"/>
    <k n="field" t="s"/>
    <k n="subType" t="i"/>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rvStructures>
</file>

<file path=xl/richData/rdsupportingpropertybag.xml><?xml version="1.0" encoding="utf-8"?>
<supportingPropertyBags xmlns="http://schemas.microsoft.com/office/spreadsheetml/2017/richdata2">
  <spbArrays count="13">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58">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4">
      <v>at close</v>
      <v>from previous close</v>
      <v>from previous close</v>
      <v>Source: Nasdaq</v>
      <v>GMT</v>
      <v>Delayed 15 minutes</v>
      <v>from close</v>
      <v>from close</v>
    </spb>
    <spb s="0">
      <v>1</v>
      <v>Name</v>
      <v>LearnMoreOnLink</v>
    </spb>
    <spb s="5">
      <v>10</v>
      <v>2</v>
      <v>2</v>
      <v>10</v>
      <v>3</v>
      <v>10</v>
      <v>10</v>
      <v>10</v>
      <v>4</v>
      <v>4</v>
      <v>5</v>
      <v>11</v>
      <v>10</v>
      <v>10</v>
      <v>10</v>
      <v>4</v>
      <v>7</v>
      <v>8</v>
      <v>9</v>
      <v>4</v>
    </spb>
    <spb s="6">
      <v>Delayed 15 minutes</v>
      <v>from previous close</v>
      <v>from previous close</v>
      <v>LSE</v>
      <v>GMT</v>
    </spb>
    <spb s="5">
      <v>12</v>
      <v>2</v>
      <v>2</v>
      <v>12</v>
      <v>3</v>
      <v>12</v>
      <v>12</v>
      <v>12</v>
      <v>4</v>
      <v>4</v>
      <v>5</v>
      <v>13</v>
      <v>12</v>
      <v>12</v>
      <v>12</v>
      <v>4</v>
      <v>7</v>
      <v>8</v>
      <v>9</v>
      <v>4</v>
    </spb>
    <spb s="7">
      <v>Delayed 15 minutes</v>
      <v>from previous close</v>
      <v>from previous close</v>
      <v>GMT</v>
    </spb>
    <spb s="3">
      <v>1</v>
      <v>2</v>
      <v>2</v>
      <v>1</v>
      <v>3</v>
      <v>1</v>
      <v>1</v>
      <v>1</v>
      <v>4</v>
      <v>4</v>
      <v>5</v>
      <v>14</v>
      <v>1</v>
      <v>1</v>
      <v>1</v>
      <v>4</v>
      <v>7</v>
      <v>8</v>
      <v>9</v>
      <v>4</v>
      <v>1</v>
      <v>1</v>
      <v>5</v>
    </spb>
    <spb s="0">
      <v>2</v>
      <v>Name</v>
      <v>LearnMoreOnLink</v>
    </spb>
    <spb s="8">
      <v>1</v>
      <v>2</v>
      <v>1</v>
      <v>3</v>
      <v>1</v>
      <v>1</v>
      <v>1</v>
      <v>4</v>
      <v>4</v>
      <v>5</v>
      <v>6</v>
      <v>1</v>
      <v>1</v>
      <v>1</v>
      <v>4</v>
      <v>7</v>
      <v>8</v>
      <v>9</v>
      <v>4</v>
      <v>1</v>
      <v>1</v>
      <v>5</v>
    </spb>
    <spb s="0">
      <v>3</v>
      <v>Name</v>
      <v>LearnMoreOnLink</v>
    </spb>
    <spb s="9">
      <v>0</v>
      <v>0</v>
    </spb>
    <spb s="10">
      <v>15</v>
      <v>1</v>
      <v>1</v>
      <v>1</v>
      <v>1</v>
    </spb>
    <spb s="11">
      <v>1</v>
      <v>2</v>
      <v>2</v>
      <v>1</v>
      <v>3</v>
      <v>1</v>
      <v>15</v>
      <v>1</v>
      <v>1</v>
      <v>4</v>
      <v>4</v>
      <v>5</v>
      <v>6</v>
      <v>1</v>
      <v>1</v>
      <v>1</v>
      <v>4</v>
      <v>7</v>
      <v>8</v>
      <v>9</v>
      <v>4</v>
      <v>1</v>
      <v>1</v>
      <v>5</v>
    </spb>
    <spb s="12">
      <v>Powered by Refinitiv</v>
    </spb>
    <spb s="5">
      <v>1</v>
      <v>2</v>
      <v>2</v>
      <v>1</v>
      <v>3</v>
      <v>1</v>
      <v>1</v>
      <v>1</v>
      <v>4</v>
      <v>4</v>
      <v>5</v>
      <v>6</v>
      <v>1</v>
      <v>1</v>
      <v>1</v>
      <v>4</v>
      <v>7</v>
      <v>8</v>
      <v>9</v>
      <v>4</v>
    </spb>
    <spb s="6">
      <v>Delayed 15 minutes</v>
      <v>from previous close</v>
      <v>from previous close</v>
      <v>Source: Nasdaq</v>
      <v>GMT</v>
    </spb>
    <spb s="3">
      <v>1</v>
      <v>2</v>
      <v>2</v>
      <v>1</v>
      <v>3</v>
      <v>1</v>
      <v>1</v>
      <v>1</v>
      <v>4</v>
      <v>4</v>
      <v>5</v>
      <v>16</v>
      <v>1</v>
      <v>1</v>
      <v>1</v>
      <v>4</v>
      <v>7</v>
      <v>8</v>
      <v>9</v>
      <v>4</v>
      <v>1</v>
      <v>1</v>
      <v>5</v>
    </spb>
    <spb s="13">
      <v>at close</v>
      <v>from previous close</v>
      <v>from previous close</v>
      <v>GMT</v>
      <v>Delayed 15 minutes</v>
      <v>from close</v>
      <v>from close</v>
    </spb>
    <spb s="0">
      <v>4</v>
      <v>Name</v>
      <v>LearnMoreOnLink</v>
    </spb>
    <spb s="14">
      <v>12</v>
      <v>2</v>
      <v>12</v>
      <v>3</v>
      <v>12</v>
      <v>12</v>
      <v>12</v>
      <v>4</v>
      <v>4</v>
      <v>5</v>
      <v>13</v>
      <v>12</v>
      <v>12</v>
      <v>12</v>
      <v>4</v>
      <v>7</v>
      <v>8</v>
      <v>9</v>
      <v>4</v>
    </spb>
    <spb s="11">
      <v>1</v>
      <v>2</v>
      <v>2</v>
      <v>1</v>
      <v>3</v>
      <v>1</v>
      <v>15</v>
      <v>1</v>
      <v>1</v>
      <v>4</v>
      <v>4</v>
      <v>5</v>
      <v>17</v>
      <v>1</v>
      <v>1</v>
      <v>1</v>
      <v>4</v>
      <v>7</v>
      <v>8</v>
      <v>9</v>
      <v>4</v>
      <v>1</v>
      <v>1</v>
      <v>5</v>
    </spb>
    <spb s="5">
      <v>18</v>
      <v>2</v>
      <v>2</v>
      <v>18</v>
      <v>3</v>
      <v>18</v>
      <v>18</v>
      <v>18</v>
      <v>4</v>
      <v>4</v>
      <v>5</v>
      <v>19</v>
      <v>18</v>
      <v>18</v>
      <v>18</v>
      <v>4</v>
      <v>7</v>
      <v>8</v>
      <v>9</v>
      <v>4</v>
    </spb>
    <spb s="15">
      <v>5</v>
      <v>Name</v>
    </spb>
    <spb s="16">
      <v>1</v>
      <v>1</v>
      <v>1</v>
    </spb>
    <spb s="0">
      <v>6</v>
      <v>Name</v>
      <v>LearnMoreOnLink</v>
    </spb>
    <spb s="17">
      <v>12</v>
      <v>2</v>
      <v>2</v>
      <v>12</v>
      <v>3</v>
      <v>12</v>
      <v>12</v>
      <v>12</v>
      <v>4</v>
      <v>4</v>
      <v>5</v>
      <v>13</v>
      <v>12</v>
      <v>12</v>
      <v>12</v>
      <v>4</v>
      <v>7</v>
      <v>9</v>
      <v>4</v>
    </spb>
    <spb s="6">
      <v>Delayed 15 minutes</v>
      <v>from previous close</v>
      <v>from previous close</v>
      <v>Borsa Italia</v>
      <v>GMT</v>
    </spb>
    <spb s="3">
      <v>10</v>
      <v>2</v>
      <v>2</v>
      <v>10</v>
      <v>3</v>
      <v>10</v>
      <v>10</v>
      <v>10</v>
      <v>4</v>
      <v>4</v>
      <v>5</v>
      <v>11</v>
      <v>10</v>
      <v>10</v>
      <v>10</v>
      <v>4</v>
      <v>7</v>
      <v>8</v>
      <v>9</v>
      <v>4</v>
      <v>10</v>
      <v>10</v>
      <v>5</v>
    </spb>
    <spb s="4">
      <v>at close</v>
      <v>from previous close</v>
      <v>from previous close</v>
      <v>LSE</v>
      <v>GMT</v>
      <v>Delayed 15 minutes</v>
      <v>from close</v>
      <v>from close</v>
    </spb>
    <spb s="0">
      <v>7</v>
      <v>Name</v>
      <v>LearnMoreOnLink</v>
    </spb>
    <spb s="18">
      <v>1</v>
      <v>1</v>
      <v>1</v>
    </spb>
    <spb s="19">
      <v>1</v>
      <v>2</v>
      <v>1</v>
      <v>3</v>
      <v>1</v>
      <v>1</v>
      <v>1</v>
      <v>4</v>
      <v>5</v>
      <v>6</v>
      <v>1</v>
      <v>1</v>
      <v>5</v>
      <v>1</v>
      <v>7</v>
      <v>9</v>
    </spb>
    <spb s="15">
      <v>8</v>
      <v>Name</v>
    </spb>
    <spb s="20">
      <v>1</v>
      <v>1</v>
    </spb>
    <spb s="21">
      <v>1</v>
      <v>1</v>
      <v>3</v>
      <v>1</v>
      <v>1</v>
      <v>1</v>
      <v>5</v>
      <v>1</v>
      <v>1</v>
      <v>1</v>
      <v>7</v>
      <v>9</v>
    </spb>
    <spb s="22">
      <v>GMT</v>
    </spb>
    <spb s="21">
      <v>18</v>
      <v>18</v>
      <v>3</v>
      <v>18</v>
      <v>18</v>
      <v>18</v>
      <v>5</v>
      <v>18</v>
      <v>18</v>
      <v>18</v>
      <v>7</v>
      <v>9</v>
    </spb>
    <spb s="21">
      <v>20</v>
      <v>20</v>
      <v>3</v>
      <v>20</v>
      <v>20</v>
      <v>20</v>
      <v>5</v>
      <v>20</v>
      <v>20</v>
      <v>20</v>
      <v>7</v>
      <v>9</v>
    </spb>
    <spb s="21">
      <v>21</v>
      <v>21</v>
      <v>3</v>
      <v>21</v>
      <v>21</v>
      <v>21</v>
      <v>5</v>
      <v>21</v>
      <v>21</v>
      <v>21</v>
      <v>7</v>
      <v>9</v>
    </spb>
    <spb s="21">
      <v>22</v>
      <v>22</v>
      <v>3</v>
      <v>22</v>
      <v>22</v>
      <v>22</v>
      <v>5</v>
      <v>22</v>
      <v>22</v>
      <v>22</v>
      <v>7</v>
      <v>9</v>
    </spb>
    <spb s="21">
      <v>23</v>
      <v>23</v>
      <v>3</v>
      <v>23</v>
      <v>23</v>
      <v>23</v>
      <v>5</v>
      <v>23</v>
      <v>23</v>
      <v>23</v>
      <v>7</v>
      <v>9</v>
    </spb>
    <spb s="0">
      <v>9</v>
      <v>Name</v>
      <v>LearnMoreOnLink</v>
    </spb>
    <spb s="23">
      <v>1</v>
      <v>1</v>
      <v>3</v>
      <v>1</v>
      <v>1</v>
      <v>1</v>
      <v>5</v>
      <v>1</v>
      <v>1</v>
      <v>1</v>
      <v>9</v>
    </spb>
    <spb s="24">
      <v>from previous close</v>
      <v>from previous close</v>
    </spb>
    <spb s="25">
      <v>Delayed 15 minutes</v>
      <v>from previous close</v>
      <v>LSE</v>
      <v>from previous close</v>
      <v>GMT</v>
    </spb>
    <spb s="15">
      <v>10</v>
      <v>Name</v>
    </spb>
    <spb s="26">
      <v>1</v>
      <v>2</v>
      <v>1</v>
      <v>3</v>
      <v>1</v>
      <v>1</v>
      <v>1</v>
      <v>4</v>
      <v>4</v>
      <v>5</v>
      <v>6</v>
      <v>1</v>
      <v>1</v>
      <v>1</v>
      <v>4</v>
      <v>7</v>
      <v>9</v>
      <v>4</v>
      <v>1</v>
      <v>1</v>
      <v>5</v>
    </spb>
    <spb s="0">
      <v>11</v>
      <v>Name</v>
      <v>LearnMoreOnLink</v>
    </spb>
    <spb s="27">
      <v>12</v>
      <v>2</v>
      <v>2</v>
      <v>12</v>
      <v>3</v>
      <v>12</v>
      <v>12</v>
      <v>12</v>
      <v>4</v>
      <v>4</v>
      <v>5</v>
      <v>17</v>
      <v>12</v>
      <v>4</v>
      <v>7</v>
      <v>8</v>
      <v>9</v>
      <v>4</v>
    </spb>
    <spb s="0">
      <v>12</v>
      <v>Name</v>
      <v>LearnMoreOnLink</v>
    </spb>
    <spb s="28">
      <v>1</v>
      <v>2</v>
      <v>2</v>
      <v>1</v>
      <v>3</v>
      <v>1</v>
      <v>1</v>
      <v>1</v>
      <v>4</v>
      <v>4</v>
      <v>5</v>
      <v>6</v>
      <v>1</v>
      <v>1</v>
      <v>1</v>
      <v>4</v>
      <v>7</v>
      <v>9</v>
      <v>4</v>
      <v>1</v>
      <v>1</v>
      <v>5</v>
    </spb>
    <spb s="28">
      <v>22</v>
      <v>2</v>
      <v>2</v>
      <v>22</v>
      <v>3</v>
      <v>22</v>
      <v>22</v>
      <v>22</v>
      <v>4</v>
      <v>4</v>
      <v>5</v>
      <v>14</v>
      <v>22</v>
      <v>22</v>
      <v>22</v>
      <v>4</v>
      <v>7</v>
      <v>9</v>
      <v>4</v>
      <v>22</v>
      <v>22</v>
      <v>5</v>
    </spb>
    <spb s="13">
      <v>at close</v>
      <v>from previous close</v>
      <v>from previous close</v>
      <v>GMT</v>
      <v>Delayed 20 minutes</v>
      <v>from close</v>
      <v>from close</v>
    </spb>
  </spbData>
</supportingPropertyBags>
</file>

<file path=xl/richData/rdsupportingpropertybagstructure.xml><?xml version="1.0" encoding="utf-8"?>
<spbStructures xmlns="http://schemas.microsoft.com/office/spreadsheetml/2017/richdata2" count="29">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Price" t="s"/>
    <k n="Change" t="s"/>
    <k n="Change (%)"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Price" t="s"/>
    <k n="Change" t="s"/>
    <k n="Exchange" t="s"/>
    <k n="Change (%)" t="s"/>
    <k n="Last trade time" t="s"/>
  </s>
  <s>
    <k n="Low" t="i"/>
    <k n="P/E"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7"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dataCellStyle="Comma">
      <calculatedColumnFormula>_xlfn.XLOOKUP(RTData[[#This Row],[Ticker symbol]],[2]Sheet2!$B$2:$B$95,[2]Sheet2!$E$2:$E$95)</calculatedColumnFormula>
    </tableColumn>
    <tableColumn id="9" xr3:uid="{82656052-4D5E-8C41-9A70-30228A467DE8}" name="Ddate" dataDxfId="13" totalsRowDxfId="12">
      <calculatedColumnFormula>_xlfn.LET(_xlpm.date,[2]Sheet2!F2,IF(_xlpm.date=0,"",_xlpm.date))</calculatedColumnFormula>
    </tableColumn>
    <tableColumn id="15" xr3:uid="{FA897C27-6E9E-4C44-A46F-4D6AD99895C6}" name="EarningDate" dataDxfId="11" totalsRowDxfId="10">
      <calculatedColumnFormula>_xlfn.LET(_xlpm.date,[2]Sheet2!G2,IF(_xlpm.date=0,"",_xlpm.date))</calculatedColumnFormula>
    </tableColumn>
    <tableColumn id="1" xr3:uid="{4849786B-34A5-AF4F-84A7-3D73882815FC}" name="RepDiv" dataDxfId="9">
      <calculatedColumnFormula>[2]Sheet2!$H2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8:D106" totalsRowShown="0">
  <autoFilter ref="A98:D106" xr:uid="{3605F8B5-2207-9B4F-A466-559E80FF7EC6}"/>
  <tableColumns count="4">
    <tableColumn id="1" xr3:uid="{A71352C5-FD21-8240-941E-5FF443623FCB}" name="Couple"/>
    <tableColumn id="2" xr3:uid="{62EEFA6A-9E09-4D45-B65F-80226F75071B}" name="RT" dataDxfId="2">
      <calculatedColumnFormula array="1">_FV(A99,"Price")</calculatedColumnFormula>
    </tableColumn>
    <tableColumn id="3" xr3:uid="{7735EDB4-8F6C-2B4F-9D87-70384666EE29}" name="52 W High" dataDxfId="1">
      <calculatedColumnFormula array="1">_FV(A99,"52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210"/>
  <sheetViews>
    <sheetView tabSelected="1" workbookViewId="0">
      <pane xSplit="1" ySplit="2" topLeftCell="B6" activePane="bottomRight" state="frozen"/>
      <selection pane="topRight" activeCell="B1" sqref="B1"/>
      <selection pane="bottomLeft" activeCell="A3" sqref="A3"/>
      <selection pane="bottomRight" activeCell="A22" sqref="A22:XFD22"/>
    </sheetView>
  </sheetViews>
  <sheetFormatPr baseColWidth="10" defaultColWidth="11.125" defaultRowHeight="22" x14ac:dyDescent="0.3"/>
  <cols>
    <col min="1" max="1" width="22.25" customWidth="1"/>
    <col min="2" max="2" width="11" style="16" customWidth="1"/>
    <col min="3" max="3" width="61" style="45" customWidth="1"/>
    <col min="4" max="4" width="11.625" customWidth="1"/>
    <col min="5" max="5" width="17.625" customWidth="1"/>
    <col min="6" max="6" width="13.875" customWidth="1"/>
    <col min="7" max="7" width="14" customWidth="1"/>
    <col min="8" max="8" width="12.125" customWidth="1"/>
    <col min="9" max="9" width="14.875" customWidth="1"/>
    <col min="10" max="10" width="14.875" style="46" customWidth="1"/>
    <col min="11" max="11" width="14.25" style="21" customWidth="1"/>
    <col min="12" max="12" width="15" style="22" customWidth="1"/>
    <col min="13" max="13" width="16.75" style="45" customWidth="1"/>
    <col min="14" max="14" width="12" customWidth="1"/>
    <col min="15" max="15" width="15.375" style="23" customWidth="1"/>
    <col min="16" max="16" width="15.5" style="23" customWidth="1"/>
    <col min="17" max="17" width="15.375" customWidth="1"/>
    <col min="18" max="18" width="12.75" style="50" customWidth="1"/>
    <col min="19" max="19" width="11.125" customWidth="1"/>
    <col min="20" max="20" width="10.125" customWidth="1"/>
    <col min="21" max="21" width="11.125" customWidth="1"/>
    <col min="22" max="22" width="11.125" style="74" customWidth="1"/>
    <col min="23" max="23" width="11.125" style="72" customWidth="1"/>
    <col min="24" max="24" width="11.625" style="51" customWidth="1"/>
    <col min="30" max="30" width="16.875" customWidth="1"/>
    <col min="32" max="32" width="27.5" bestFit="1" customWidth="1"/>
  </cols>
  <sheetData>
    <row r="1" spans="1:32" s="1" customFormat="1" ht="27" thickBot="1" x14ac:dyDescent="0.35">
      <c r="A1" s="91">
        <f ca="1">MAX(E3:E96)</f>
        <v>45953.935426620315</v>
      </c>
      <c r="B1" s="2" t="s">
        <v>0</v>
      </c>
      <c r="C1" s="2"/>
      <c r="D1" s="3"/>
      <c r="E1" s="4" t="s">
        <v>0</v>
      </c>
      <c r="F1" s="5">
        <f ca="1">NOW()</f>
        <v>45954.018799421297</v>
      </c>
      <c r="G1" s="6"/>
      <c r="H1" s="7"/>
      <c r="I1" s="8"/>
      <c r="J1" s="9"/>
      <c r="K1" s="10"/>
      <c r="L1" s="11"/>
      <c r="M1" s="8"/>
      <c r="N1" s="8"/>
      <c r="O1" s="12"/>
      <c r="P1" s="12">
        <v>58505147</v>
      </c>
      <c r="Q1" s="8"/>
      <c r="R1" s="13"/>
      <c r="V1" s="73"/>
      <c r="W1" s="69"/>
      <c r="X1" s="14" t="s">
        <v>58</v>
      </c>
    </row>
    <row r="2" spans="1:32" s="87" customFormat="1" ht="27" thickBot="1" x14ac:dyDescent="0.35">
      <c r="A2" s="76" t="s">
        <v>1</v>
      </c>
      <c r="B2" s="77" t="s">
        <v>36</v>
      </c>
      <c r="C2" s="78" t="s">
        <v>2</v>
      </c>
      <c r="D2" s="79" t="s">
        <v>3</v>
      </c>
      <c r="E2" s="79" t="s">
        <v>4</v>
      </c>
      <c r="F2" s="80" t="s">
        <v>5</v>
      </c>
      <c r="G2" s="79" t="s">
        <v>6</v>
      </c>
      <c r="H2" s="79" t="s">
        <v>7</v>
      </c>
      <c r="I2" s="79" t="s">
        <v>8</v>
      </c>
      <c r="J2" s="79" t="s">
        <v>9</v>
      </c>
      <c r="K2" s="81" t="s">
        <v>10</v>
      </c>
      <c r="L2" s="82" t="s">
        <v>11</v>
      </c>
      <c r="M2" s="83" t="s">
        <v>12</v>
      </c>
      <c r="N2" s="84" t="s">
        <v>13</v>
      </c>
      <c r="O2" s="84" t="s">
        <v>14</v>
      </c>
      <c r="P2" s="85" t="s">
        <v>15</v>
      </c>
      <c r="Q2" s="85" t="s">
        <v>16</v>
      </c>
      <c r="R2" s="86" t="s">
        <v>17</v>
      </c>
      <c r="S2" s="79" t="s">
        <v>18</v>
      </c>
      <c r="T2" s="79" t="s">
        <v>31</v>
      </c>
      <c r="U2" s="84" t="s">
        <v>19</v>
      </c>
      <c r="V2" s="92" t="s">
        <v>38</v>
      </c>
      <c r="W2" s="92" t="s">
        <v>37</v>
      </c>
      <c r="X2" s="88" t="s">
        <v>33</v>
      </c>
      <c r="Y2" s="88" t="s">
        <v>34</v>
      </c>
      <c r="Z2" s="88" t="s">
        <v>46</v>
      </c>
      <c r="AA2" s="89" t="s">
        <v>35</v>
      </c>
      <c r="AB2" s="89" t="s">
        <v>41</v>
      </c>
      <c r="AC2" s="96" t="s">
        <v>40</v>
      </c>
      <c r="AD2" s="79" t="s">
        <v>53</v>
      </c>
      <c r="AE2" s="100" t="s">
        <v>52</v>
      </c>
      <c r="AF2" s="100" t="s">
        <v>62</v>
      </c>
    </row>
    <row r="3" spans="1:32" x14ac:dyDescent="0.3">
      <c r="A3" s="15" t="str" cm="1">
        <f t="array" aca="1" ref="A3" ca="1">_xlfn.SINGLE(RTData[suffix])&amp;_FV(RTData[[#This Row],[Company Name]],"Ticker symbol",TRUE)</f>
        <v>AAPL</v>
      </c>
      <c r="B3" s="15">
        <f ca="1">D99</f>
        <v>0.86065926499698775</v>
      </c>
      <c r="C3" s="16" t="e" vm="1">
        <v>#VALUE!</v>
      </c>
      <c r="D3" s="17" t="str" cm="1">
        <f t="array" aca="1" ref="D3" ca="1">_FV(RTData[[#This Row],[Company Name]],"Currency")</f>
        <v>USD</v>
      </c>
      <c r="E3" s="18" cm="1">
        <f t="array" aca="1" ref="E3" ca="1">_FV(RTData[[#This Row],[Company Name]],"Last trade time",TRUE)</f>
        <v>45953.935132731247</v>
      </c>
      <c r="F3" s="19" cm="1">
        <f t="array" aca="1" ref="F3" ca="1">_FV(RTData[[#This Row],[Company Name]],"Previous close",TRUE)</f>
        <v>258.45</v>
      </c>
      <c r="G3" s="19" cm="1">
        <f t="array" aca="1" ref="G3" ca="1">_FV(RTData[[#This Row],[Company Name]],"Open")</f>
        <v>259.94</v>
      </c>
      <c r="H3" s="19" cm="1">
        <f t="array" aca="1" ref="H3" ca="1">_FV(RTData[[#This Row],[Company Name]],"Price")</f>
        <v>259.58</v>
      </c>
      <c r="I3" s="19" cm="1">
        <f t="array" aca="1" ref="I3" ca="1">_FV(RTData[[#This Row],[Company Name]],"Low")</f>
        <v>258.01010000000002</v>
      </c>
      <c r="J3" s="19" cm="1">
        <f t="array" aca="1" ref="J3" ca="1">_FV(RTData[[#This Row],[Company Name]],"High")</f>
        <v>260.62</v>
      </c>
      <c r="K3" s="20" cm="1">
        <f t="array" aca="1" ref="K3" ca="1">IFERROR(_FV(RTData[[#This Row],[Company Name]],"P/E",TRUE),99)</f>
        <v>35.802700000000002</v>
      </c>
      <c r="L3" s="21" cm="1">
        <f t="array" aca="1" ref="L3" ca="1">_FV(RTData[[#This Row],[Company Name]],"Change")</f>
        <v>1.1299999999999999</v>
      </c>
      <c r="M3" s="22" cm="1">
        <f t="array" aca="1" ref="M3" ca="1">_FV(RTData[[#This Row],[Company Name]],"Change (%)",TRUE)</f>
        <v>4.372E-3</v>
      </c>
      <c r="N3" s="19" cm="1">
        <f t="array" aca="1" ref="N3" ca="1">_FV(RTData[[#This Row],[Company Name]],"52 week low",TRUE)</f>
        <v>169.21010000000001</v>
      </c>
      <c r="O3" s="19" cm="1">
        <f t="array" aca="1" ref="O3" ca="1">_FV(RTData[[#This Row],[Company Name]],"52 week high",TRUE)</f>
        <v>265.29000000000002</v>
      </c>
      <c r="P3" s="23" cm="1">
        <f t="array" aca="1" ref="P3" ca="1">_FV(RTData[[#This Row],[Company Name]],"Volume")</f>
        <v>32648320</v>
      </c>
      <c r="Q3" s="23" cm="1">
        <f t="array" aca="1" ref="Q3" ca="1">_FV(RTData[[#This Row],[Company Name]],"Volume average",TRUE)</f>
        <v>53110715</v>
      </c>
      <c r="R3" s="19" cm="1">
        <f t="array" aca="1" ref="R3" ca="1">_FV(RTData[[#This Row],[Company Name]],"Beta")</f>
        <v>1.0826</v>
      </c>
      <c r="T3" t="s">
        <v>20</v>
      </c>
      <c r="U3" t="str" cm="1">
        <f t="array" aca="1" ref="U3" ca="1">_FV(RTData[[#This Row],[Company Name]],"Exchange abbreviation",TRUE)</f>
        <v>XNAS</v>
      </c>
      <c r="V3" s="24">
        <f ca="1">IFERROR(RTData[[#This Row],[Volume]]/RTData[[#This Row],[Volume average]],1)</f>
        <v>0.61472190686945183</v>
      </c>
      <c r="W3" s="24"/>
      <c r="X3" s="108">
        <f ca="1">_xlfn.XLOOKUP(RTData[[#This Row],[Ticker symbol]],[2]Sheet2!$B$2:$B$95,[2]Sheet2!$E$2:$E$95)</f>
        <v>248.17128</v>
      </c>
      <c r="Y3" s="101">
        <f>_xlfn.LET(_xlpm.date,[2]Sheet2!F2,IF(_xlpm.date=0,"",_xlpm.date))</f>
        <v>45880</v>
      </c>
      <c r="Z3" s="101" t="str">
        <f>_xlfn.LET(_xlpm.date,[2]Sheet2!G2,IF(_xlpm.date=0,"",_xlpm.date))</f>
        <v>Oct 30, 2025</v>
      </c>
      <c r="AA3" s="102">
        <f>[2]Sheet2!$H2</f>
        <v>4.1999999999999997E-3</v>
      </c>
      <c r="AB3" s="103">
        <v>1E-4</v>
      </c>
      <c r="AC3" s="104">
        <v>3.0000000000000001E-3</v>
      </c>
      <c r="AD3" s="90">
        <v>245.31</v>
      </c>
      <c r="AE3" s="105">
        <f ca="1">_xlfn.LET(_xlpm.New1YT,RTData[[#This Row],[1YT]],        _xlpm.Old1YT,IF(ISNUMBER(RTData[[#This Row],[Old1YT]]),RTData[[#This Row],[Old1YT]],VALUE(LEFT(RTData[[#This Row],[Old1YT]],FIND("/",RTData[[#This Row],[Old1YT]],1)-1))),       IF(OR(RTData[[#This Row],[1YT]]=0,_xlpm.Old1YT=0),0,(_xlpm.New1YT-_xlpm.Old1YT)/_xlpm.Old1YT))</f>
        <v>1.1663935428641284E-2</v>
      </c>
      <c r="AF3" s="105" t="str">
        <f ca="1">TEXT(RTData[[#This Row],[1YT]],"#,#0.00")&amp;" &lt; "&amp;RTData[[#This Row],[Old1YT]]</f>
        <v>248.17 &lt; 245.31</v>
      </c>
    </row>
    <row r="4" spans="1:32" x14ac:dyDescent="0.3">
      <c r="A4" s="15" t="str" cm="1">
        <f t="array" aca="1" ref="A4" ca="1">_xlfn.SINGLE(RTData[suffix])&amp;_FV(RTData[[#This Row],[Company Name]],"Ticker symbol",TRUE)</f>
        <v>ADEA</v>
      </c>
      <c r="B4" s="15">
        <f ca="1">D99</f>
        <v>0.86065926499698775</v>
      </c>
      <c r="C4" s="25" t="e" vm="2">
        <v>#VALUE!</v>
      </c>
      <c r="D4" s="17" t="str" cm="1">
        <f t="array" aca="1" ref="D4" ca="1">_FV(RTData[[#This Row],[Company Name]],"Currency")</f>
        <v>USD</v>
      </c>
      <c r="E4" s="18" cm="1">
        <f t="array" aca="1" ref="E4" ca="1">_FV(RTData[[#This Row],[Company Name]],"Last trade time",TRUE)</f>
        <v>45953.853834328125</v>
      </c>
      <c r="F4" s="19" cm="1">
        <f t="array" aca="1" ref="F4" ca="1">_FV(RTData[[#This Row],[Company Name]],"Previous close",TRUE)</f>
        <v>16.82</v>
      </c>
      <c r="G4" s="19" cm="1">
        <f t="array" aca="1" ref="G4" ca="1">_FV(RTData[[#This Row],[Company Name]],"Open")</f>
        <v>16.8</v>
      </c>
      <c r="H4" s="19" cm="1">
        <f t="array" aca="1" ref="H4" ca="1">_FV(RTData[[#This Row],[Company Name]],"Price")</f>
        <v>16.77</v>
      </c>
      <c r="I4" s="19" cm="1">
        <f t="array" aca="1" ref="I4" ca="1">_FV(RTData[[#This Row],[Company Name]],"Low")</f>
        <v>16.75</v>
      </c>
      <c r="J4" s="19" cm="1">
        <f t="array" aca="1" ref="J4" ca="1">_FV(RTData[[#This Row],[Company Name]],"High")</f>
        <v>17.079999999999998</v>
      </c>
      <c r="K4" s="20" cm="1">
        <f t="array" aca="1" ref="K4" ca="1">IFERROR(_FV(RTData[[#This Row],[Company Name]],"P/E",TRUE),99)</f>
        <v>22.6844</v>
      </c>
      <c r="L4" s="21" cm="1">
        <f t="array" aca="1" ref="L4" ca="1">_FV(RTData[[#This Row],[Company Name]],"Change")</f>
        <v>-0.05</v>
      </c>
      <c r="M4" s="22" cm="1">
        <f t="array" aca="1" ref="M4" ca="1">_FV(RTData[[#This Row],[Company Name]],"Change (%)",TRUE)</f>
        <v>-2.9729999999999999E-3</v>
      </c>
      <c r="N4" s="19" cm="1">
        <f t="array" aca="1" ref="N4" ca="1">_FV(RTData[[#This Row],[Company Name]],"52 week low",TRUE)</f>
        <v>10.59</v>
      </c>
      <c r="O4" s="19" cm="1">
        <f t="array" aca="1" ref="O4" ca="1">_FV(RTData[[#This Row],[Company Name]],"52 week high",TRUE)</f>
        <v>18.25</v>
      </c>
      <c r="P4" s="23" cm="1">
        <f t="array" aca="1" ref="P4" ca="1">_FV(RTData[[#This Row],[Company Name]],"Volume")</f>
        <v>316994</v>
      </c>
      <c r="Q4" s="23" cm="1">
        <f t="array" aca="1" ref="Q4" ca="1">_FV(RTData[[#This Row],[Company Name]],"Volume average",TRUE)</f>
        <v>574337</v>
      </c>
      <c r="R4" s="19" cm="1">
        <f t="array" aca="1" ref="R4" ca="1">_FV(RTData[[#This Row],[Company Name]],"Beta")</f>
        <v>2.5766</v>
      </c>
      <c r="T4" t="s">
        <v>20</v>
      </c>
      <c r="U4" t="str" cm="1">
        <f t="array" aca="1" ref="U4" ca="1">_FV(RTData[[#This Row],[Company Name]],"Exchange abbreviation",TRUE)</f>
        <v>XNAS</v>
      </c>
      <c r="V4" s="24">
        <f ca="1">IFERROR(RTData[[#This Row],[Volume]]/RTData[[#This Row],[Volume average]],1)</f>
        <v>0.55193031269098103</v>
      </c>
      <c r="W4" s="24"/>
      <c r="X4" s="108">
        <f ca="1">_xlfn.XLOOKUP(RTData[[#This Row],[Ticker symbol]],[2]Sheet2!$B$2:$B$95,[2]Sheet2!$E$2:$E$95)</f>
        <v>20.66667</v>
      </c>
      <c r="Y4" s="101">
        <f>_xlfn.LET(_xlpm.date,[2]Sheet2!F3,IF(_xlpm.date=0,"",_xlpm.date))</f>
        <v>45895</v>
      </c>
      <c r="Z4" s="101" t="str">
        <f>_xlfn.LET(_xlpm.date,[2]Sheet2!G3,IF(_xlpm.date=0,"",_xlpm.date))</f>
        <v/>
      </c>
      <c r="AA4" s="102">
        <f>[2]Sheet2!$H3</f>
        <v>1.2699999999999999E-2</v>
      </c>
      <c r="AB4" s="103">
        <v>1E-4</v>
      </c>
      <c r="AC4" s="104">
        <v>3.0000000000000001E-3</v>
      </c>
      <c r="AD4" s="90">
        <v>15.33</v>
      </c>
      <c r="AE4" s="105">
        <f ca="1">_xlfn.LET(_xlpm.New1YT,RTData[[#This Row],[1YT]],        _xlpm.Old1YT,IF(ISNUMBER(RTData[[#This Row],[Old1YT]]),RTData[[#This Row],[Old1YT]],VALUE(LEFT(RTData[[#This Row],[Old1YT]],FIND("/",RTData[[#This Row],[Old1YT]],1)-1))),       IF(OR(RTData[[#This Row],[1YT]]=0,_xlpm.Old1YT=0),0,(_xlpm.New1YT-_xlpm.Old1YT)/_xlpm.Old1YT))</f>
        <v>0.34811937377690799</v>
      </c>
      <c r="AF4" s="105" t="str">
        <f ca="1">TEXT(RTData[[#This Row],[1YT]],"#,#0.00")&amp;" &lt; "&amp;RTData[[#This Row],[Old1YT]]</f>
        <v>20.67 &lt; 15.33</v>
      </c>
    </row>
    <row r="5" spans="1:32" ht="23" customHeight="1" x14ac:dyDescent="0.3">
      <c r="A5" s="15" t="str" cm="1">
        <f t="array" aca="1" ref="A5" ca="1">_xlfn.SINGLE(RTData[suffix])&amp;_FV(RTData[[#This Row],[Company Name]],"Ticker symbol",TRUE)</f>
        <v>AET</v>
      </c>
      <c r="B5" s="15">
        <f ca="1">D101/100</f>
        <v>1.1475786091347258E-2</v>
      </c>
      <c r="C5" s="25" t="e" vm="3">
        <v>#VALUE!</v>
      </c>
      <c r="D5" s="17" t="str" cm="1">
        <f t="array" aca="1" ref="D5" ca="1">_FV(RTData[[#This Row],[Company Name]],"Currency")</f>
        <v>GBp</v>
      </c>
      <c r="E5" s="18" cm="1">
        <f t="array" aca="1" ref="E5" ca="1">_FV(RTData[[#This Row],[Company Name]],"Last trade time",TRUE)</f>
        <v>45953.619284015622</v>
      </c>
      <c r="F5" s="19" cm="1">
        <f t="array" aca="1" ref="F5" ca="1">_FV(RTData[[#This Row],[Company Name]],"Previous close",TRUE)</f>
        <v>43.4</v>
      </c>
      <c r="G5" s="19" cm="1">
        <f t="array" aca="1" ref="G5" ca="1">_FV(RTData[[#This Row],[Company Name]],"Open")</f>
        <v>44.3</v>
      </c>
      <c r="H5" s="19" cm="1">
        <f t="array" aca="1" ref="H5" ca="1">_FV(RTData[[#This Row],[Company Name]],"Price")</f>
        <v>44.4</v>
      </c>
      <c r="I5" s="19" cm="1">
        <f t="array" aca="1" ref="I5" ca="1">_FV(RTData[[#This Row],[Company Name]],"Low")</f>
        <v>43.8</v>
      </c>
      <c r="J5" s="19" cm="1">
        <f t="array" aca="1" ref="J5" ca="1">_FV(RTData[[#This Row],[Company Name]],"High")</f>
        <v>44.4</v>
      </c>
      <c r="K5" s="20" cm="1">
        <f t="array" aca="1" ref="K5" ca="1">IFERROR(_FV(RTData[[#This Row],[Company Name]],"P/E",TRUE),99)</f>
        <v>3.7673999999999999</v>
      </c>
      <c r="L5" s="21" cm="1">
        <f t="array" aca="1" ref="L5" ca="1">_FV(RTData[[#This Row],[Company Name]],"Change")</f>
        <v>1</v>
      </c>
      <c r="M5" s="22" cm="1">
        <f t="array" aca="1" ref="M5" ca="1">_FV(RTData[[#This Row],[Company Name]],"Change (%)",TRUE)</f>
        <v>2.3040999999999999E-2</v>
      </c>
      <c r="N5" s="26" cm="1">
        <f t="array" aca="1" ref="N5" ca="1">_FV(RTData[[#This Row],[Company Name]],"52 week low",TRUE)</f>
        <v>33.064999999999998</v>
      </c>
      <c r="O5" s="26" cm="1">
        <f t="array" aca="1" ref="O5" ca="1">_FV(RTData[[#This Row],[Company Name]],"52 week high",TRUE)</f>
        <v>56.2</v>
      </c>
      <c r="P5" s="23" cm="1">
        <f t="array" aca="1" ref="P5" ca="1">_FV(RTData[[#This Row],[Company Name]],"Volume")</f>
        <v>523454</v>
      </c>
      <c r="Q5" s="23" cm="1">
        <f t="array" aca="1" ref="Q5" ca="1">_FV(RTData[[#This Row],[Company Name]],"Volume average",TRUE)</f>
        <v>1059800</v>
      </c>
      <c r="R5" s="19" cm="1">
        <f t="array" aca="1" ref="R5" ca="1">_FV(RTData[[#This Row],[Company Name]],"Beta")</f>
        <v>1.1551</v>
      </c>
      <c r="T5" t="s">
        <v>20</v>
      </c>
      <c r="U5" t="str" cm="1">
        <f t="array" aca="1" ref="U5" ca="1">_FV(RTData[[#This Row],[Company Name]],"Exchange abbreviation",TRUE)</f>
        <v>XLON</v>
      </c>
      <c r="V5" s="24">
        <f ca="1">IFERROR(RTData[[#This Row],[Volume]]/RTData[[#This Row],[Volume average]],1)</f>
        <v>0.49391772032458953</v>
      </c>
      <c r="W5" s="24"/>
      <c r="X5" s="108">
        <f ca="1">_xlfn.XLOOKUP(RTData[[#This Row],[Ticker symbol]],[2]Sheet2!$B$2:$B$95,[2]Sheet2!$E$2:$E$95)</f>
        <v>96.66</v>
      </c>
      <c r="Y5" s="101" t="str">
        <f>_xlfn.LET(_xlpm.date,[2]Sheet2!F4,IF(_xlpm.date=0,"",_xlpm.date))</f>
        <v/>
      </c>
      <c r="Z5" s="101" t="str">
        <f>_xlfn.LET(_xlpm.date,[2]Sheet2!G4,IF(_xlpm.date=0,"",_xlpm.date))</f>
        <v/>
      </c>
      <c r="AA5" s="102">
        <f>[2]Sheet2!$H4</f>
        <v>0</v>
      </c>
      <c r="AB5" s="103"/>
      <c r="AC5" s="104">
        <v>3.0000000000000001E-3</v>
      </c>
      <c r="AD5" s="90" t="s">
        <v>56</v>
      </c>
      <c r="AE5" s="105">
        <f ca="1">_xlfn.LET(_xlpm.New1YT,RTData[[#This Row],[1YT]],        _xlpm.Old1YT,IF(ISNUMBER(RTData[[#This Row],[Old1YT]]),RTData[[#This Row],[Old1YT]],VALUE(LEFT(RTData[[#This Row],[Old1YT]],FIND("/",RTData[[#This Row],[Old1YT]],1)-1))),       IF(OR(RTData[[#This Row],[1YT]]=0,_xlpm.Old1YT=0),0,(_xlpm.New1YT-_xlpm.Old1YT)/_xlpm.Old1YT))</f>
        <v>5.1109177903436311E-2</v>
      </c>
      <c r="AF5" s="105" t="str">
        <f ca="1">TEXT(RTData[[#This Row],[1YT]],"#,#0.00")&amp;" &lt; "&amp;RTData[[#This Row],[Old1YT]]</f>
        <v>96.66 &lt; 91.96/86.78</v>
      </c>
    </row>
    <row r="6" spans="1:32" x14ac:dyDescent="0.3">
      <c r="A6" s="15" t="str" cm="1">
        <f t="array" aca="1" ref="A6" ca="1">_xlfn.SINGLE(RTData[suffix])&amp;_FV(RTData[[#This Row],[Company Name]],"Ticker symbol",TRUE)</f>
        <v>AMZN</v>
      </c>
      <c r="B6" s="15">
        <f ca="1">D99</f>
        <v>0.86065926499698775</v>
      </c>
      <c r="C6" t="e" vm="4">
        <v>#VALUE!</v>
      </c>
      <c r="D6" s="17" t="str" cm="1">
        <f t="array" aca="1" ref="D6" ca="1">_FV(RTData[[#This Row],[Company Name]],"Currency")</f>
        <v>USD</v>
      </c>
      <c r="E6" s="18" cm="1">
        <f t="array" aca="1" ref="E6" ca="1">_FV(RTData[[#This Row],[Company Name]],"Last trade time",TRUE)</f>
        <v>45953.935426620315</v>
      </c>
      <c r="F6" s="19" cm="1">
        <f t="array" aca="1" ref="F6" ca="1">_FV(RTData[[#This Row],[Company Name]],"Previous close",TRUE)</f>
        <v>217.95</v>
      </c>
      <c r="G6" s="19" cm="1">
        <f t="array" aca="1" ref="G6" ca="1">_FV(RTData[[#This Row],[Company Name]],"Open")</f>
        <v>219</v>
      </c>
      <c r="H6" s="19" cm="1">
        <f t="array" aca="1" ref="H6" ca="1">_FV(RTData[[#This Row],[Company Name]],"Price")</f>
        <v>221.09</v>
      </c>
      <c r="I6" s="19" cm="1">
        <f t="array" aca="1" ref="I6" ca="1">_FV(RTData[[#This Row],[Company Name]],"Low")</f>
        <v>218.18</v>
      </c>
      <c r="J6" s="19" cm="1">
        <f t="array" aca="1" ref="J6" ca="1">_FV(RTData[[#This Row],[Company Name]],"High")</f>
        <v>221.3</v>
      </c>
      <c r="K6" s="20" cm="1">
        <f t="array" aca="1" ref="K6" ca="1">IFERROR(_FV(RTData[[#This Row],[Company Name]],"P/E",TRUE),99)</f>
        <v>33.737699999999997</v>
      </c>
      <c r="L6" s="21" cm="1">
        <f t="array" aca="1" ref="L6" ca="1">_FV(RTData[[#This Row],[Company Name]],"Change")</f>
        <v>3.14</v>
      </c>
      <c r="M6" s="22" cm="1">
        <f t="array" aca="1" ref="M6" ca="1">_FV(RTData[[#This Row],[Company Name]],"Change (%)",TRUE)</f>
        <v>1.4407000000000001E-2</v>
      </c>
      <c r="N6" s="19" cm="1">
        <f t="array" aca="1" ref="N6" ca="1">_FV(RTData[[#This Row],[Company Name]],"52 week low",TRUE)</f>
        <v>161.38</v>
      </c>
      <c r="O6" s="19" cm="1">
        <f t="array" aca="1" ref="O6" ca="1">_FV(RTData[[#This Row],[Company Name]],"52 week high",TRUE)</f>
        <v>242.52</v>
      </c>
      <c r="P6" s="23" cm="1">
        <f t="array" aca="1" ref="P6" ca="1">_FV(RTData[[#This Row],[Company Name]],"Volume")</f>
        <v>31481995</v>
      </c>
      <c r="Q6" s="23" cm="1">
        <f t="array" aca="1" ref="Q6" ca="1">_FV(RTData[[#This Row],[Company Name]],"Volume average",TRUE)</f>
        <v>48377656</v>
      </c>
      <c r="R6" s="19" cm="1">
        <f t="array" aca="1" ref="R6" ca="1">_FV(RTData[[#This Row],[Company Name]],"Beta")</f>
        <v>1.2831999999999999</v>
      </c>
      <c r="T6" t="s">
        <v>20</v>
      </c>
      <c r="U6" t="str" cm="1">
        <f t="array" aca="1" ref="U6" ca="1">_FV(RTData[[#This Row],[Company Name]],"Exchange abbreviation",TRUE)</f>
        <v>XNAS</v>
      </c>
      <c r="V6" s="24">
        <f ca="1">IFERROR(RTData[[#This Row],[Volume]]/RTData[[#This Row],[Volume average]],1)</f>
        <v>0.65075486501454305</v>
      </c>
      <c r="W6" s="24"/>
      <c r="X6" s="108">
        <f ca="1">_xlfn.XLOOKUP(RTData[[#This Row],[Ticker symbol]],[2]Sheet2!$B$2:$B$95,[2]Sheet2!$E$2:$E$95)</f>
        <v>266.56450000000001</v>
      </c>
      <c r="Y6" s="101" t="str">
        <f>_xlfn.LET(_xlpm.date,[2]Sheet2!F5,IF(_xlpm.date=0,"",_xlpm.date))</f>
        <v/>
      </c>
      <c r="Z6" s="101" t="str">
        <f>_xlfn.LET(_xlpm.date,[2]Sheet2!G5,IF(_xlpm.date=0,"",_xlpm.date))</f>
        <v>Oct 30, 2025</v>
      </c>
      <c r="AA6" s="102">
        <f>[2]Sheet2!$H5</f>
        <v>0</v>
      </c>
      <c r="AB6" s="103">
        <v>1E-4</v>
      </c>
      <c r="AC6" s="104">
        <v>3.0000000000000001E-3</v>
      </c>
      <c r="AD6" s="90" t="s">
        <v>48</v>
      </c>
      <c r="AE6" s="105">
        <f ca="1">_xlfn.LET(_xlpm.New1YT,RTData[[#This Row],[1YT]],        _xlpm.Old1YT,IF(ISNUMBER(RTData[[#This Row],[Old1YT]]),RTData[[#This Row],[Old1YT]],VALUE(LEFT(RTData[[#This Row],[Old1YT]],FIND("/",RTData[[#This Row],[Old1YT]],1)-1))),       IF(OR(RTData[[#This Row],[1YT]]=0,_xlpm.Old1YT=0),0,(_xlpm.New1YT-_xlpm.Old1YT)/_xlpm.Old1YT))</f>
        <v>0.11551933377971209</v>
      </c>
      <c r="AF6" s="105" t="str">
        <f ca="1">TEXT(RTData[[#This Row],[1YT]],"#,#0.00")&amp;" &lt; "&amp;RTData[[#This Row],[Old1YT]]</f>
        <v>266.56 &lt; 238.96/218.19</v>
      </c>
    </row>
    <row r="7" spans="1:32" x14ac:dyDescent="0.3">
      <c r="A7" s="27" t="str" cm="1">
        <f t="array" aca="1" ref="A7" ca="1">_xlfn.SINGLE(RTData[suffix])&amp;_FV(RTData[[#This Row],[Company Name]],"Ticker symbol",TRUE)</f>
        <v>ALDNE</v>
      </c>
      <c r="B7" s="27">
        <v>1</v>
      </c>
      <c r="C7" t="e" vm="5">
        <v>#VALUE!</v>
      </c>
      <c r="D7" s="17" t="str" cm="1">
        <f t="array" aca="1" ref="D7" ca="1">_FV(RTData[[#This Row],[Company Name]],"Currency")</f>
        <v>EUR</v>
      </c>
      <c r="E7" s="18" cm="1">
        <f t="array" aca="1" ref="E7" ca="1">_FV(RTData[[#This Row],[Company Name]],"Last trade time",TRUE)</f>
        <v>45953.666666666664</v>
      </c>
      <c r="F7" s="28" cm="1">
        <f t="array" aca="1" ref="F7" ca="1">_FV(RTData[[#This Row],[Company Name]],"Previous close",TRUE)</f>
        <v>0.84</v>
      </c>
      <c r="G7" s="19" cm="1">
        <f t="array" aca="1" ref="G7" ca="1">_FV(RTData[[#This Row],[Company Name]],"Open")</f>
        <v>0.84</v>
      </c>
      <c r="H7" s="28" cm="1">
        <f t="array" aca="1" ref="H7" ca="1">_FV(RTData[[#This Row],[Company Name]],"Price")</f>
        <v>0.83799999999999997</v>
      </c>
      <c r="I7" s="28" cm="1">
        <f t="array" aca="1" ref="I7" ca="1">_FV(RTData[[#This Row],[Company Name]],"Low")</f>
        <v>0.81</v>
      </c>
      <c r="J7" s="28" cm="1">
        <f t="array" aca="1" ref="J7" ca="1">_FV(RTData[[#This Row],[Company Name]],"High")</f>
        <v>0.84</v>
      </c>
      <c r="K7" s="20" cm="1">
        <f t="array" aca="1" ref="K7" ca="1">IFERROR(_FV(RTData[[#This Row],[Company Name]],"P/E",TRUE),99)</f>
        <v>0</v>
      </c>
      <c r="L7" s="21" cm="1">
        <f t="array" aca="1" ref="L7" ca="1">_FV(RTData[[#This Row],[Company Name]],"Change")</f>
        <v>-2E-3</v>
      </c>
      <c r="M7" s="22" cm="1">
        <f t="array" aca="1" ref="M7" ca="1">_FV(RTData[[#This Row],[Company Name]],"Change (%)",TRUE)</f>
        <v>-2.3809999999999999E-3</v>
      </c>
      <c r="N7" s="28" cm="1">
        <f t="array" aca="1" ref="N7" ca="1">_FV(RTData[[#This Row],[Company Name]],"52 week low",TRUE)</f>
        <v>0.65</v>
      </c>
      <c r="O7" s="28" cm="1">
        <f t="array" aca="1" ref="O7" ca="1">_FV(RTData[[#This Row],[Company Name]],"52 week high",TRUE)</f>
        <v>1.53</v>
      </c>
      <c r="P7" s="23" cm="1">
        <f t="array" aca="1" ref="P7" ca="1">_FV(RTData[[#This Row],[Company Name]],"Volume")</f>
        <v>2266</v>
      </c>
      <c r="Q7" s="23" cm="1">
        <f t="array" aca="1" ref="Q7" ca="1">_FV(RTData[[#This Row],[Company Name]],"Volume average",TRUE)</f>
        <v>5670</v>
      </c>
      <c r="R7" s="19" cm="1">
        <f t="array" aca="1" ref="R7" ca="1">_FV(RTData[[#This Row],[Company Name]],"Beta")</f>
        <v>1.0339</v>
      </c>
      <c r="T7" t="s">
        <v>20</v>
      </c>
      <c r="U7" t="str" cm="1">
        <f t="array" aca="1" ref="U7" ca="1">_FV(RTData[[#This Row],[Company Name]],"Exchange abbreviation",TRUE)</f>
        <v>XPAR</v>
      </c>
      <c r="V7" s="24">
        <f ca="1">IFERROR(RTData[[#This Row],[Volume]]/RTData[[#This Row],[Volume average]],1)</f>
        <v>0.39964726631393299</v>
      </c>
      <c r="W7" s="24"/>
      <c r="X7" s="108">
        <f ca="1">_xlfn.XLOOKUP(RTData[[#This Row],[Ticker symbol]],[2]Sheet2!$B$2:$B$95,[2]Sheet2!$E$2:$E$95)</f>
        <v>1.5333300000000001</v>
      </c>
      <c r="Y7" s="101" t="str">
        <f>_xlfn.LET(_xlpm.date,[2]Sheet2!F6,IF(_xlpm.date=0,"",_xlpm.date))</f>
        <v/>
      </c>
      <c r="Z7" s="101" t="str">
        <f>_xlfn.LET(_xlpm.date,[2]Sheet2!G6,IF(_xlpm.date=0,"",_xlpm.date))</f>
        <v>--</v>
      </c>
      <c r="AA7" s="102">
        <f>[2]Sheet2!$H6</f>
        <v>0</v>
      </c>
      <c r="AB7" s="103"/>
      <c r="AC7" s="104">
        <v>3.0000000000000001E-3</v>
      </c>
      <c r="AD7" s="90">
        <v>3.87</v>
      </c>
      <c r="AE7" s="105">
        <f ca="1">_xlfn.LET(_xlpm.New1YT,RTData[[#This Row],[1YT]],        _xlpm.Old1YT,IF(ISNUMBER(RTData[[#This Row],[Old1YT]]),RTData[[#This Row],[Old1YT]],VALUE(LEFT(RTData[[#This Row],[Old1YT]],FIND("/",RTData[[#This Row],[Old1YT]],1)-1))),       IF(OR(RTData[[#This Row],[1YT]]=0,_xlpm.Old1YT=0),0,(_xlpm.New1YT-_xlpm.Old1YT)/_xlpm.Old1YT))</f>
        <v>-0.60379069767441851</v>
      </c>
      <c r="AF7" s="105" t="str">
        <f ca="1">TEXT(RTData[[#This Row],[1YT]],"#,#0.00")&amp;" &lt; "&amp;RTData[[#This Row],[Old1YT]]</f>
        <v>1.53 &lt; 3.87</v>
      </c>
    </row>
    <row r="8" spans="1:32" x14ac:dyDescent="0.3">
      <c r="A8" s="15" t="str" cm="1">
        <f t="array" aca="1" ref="A8" ca="1">_xlfn.SINGLE(RTData[suffix])&amp;_FV(RTData[[#This Row],[Company Name]],"Ticker symbol",TRUE)</f>
        <v>ASML</v>
      </c>
      <c r="B8" s="15">
        <v>1</v>
      </c>
      <c r="C8" t="e" vm="6">
        <v>#VALUE!</v>
      </c>
      <c r="D8" s="17" t="str" cm="1">
        <f t="array" aca="1" ref="D8" ca="1">_FV(RTData[[#This Row],[Company Name]],"Currency")</f>
        <v>EUR</v>
      </c>
      <c r="E8" s="18" cm="1">
        <f t="array" aca="1" ref="E8" ca="1">_FV(RTData[[#This Row],[Company Name]],"Last trade time",TRUE)</f>
        <v>45953.666666666664</v>
      </c>
      <c r="F8" s="28" cm="1">
        <f t="array" aca="1" ref="F8" ca="1">_FV(RTData[[#This Row],[Company Name]],"Previous close",TRUE)</f>
        <v>870.1</v>
      </c>
      <c r="G8" s="28" cm="1">
        <f t="array" aca="1" ref="G8" ca="1">_FV(RTData[[#This Row],[Company Name]],"Open")</f>
        <v>872</v>
      </c>
      <c r="H8" s="28" cm="1">
        <f t="array" aca="1" ref="H8" ca="1">_FV(RTData[[#This Row],[Company Name]],"Price")</f>
        <v>887.7</v>
      </c>
      <c r="I8" s="28" cm="1">
        <f t="array" aca="1" ref="I8" ca="1">_FV(RTData[[#This Row],[Company Name]],"Low")</f>
        <v>854.1</v>
      </c>
      <c r="J8" s="28" cm="1">
        <f t="array" aca="1" ref="J8" ca="1">_FV(RTData[[#This Row],[Company Name]],"High")</f>
        <v>891.2</v>
      </c>
      <c r="K8" s="20" cm="1">
        <f t="array" aca="1" ref="K8" ca="1">IFERROR(_FV(RTData[[#This Row],[Company Name]],"P/E",TRUE),99)</f>
        <v>33.408700000000003</v>
      </c>
      <c r="L8" s="21" cm="1">
        <f t="array" aca="1" ref="L8" ca="1">_FV(RTData[[#This Row],[Company Name]],"Change")</f>
        <v>17.600000000000001</v>
      </c>
      <c r="M8" s="22" cm="1">
        <f t="array" aca="1" ref="M8" ca="1">_FV(RTData[[#This Row],[Company Name]],"Change (%)",TRUE)</f>
        <v>2.0228000000000003E-2</v>
      </c>
      <c r="N8" s="28" cm="1">
        <f t="array" aca="1" ref="N8" ca="1">_FV(RTData[[#This Row],[Company Name]],"52 week low",TRUE)</f>
        <v>508.4</v>
      </c>
      <c r="O8" s="28" cm="1">
        <f t="array" aca="1" ref="O8" ca="1">_FV(RTData[[#This Row],[Company Name]],"52 week high",TRUE)</f>
        <v>905.1</v>
      </c>
      <c r="P8" s="23" cm="1">
        <f t="array" aca="1" ref="P8" ca="1">_FV(RTData[[#This Row],[Company Name]],"Volume")</f>
        <v>746164</v>
      </c>
      <c r="Q8" s="23" cm="1">
        <f t="array" aca="1" ref="Q8" ca="1">_FV(RTData[[#This Row],[Company Name]],"Volume average",TRUE)</f>
        <v>794970</v>
      </c>
      <c r="R8" s="19" cm="1">
        <f t="array" aca="1" ref="R8" ca="1">_FV(RTData[[#This Row],[Company Name]],"Beta")</f>
        <v>1.9639</v>
      </c>
      <c r="T8" t="s">
        <v>20</v>
      </c>
      <c r="U8" t="str" cm="1">
        <f t="array" aca="1" ref="U8" ca="1">_FV(RTData[[#This Row],[Company Name]],"Exchange abbreviation",TRUE)</f>
        <v>XAMS</v>
      </c>
      <c r="V8" s="24">
        <f ca="1">IFERROR(RTData[[#This Row],[Volume]]/RTData[[#This Row],[Volume average]],1)</f>
        <v>0.93860648829515581</v>
      </c>
      <c r="W8" s="24"/>
      <c r="X8" s="108">
        <f ca="1">_xlfn.XLOOKUP(RTData[[#This Row],[Ticker symbol]],[2]Sheet2!$B$2:$B$95,[2]Sheet2!$E$2:$E$95)</f>
        <v>873.90326000000005</v>
      </c>
      <c r="Y8" s="101">
        <f>_xlfn.LET(_xlpm.date,[2]Sheet2!F7,IF(_xlpm.date=0,"",_xlpm.date))</f>
        <v>45866</v>
      </c>
      <c r="Z8" s="101" t="str">
        <f>_xlfn.LET(_xlpm.date,[2]Sheet2!G7,IF(_xlpm.date=0,"",_xlpm.date))</f>
        <v/>
      </c>
      <c r="AA8" s="102">
        <f>[2]Sheet2!$H7</f>
        <v>8.0000000000000002E-3</v>
      </c>
      <c r="AB8" s="103"/>
      <c r="AC8" s="104">
        <v>3.0000000000000001E-3</v>
      </c>
      <c r="AD8" s="90">
        <v>847.58</v>
      </c>
      <c r="AE8" s="105">
        <f ca="1">_xlfn.LET(_xlpm.New1YT,RTData[[#This Row],[1YT]],        _xlpm.Old1YT,IF(ISNUMBER(RTData[[#This Row],[Old1YT]]),RTData[[#This Row],[Old1YT]],VALUE(LEFT(RTData[[#This Row],[Old1YT]],FIND("/",RTData[[#This Row],[Old1YT]],1)-1))),       IF(OR(RTData[[#This Row],[1YT]]=0,_xlpm.Old1YT=0),0,(_xlpm.New1YT-_xlpm.Old1YT)/_xlpm.Old1YT))</f>
        <v>3.1056962174661983E-2</v>
      </c>
      <c r="AF8" s="105" t="str">
        <f ca="1">TEXT(RTData[[#This Row],[1YT]],"#,#0.00")&amp;" &lt; "&amp;RTData[[#This Row],[Old1YT]]</f>
        <v>873.90 &lt; 847.58</v>
      </c>
    </row>
    <row r="9" spans="1:32" s="35" customFormat="1" x14ac:dyDescent="0.3">
      <c r="A9" s="40" t="str" cm="1">
        <f t="array" aca="1" ref="A9" ca="1">_xlfn.SINGLE(RTData[suffix])&amp;_FV(RTData[[#This Row],[Company Name]],"Ticker symbol",TRUE)</f>
        <v>AVGO</v>
      </c>
      <c r="B9" s="15">
        <v>1</v>
      </c>
      <c r="C9" t="e" vm="7">
        <v>#VALUE!</v>
      </c>
      <c r="D9" s="17" t="str" cm="1">
        <f t="array" aca="1" ref="D9" ca="1">_FV(RTData[[#This Row],[Company Name]],"Currency")</f>
        <v>USD</v>
      </c>
      <c r="E9" s="18" cm="1">
        <f t="array" aca="1" ref="E9" ca="1">_FV(RTData[[#This Row],[Company Name]],"Last trade time",TRUE)</f>
        <v>45953.935370046092</v>
      </c>
      <c r="F9" s="19" cm="1">
        <f t="array" aca="1" ref="F9" ca="1">_FV(RTData[[#This Row],[Company Name]],"Previous close",TRUE)</f>
        <v>340.3</v>
      </c>
      <c r="G9" s="19" cm="1">
        <f t="array" aca="1" ref="G9" ca="1">_FV(RTData[[#This Row],[Company Name]],"Open")</f>
        <v>340.4</v>
      </c>
      <c r="H9" s="19" cm="1">
        <f t="array" aca="1" ref="H9" ca="1">_FV(RTData[[#This Row],[Company Name]],"Price")</f>
        <v>344.29</v>
      </c>
      <c r="I9" s="19" cm="1">
        <f t="array" aca="1" ref="I9" ca="1">_FV(RTData[[#This Row],[Company Name]],"Low")</f>
        <v>340.4</v>
      </c>
      <c r="J9" s="19" cm="1">
        <f t="array" aca="1" ref="J9" ca="1">_FV(RTData[[#This Row],[Company Name]],"High")</f>
        <v>346.57</v>
      </c>
      <c r="K9" s="20" cm="1">
        <f t="array" aca="1" ref="K9" ca="1">IFERROR(_FV(RTData[[#This Row],[Company Name]],"P/E",TRUE),99)</f>
        <v>88.256900000000002</v>
      </c>
      <c r="L9" s="21" cm="1">
        <f t="array" aca="1" ref="L9" ca="1">_FV(RTData[[#This Row],[Company Name]],"Change")</f>
        <v>3.99</v>
      </c>
      <c r="M9" s="22" cm="1">
        <f t="array" aca="1" ref="M9" ca="1">_FV(RTData[[#This Row],[Company Name]],"Change (%)",TRUE)</f>
        <v>1.1725000000000001E-2</v>
      </c>
      <c r="N9" s="19" cm="1">
        <f t="array" aca="1" ref="N9" ca="1">_FV(RTData[[#This Row],[Company Name]],"52 week low",TRUE)</f>
        <v>138.1</v>
      </c>
      <c r="O9" s="19" cm="1">
        <f t="array" aca="1" ref="O9" ca="1">_FV(RTData[[#This Row],[Company Name]],"52 week high",TRUE)</f>
        <v>374.23</v>
      </c>
      <c r="P9" s="23" cm="1">
        <f t="array" aca="1" ref="P9" ca="1">_FV(RTData[[#This Row],[Company Name]],"Volume")</f>
        <v>12788852</v>
      </c>
      <c r="Q9" s="23" cm="1">
        <f t="array" aca="1" ref="Q9" ca="1">_FV(RTData[[#This Row],[Company Name]],"Volume average",TRUE)</f>
        <v>22376649</v>
      </c>
      <c r="R9" s="19" cm="1">
        <f t="array" aca="1" ref="R9" ca="1">_FV(RTData[[#This Row],[Company Name]],"Beta")</f>
        <v>1.1960999999999999</v>
      </c>
      <c r="S9"/>
      <c r="T9"/>
      <c r="U9" t="str" cm="1">
        <f t="array" aca="1" ref="U9" ca="1">_FV(RTData[[#This Row],[Company Name]],"Exchange abbreviation",TRUE)</f>
        <v>XNAS</v>
      </c>
      <c r="V9" s="107">
        <f ca="1">IFERROR(RTData[[#This Row],[Volume]]/RTData[[#This Row],[Volume average]],1)</f>
        <v>0.57152668391053552</v>
      </c>
      <c r="W9" s="107"/>
      <c r="X9" s="108">
        <f ca="1">_xlfn.XLOOKUP(RTData[[#This Row],[Ticker symbol]],[2]Sheet2!$B$2:$B$95,[2]Sheet2!$E$2:$E$95)</f>
        <v>370.36489999999998</v>
      </c>
      <c r="Y9" s="109">
        <f>_xlfn.LET(_xlpm.date,[2]Sheet2!F8,IF(_xlpm.date=0,"",_xlpm.date))</f>
        <v>45877</v>
      </c>
      <c r="Z9" s="110" t="str">
        <f>_xlfn.LET(_xlpm.date,[2]Sheet2!G8,IF(_xlpm.date=0,"",_xlpm.date))</f>
        <v>Nov 6, 2025</v>
      </c>
      <c r="AA9" s="111">
        <f>[2]Sheet2!$H8</f>
        <v>1.8499999999999999E-2</v>
      </c>
      <c r="AB9" s="103"/>
      <c r="AC9" s="104" t="e" cm="1" vm="8">
        <f t="array" ref="AC9">_FV(RTData[[#This Row],[Company Name]],"Expense ratio",TRUE)</f>
        <v>#VALUE!</v>
      </c>
      <c r="AD9" s="112"/>
      <c r="AE9" s="105" t="e">
        <f ca="1">_xlfn.LET(_xlpm.New1YT,RTData[[#This Row],[1YT]],        _xlpm.Old1YT,IF(ISNUMBER(RTData[[#This Row],[Old1YT]]),RTData[[#This Row],[Old1YT]],VALUE(LEFT(RTData[[#This Row],[Old1YT]],FIND("/",RTData[[#This Row],[Old1YT]],1)-1))),       IF(OR(RTData[[#This Row],[1YT]]=0,_xlpm.Old1YT=0),0,(_xlpm.New1YT-_xlpm.Old1YT)/_xlpm.Old1YT))</f>
        <v>#VALUE!</v>
      </c>
      <c r="AF9" s="105" t="str">
        <f ca="1">TEXT(RTData[[#This Row],[1YT]],"#,#0.00")&amp;" &lt; "&amp;RTData[[#This Row],[Old1YT]]</f>
        <v xml:space="preserve">370.36 &lt; </v>
      </c>
    </row>
    <row r="10" spans="1:32" x14ac:dyDescent="0.3">
      <c r="A10" s="40" t="str" cm="1">
        <f t="array" aca="1" ref="A10" ca="1">_xlfn.SINGLE(RTData[suffix])&amp;_FV(RTData[[#This Row],[Company Name]],"Ticker symbol",TRUE)</f>
        <v>AZN</v>
      </c>
      <c r="B10" s="40">
        <v>1</v>
      </c>
      <c r="C10" t="e" vm="9">
        <v>#VALUE!</v>
      </c>
      <c r="D10" s="17" t="str" cm="1">
        <f t="array" aca="1" ref="D10" ca="1">_FV(RTData[[#This Row],[Company Name]],"Currency")</f>
        <v>USD</v>
      </c>
      <c r="E10" s="18" cm="1">
        <f t="array" aca="1" ref="E10" ca="1">_FV(RTData[[#This Row],[Company Name]],"Last trade time",TRUE)</f>
        <v>45953.925513876566</v>
      </c>
      <c r="F10" s="19" cm="1">
        <f t="array" aca="1" ref="F10" ca="1">_FV(RTData[[#This Row],[Company Name]],"Previous close",TRUE)</f>
        <v>83.43</v>
      </c>
      <c r="G10" s="19" cm="1">
        <f t="array" aca="1" ref="G10" ca="1">_FV(RTData[[#This Row],[Company Name]],"Open")</f>
        <v>83.17</v>
      </c>
      <c r="H10" s="19" cm="1">
        <f t="array" aca="1" ref="H10" ca="1">_FV(RTData[[#This Row],[Company Name]],"Price")</f>
        <v>83.4</v>
      </c>
      <c r="I10" s="19" cm="1">
        <f t="array" aca="1" ref="I10" ca="1">_FV(RTData[[#This Row],[Company Name]],"Low")</f>
        <v>83.12</v>
      </c>
      <c r="J10" s="19" cm="1">
        <f t="array" aca="1" ref="J10" ca="1">_FV(RTData[[#This Row],[Company Name]],"High")</f>
        <v>83.81</v>
      </c>
      <c r="K10" s="20" cm="1">
        <f t="array" aca="1" ref="K10" ca="1">IFERROR(_FV(RTData[[#This Row],[Company Name]],"P/E",TRUE),99)</f>
        <v>31.3994</v>
      </c>
      <c r="L10" s="21" cm="1">
        <f t="array" aca="1" ref="L10" ca="1">_FV(RTData[[#This Row],[Company Name]],"Change")</f>
        <v>-0.03</v>
      </c>
      <c r="M10" s="22" cm="1">
        <f t="array" aca="1" ref="M10" ca="1">_FV(RTData[[#This Row],[Company Name]],"Change (%)",TRUE)</f>
        <v>-3.5960000000000001E-4</v>
      </c>
      <c r="N10" s="19" cm="1">
        <f t="array" aca="1" ref="N10" ca="1">_FV(RTData[[#This Row],[Company Name]],"52 week low",TRUE)</f>
        <v>61.24</v>
      </c>
      <c r="O10" s="19" cm="1">
        <f t="array" aca="1" ref="O10" ca="1">_FV(RTData[[#This Row],[Company Name]],"52 week high",TRUE)</f>
        <v>86.57</v>
      </c>
      <c r="P10" s="23" cm="1">
        <f t="array" aca="1" ref="P10" ca="1">_FV(RTData[[#This Row],[Company Name]],"Volume")</f>
        <v>2149842</v>
      </c>
      <c r="Q10" s="23" cm="1">
        <f t="array" aca="1" ref="Q10" ca="1">_FV(RTData[[#This Row],[Company Name]],"Volume average",TRUE)</f>
        <v>5932836</v>
      </c>
      <c r="R10" s="19" cm="1">
        <f t="array" aca="1" ref="R10" ca="1">_FV(RTData[[#This Row],[Company Name]],"Beta")</f>
        <v>0.33910000000000001</v>
      </c>
      <c r="U10" t="str" cm="1">
        <f t="array" aca="1" ref="U10" ca="1">_FV(RTData[[#This Row],[Company Name]],"Exchange abbreviation",TRUE)</f>
        <v>XNAS</v>
      </c>
      <c r="V10" s="107">
        <f ca="1">IFERROR(RTData[[#This Row],[Volume]]/RTData[[#This Row],[Volume average]],1)</f>
        <v>0.36236329472110806</v>
      </c>
      <c r="W10" s="107"/>
      <c r="X10" s="108">
        <f ca="1">_xlfn.XLOOKUP(RTData[[#This Row],[Ticker symbol]],[2]Sheet2!$B$2:$B$95,[2]Sheet2!$E$2:$E$95)</f>
        <v>89.77</v>
      </c>
      <c r="Y10" s="109">
        <f>_xlfn.LET(_xlpm.date,[2]Sheet2!F8,IF(_xlpm.date=0,"",_xlpm.date))</f>
        <v>45877</v>
      </c>
      <c r="Z10" s="110" t="str">
        <f>_xlfn.LET(_xlpm.date,[2]Sheet2!G8,IF(_xlpm.date=0,"",_xlpm.date))</f>
        <v>Nov 6, 2025</v>
      </c>
      <c r="AA10" s="111">
        <f>[2]Sheet2!$H8</f>
        <v>1.8499999999999999E-2</v>
      </c>
      <c r="AB10" s="103"/>
      <c r="AC10" s="104" t="e" cm="1" vm="8">
        <f t="array" ref="AC10">_FV(RTData[[#This Row],[Company Name]],"Expense ratio",TRUE)</f>
        <v>#VALUE!</v>
      </c>
      <c r="AD10" s="112"/>
      <c r="AE10" s="105" t="e">
        <f ca="1">_xlfn.LET(_xlpm.New1YT,RTData[[#This Row],[1YT]],        _xlpm.Old1YT,IF(ISNUMBER(RTData[[#This Row],[Old1YT]]),RTData[[#This Row],[Old1YT]],VALUE(LEFT(RTData[[#This Row],[Old1YT]],FIND("/",RTData[[#This Row],[Old1YT]],1)-1))),       IF(OR(RTData[[#This Row],[1YT]]=0,_xlpm.Old1YT=0),0,(_xlpm.New1YT-_xlpm.Old1YT)/_xlpm.Old1YT))</f>
        <v>#VALUE!</v>
      </c>
      <c r="AF10" s="105" t="str">
        <f ca="1">TEXT(RTData[[#This Row],[1YT]],"#,#0.00")&amp;" &lt; "&amp;RTData[[#This Row],[Old1YT]]</f>
        <v xml:space="preserve">89.77 &lt; </v>
      </c>
    </row>
    <row r="11" spans="1:32" x14ac:dyDescent="0.3">
      <c r="A11" s="15" t="str" cm="1">
        <f t="array" aca="1" ref="A11" ca="1">_xlfn.SINGLE(RTData[suffix])&amp;_FV(RTData[[#This Row],[Company Name]],"Ticker symbol",TRUE)</f>
        <v>BLDP</v>
      </c>
      <c r="B11" s="15">
        <f ca="1">D99</f>
        <v>0.86065926499698775</v>
      </c>
      <c r="C11" t="e" vm="10">
        <v>#VALUE!</v>
      </c>
      <c r="D11" s="29" t="str" cm="1">
        <f t="array" aca="1" ref="D11" ca="1">_FV(RTData[[#This Row],[Company Name]],"Currency")</f>
        <v>USD</v>
      </c>
      <c r="E11" s="30" cm="1">
        <f t="array" aca="1" ref="E11" ca="1">_FV(RTData[[#This Row],[Company Name]],"Last trade time",TRUE)</f>
        <v>45953.934781885939</v>
      </c>
      <c r="F11" s="19" cm="1">
        <f t="array" aca="1" ref="F11" ca="1">_FV(RTData[[#This Row],[Company Name]],"Previous close",TRUE)</f>
        <v>3.28</v>
      </c>
      <c r="G11" s="19" cm="1">
        <f t="array" aca="1" ref="G11" ca="1">_FV(RTData[[#This Row],[Company Name]],"Open")</f>
        <v>3.2650000000000001</v>
      </c>
      <c r="H11" s="19" cm="1">
        <f t="array" aca="1" ref="H11" ca="1">_FV(RTData[[#This Row],[Company Name]],"Price")</f>
        <v>3.28</v>
      </c>
      <c r="I11" s="31" cm="1">
        <f t="array" aca="1" ref="I11" ca="1">_FV(RTData[[#This Row],[Company Name]],"Low")</f>
        <v>3.21</v>
      </c>
      <c r="J11" s="31" cm="1">
        <f t="array" aca="1" ref="J11" ca="1">_FV(RTData[[#This Row],[Company Name]],"High")</f>
        <v>3.3</v>
      </c>
      <c r="K11" s="20" cm="1">
        <f t="array" aca="1" ref="K11" ca="1">IFERROR(_FV(RTData[[#This Row],[Company Name]],"P/E",TRUE),99)</f>
        <v>0</v>
      </c>
      <c r="L11" s="32" cm="1">
        <f t="array" aca="1" ref="L11" ca="1">_FV(RTData[[#This Row],[Company Name]],"Change")</f>
        <v>0</v>
      </c>
      <c r="M11" s="33" cm="1">
        <f t="array" aca="1" ref="M11" ca="1">_FV(RTData[[#This Row],[Company Name]],"Change (%)",TRUE)</f>
        <v>0</v>
      </c>
      <c r="N11" s="31" cm="1">
        <f t="array" aca="1" ref="N11" ca="1">_FV(RTData[[#This Row],[Company Name]],"52 week low",TRUE)</f>
        <v>1</v>
      </c>
      <c r="O11" s="31" cm="1">
        <f t="array" aca="1" ref="O11" ca="1">_FV(RTData[[#This Row],[Company Name]],"52 week high",TRUE)</f>
        <v>4.0999999999999996</v>
      </c>
      <c r="P11" s="34" cm="1">
        <f t="array" aca="1" ref="P11" ca="1">_FV(RTData[[#This Row],[Company Name]],"Volume")</f>
        <v>5627306</v>
      </c>
      <c r="Q11" s="34" cm="1">
        <f t="array" aca="1" ref="Q11" ca="1">_FV(RTData[[#This Row],[Company Name]],"Volume average",TRUE)</f>
        <v>9973914</v>
      </c>
      <c r="R11" s="31" cm="1">
        <f t="array" aca="1" ref="R11" ca="1">_FV(RTData[[#This Row],[Company Name]],"Beta")</f>
        <v>1.9228000000000001</v>
      </c>
      <c r="S11" s="35"/>
      <c r="T11" t="s">
        <v>20</v>
      </c>
      <c r="U11" s="35" t="str" cm="1">
        <f t="array" aca="1" ref="U11" ca="1">_FV(RTData[[#This Row],[Company Name]],"Exchange abbreviation",TRUE)</f>
        <v>XNAS</v>
      </c>
      <c r="V11" s="93">
        <f ca="1">IFERROR(RTData[[#This Row],[Volume]]/RTData[[#This Row],[Volume average]],1)</f>
        <v>0.56420237832409625</v>
      </c>
      <c r="W11" s="93"/>
      <c r="X11" s="108">
        <f ca="1">_xlfn.XLOOKUP(RTData[[#This Row],[Ticker symbol]],[2]Sheet2!$B$2:$B$95,[2]Sheet2!$E$2:$E$95)</f>
        <v>2.4325000000000001</v>
      </c>
      <c r="Y11" s="101">
        <f>_xlfn.LET(_xlpm.date,[2]Sheet2!F8,IF(_xlpm.date=0,"",_xlpm.date))</f>
        <v>45877</v>
      </c>
      <c r="Z11" s="101" t="str">
        <f>_xlfn.LET(_xlpm.date,[2]Sheet2!G8,IF(_xlpm.date=0,"",_xlpm.date))</f>
        <v>Nov 6, 2025</v>
      </c>
      <c r="AA11" s="102">
        <f>[2]Sheet2!$H8</f>
        <v>1.8499999999999999E-2</v>
      </c>
      <c r="AB11" s="103">
        <v>1E-4</v>
      </c>
      <c r="AC11" s="104">
        <v>3.0000000000000001E-3</v>
      </c>
      <c r="AD11" s="90">
        <v>90.46</v>
      </c>
      <c r="AE11" s="105">
        <f ca="1">_xlfn.LET(_xlpm.New1YT,RTData[[#This Row],[1YT]],        _xlpm.Old1YT,IF(ISNUMBER(RTData[[#This Row],[Old1YT]]),RTData[[#This Row],[Old1YT]],VALUE(LEFT(RTData[[#This Row],[Old1YT]],FIND("/",RTData[[#This Row],[Old1YT]],1)-1))),       IF(OR(RTData[[#This Row],[1YT]]=0,_xlpm.Old1YT=0),0,(_xlpm.New1YT-_xlpm.Old1YT)/_xlpm.Old1YT))</f>
        <v>-0.97310966172894087</v>
      </c>
      <c r="AF11" s="105" t="str">
        <f ca="1">TEXT(RTData[[#This Row],[1YT]],"#,#0.00")&amp;" &lt; "&amp;RTData[[#This Row],[Old1YT]]</f>
        <v>2.43 &lt; 90.46</v>
      </c>
    </row>
    <row r="12" spans="1:32" x14ac:dyDescent="0.3">
      <c r="A12" s="15" t="str" cm="1">
        <f t="array" aca="1" ref="A12" ca="1">_xlfn.SINGLE(RTData[suffix])&amp;_FV(RTData[[#This Row],[Company Name]],"Ticker symbol",TRUE)</f>
        <v>BMRA</v>
      </c>
      <c r="B12" s="15">
        <f ca="1">D99</f>
        <v>0.86065926499698775</v>
      </c>
      <c r="C12" t="e" vm="11">
        <v>#VALUE!</v>
      </c>
      <c r="D12" s="17" t="str" cm="1">
        <f t="array" aca="1" ref="D12" ca="1">_FV(RTData[[#This Row],[Company Name]],"Currency")</f>
        <v>USD</v>
      </c>
      <c r="E12" s="18" cm="1">
        <f t="array" aca="1" ref="E12" ca="1">_FV(RTData[[#This Row],[Company Name]],"Last trade time",TRUE)</f>
        <v>45953.925526503903</v>
      </c>
      <c r="F12" s="19" cm="1">
        <f t="array" aca="1" ref="F12" ca="1">_FV(RTData[[#This Row],[Company Name]],"Previous close",TRUE)</f>
        <v>2.93</v>
      </c>
      <c r="G12" s="19" cm="1">
        <f t="array" aca="1" ref="G12" ca="1">_FV(RTData[[#This Row],[Company Name]],"Open")</f>
        <v>2.93</v>
      </c>
      <c r="H12" s="19" cm="1">
        <f t="array" aca="1" ref="H12" ca="1">_FV(RTData[[#This Row],[Company Name]],"Price")</f>
        <v>2.93</v>
      </c>
      <c r="I12" s="19" cm="1">
        <f t="array" aca="1" ref="I12" ca="1">_FV(RTData[[#This Row],[Company Name]],"Low")</f>
        <v>2.82</v>
      </c>
      <c r="J12" s="19" cm="1">
        <f t="array" aca="1" ref="J12" ca="1">_FV(RTData[[#This Row],[Company Name]],"High")</f>
        <v>2.9769000000000001</v>
      </c>
      <c r="K12" s="20" cm="1">
        <f t="array" aca="1" ref="K12" ca="1">IFERROR(_FV(RTData[[#This Row],[Company Name]],"P/E",TRUE),99)</f>
        <v>0</v>
      </c>
      <c r="L12" s="21" cm="1">
        <f t="array" aca="1" ref="L12" ca="1">_FV(RTData[[#This Row],[Company Name]],"Change")</f>
        <v>0</v>
      </c>
      <c r="M12" s="22" cm="1">
        <f t="array" aca="1" ref="M12" ca="1">_FV(RTData[[#This Row],[Company Name]],"Change (%)",TRUE)</f>
        <v>0</v>
      </c>
      <c r="N12" s="19" cm="1">
        <f t="array" aca="1" ref="N12" ca="1">_FV(RTData[[#This Row],[Company Name]],"52 week low",TRUE)</f>
        <v>2.08</v>
      </c>
      <c r="O12" s="19" cm="1">
        <f t="array" aca="1" ref="O12" ca="1">_FV(RTData[[#This Row],[Company Name]],"52 week high",TRUE)</f>
        <v>10.16</v>
      </c>
      <c r="P12" s="23" cm="1">
        <f t="array" aca="1" ref="P12" ca="1">_FV(RTData[[#This Row],[Company Name]],"Volume")</f>
        <v>19587</v>
      </c>
      <c r="Q12" s="23" cm="1">
        <f t="array" aca="1" ref="Q12" ca="1">_FV(RTData[[#This Row],[Company Name]],"Volume average",TRUE)</f>
        <v>205884</v>
      </c>
      <c r="R12" s="19" cm="1">
        <f t="array" aca="1" ref="R12" ca="1">_FV(RTData[[#This Row],[Company Name]],"Beta")</f>
        <v>0.26950000000000002</v>
      </c>
      <c r="T12" t="s">
        <v>20</v>
      </c>
      <c r="U12" t="str" cm="1">
        <f t="array" aca="1" ref="U12" ca="1">_FV(RTData[[#This Row],[Company Name]],"Exchange abbreviation",TRUE)</f>
        <v>XNAS</v>
      </c>
      <c r="V12" s="24">
        <f ca="1">IFERROR(RTData[[#This Row],[Volume]]/RTData[[#This Row],[Volume average]],1)</f>
        <v>9.5136096054088709E-2</v>
      </c>
      <c r="W12" s="24"/>
      <c r="X12" s="108">
        <f ca="1">_xlfn.XLOOKUP(RTData[[#This Row],[Ticker symbol]],[2]Sheet2!$B$2:$B$95,[2]Sheet2!$E$2:$E$95)</f>
        <v>0</v>
      </c>
      <c r="Y12" s="101" t="str">
        <f>_xlfn.LET(_xlpm.date,[2]Sheet2!F9,IF(_xlpm.date=0,"",_xlpm.date))</f>
        <v/>
      </c>
      <c r="Z12" s="101" t="str">
        <f>_xlfn.LET(_xlpm.date,[2]Sheet2!G9,IF(_xlpm.date=0,"",_xlpm.date))</f>
        <v>Nov 4, 2025</v>
      </c>
      <c r="AA12" s="102">
        <f>[2]Sheet2!$H9</f>
        <v>0</v>
      </c>
      <c r="AB12" s="103">
        <v>1E-4</v>
      </c>
      <c r="AC12" s="104">
        <v>3.0000000000000001E-3</v>
      </c>
      <c r="AD12" s="90">
        <v>2.73</v>
      </c>
      <c r="AE12" s="105">
        <f ca="1">_xlfn.LET(_xlpm.New1YT,RTData[[#This Row],[1YT]],        _xlpm.Old1YT,IF(ISNUMBER(RTData[[#This Row],[Old1YT]]),RTData[[#This Row],[Old1YT]],VALUE(LEFT(RTData[[#This Row],[Old1YT]],FIND("/",RTData[[#This Row],[Old1YT]],1)-1))),       IF(OR(RTData[[#This Row],[1YT]]=0,_xlpm.Old1YT=0),0,(_xlpm.New1YT-_xlpm.Old1YT)/_xlpm.Old1YT))</f>
        <v>0</v>
      </c>
      <c r="AF12" s="105" t="str">
        <f ca="1">TEXT(RTData[[#This Row],[1YT]],"#,#0.00")&amp;" &lt; "&amp;RTData[[#This Row],[Old1YT]]</f>
        <v>0.00 &lt; 2.73</v>
      </c>
    </row>
    <row r="13" spans="1:32" x14ac:dyDescent="0.3">
      <c r="A13" s="15" t="str" cm="1">
        <f t="array" aca="1" ref="A13" ca="1">_xlfn.SINGLE(RTData[suffix])&amp;_FV(RTData[[#This Row],[Company Name]],"Ticker symbol",TRUE)</f>
        <v>C</v>
      </c>
      <c r="B13" s="15">
        <f ca="1">D99</f>
        <v>0.86065926499698775</v>
      </c>
      <c r="C13" t="e" vm="12">
        <v>#VALUE!</v>
      </c>
      <c r="D13" s="17" t="str" cm="1">
        <f t="array" aca="1" ref="D13" ca="1">_FV(RTData[[#This Row],[Company Name]],"Currency")</f>
        <v>USD</v>
      </c>
      <c r="E13" s="18" cm="1">
        <f t="array" aca="1" ref="E13" ca="1">_FV(RTData[[#This Row],[Company Name]],"Last trade time",TRUE)</f>
        <v>45953.93435594844</v>
      </c>
      <c r="F13" s="19" cm="1">
        <f t="array" aca="1" ref="F13" ca="1">_FV(RTData[[#This Row],[Company Name]],"Previous close",TRUE)</f>
        <v>96.3</v>
      </c>
      <c r="G13" s="19" cm="1">
        <f t="array" aca="1" ref="G13" ca="1">_FV(RTData[[#This Row],[Company Name]],"Open")</f>
        <v>96.814999999999998</v>
      </c>
      <c r="H13" s="19" cm="1">
        <f t="array" aca="1" ref="H13" ca="1">_FV(RTData[[#This Row],[Company Name]],"Price")</f>
        <v>96.66</v>
      </c>
      <c r="I13" s="19" cm="1">
        <f t="array" aca="1" ref="I13" ca="1">_FV(RTData[[#This Row],[Company Name]],"Low")</f>
        <v>96.3</v>
      </c>
      <c r="J13" s="19" cm="1">
        <f t="array" aca="1" ref="J13" ca="1">_FV(RTData[[#This Row],[Company Name]],"High")</f>
        <v>97.529899999999998</v>
      </c>
      <c r="K13" s="20" cm="1">
        <f t="array" aca="1" ref="K13" ca="1">IFERROR(_FV(RTData[[#This Row],[Company Name]],"P/E",TRUE),99)</f>
        <v>13.588100000000001</v>
      </c>
      <c r="L13" s="21" cm="1">
        <f t="array" aca="1" ref="L13" ca="1">_FV(RTData[[#This Row],[Company Name]],"Change")</f>
        <v>0.36</v>
      </c>
      <c r="M13" s="22" cm="1">
        <f t="array" aca="1" ref="M13" ca="1">_FV(RTData[[#This Row],[Company Name]],"Change (%)",TRUE)</f>
        <v>3.738E-3</v>
      </c>
      <c r="N13" s="19" cm="1">
        <f t="array" aca="1" ref="N13" ca="1">_FV(RTData[[#This Row],[Company Name]],"52 week low",TRUE)</f>
        <v>55.51</v>
      </c>
      <c r="O13" s="19" cm="1">
        <f t="array" aca="1" ref="O13" ca="1">_FV(RTData[[#This Row],[Company Name]],"52 week high",TRUE)</f>
        <v>105.59</v>
      </c>
      <c r="P13" s="23" cm="1">
        <f t="array" aca="1" ref="P13" ca="1">_FV(RTData[[#This Row],[Company Name]],"Volume")</f>
        <v>8187088</v>
      </c>
      <c r="Q13" s="23" cm="1">
        <f t="array" aca="1" ref="Q13" ca="1">_FV(RTData[[#This Row],[Company Name]],"Volume average",TRUE)</f>
        <v>14528385</v>
      </c>
      <c r="R13" s="19" cm="1">
        <f t="array" aca="1" ref="R13" ca="1">_FV(RTData[[#This Row],[Company Name]],"Beta")</f>
        <v>1.3587</v>
      </c>
      <c r="T13" t="s">
        <v>20</v>
      </c>
      <c r="U13" t="str" cm="1">
        <f t="array" aca="1" ref="U13" ca="1">_FV(RTData[[#This Row],[Company Name]],"Exchange abbreviation",TRUE)</f>
        <v>XNYS</v>
      </c>
      <c r="V13" s="24">
        <f ca="1">IFERROR(RTData[[#This Row],[Volume]]/RTData[[#This Row],[Volume average]],1)</f>
        <v>0.56352361256946315</v>
      </c>
      <c r="W13" s="24"/>
      <c r="X13" s="108">
        <f ca="1">_xlfn.XLOOKUP(RTData[[#This Row],[Ticker symbol]],[2]Sheet2!$B$2:$B$95,[2]Sheet2!$E$2:$E$95)</f>
        <v>110.64286</v>
      </c>
      <c r="Y13" s="101" t="str">
        <f>_xlfn.LET(_xlpm.date,[2]Sheet2!F10,IF(_xlpm.date=0,"",_xlpm.date))</f>
        <v/>
      </c>
      <c r="Z13" s="101" t="str">
        <f>_xlfn.LET(_xlpm.date,[2]Sheet2!G10,IF(_xlpm.date=0,"",_xlpm.date))</f>
        <v/>
      </c>
      <c r="AA13" s="102">
        <f>[2]Sheet2!$H10</f>
        <v>0</v>
      </c>
      <c r="AB13" s="103">
        <v>1E-4</v>
      </c>
      <c r="AC13" s="104">
        <v>3.0000000000000001E-3</v>
      </c>
      <c r="AD13" s="90">
        <v>13.26</v>
      </c>
      <c r="AE13" s="105">
        <f ca="1">_xlfn.LET(_xlpm.New1YT,RTData[[#This Row],[1YT]],        _xlpm.Old1YT,IF(ISNUMBER(RTData[[#This Row],[Old1YT]]),RTData[[#This Row],[Old1YT]],VALUE(LEFT(RTData[[#This Row],[Old1YT]],FIND("/",RTData[[#This Row],[Old1YT]],1)-1))),       IF(OR(RTData[[#This Row],[1YT]]=0,_xlpm.Old1YT=0),0,(_xlpm.New1YT-_xlpm.Old1YT)/_xlpm.Old1YT))</f>
        <v>7.3441070889894418</v>
      </c>
      <c r="AF13" s="105" t="str">
        <f ca="1">TEXT(RTData[[#This Row],[1YT]],"#,#0.00")&amp;" &lt; "&amp;RTData[[#This Row],[Old1YT]]</f>
        <v>110.64 &lt; 13.26</v>
      </c>
    </row>
    <row r="14" spans="1:32" x14ac:dyDescent="0.3">
      <c r="A14" s="15" t="str" cm="1">
        <f t="array" aca="1" ref="A14" ca="1">_xlfn.SINGLE(RTData[suffix])&amp;_FV(RTData[[#This Row],[Company Name]],"Ticker symbol",TRUE)</f>
        <v>CSCO</v>
      </c>
      <c r="B14" s="15">
        <f ca="1">D99</f>
        <v>0.86065926499698775</v>
      </c>
      <c r="C14" t="e" vm="13">
        <v>#VALUE!</v>
      </c>
      <c r="D14" s="17" t="str" cm="1">
        <f t="array" aca="1" ref="D14" ca="1">_FV(RTData[[#This Row],[Company Name]],"Currency")</f>
        <v>USD</v>
      </c>
      <c r="E14" s="18" cm="1">
        <f t="array" aca="1" ref="E14" ca="1">_FV(RTData[[#This Row],[Company Name]],"Last trade time",TRUE)</f>
        <v>45953.934520532028</v>
      </c>
      <c r="F14" s="19" cm="1">
        <f t="array" aca="1" ref="F14" ca="1">_FV(RTData[[#This Row],[Company Name]],"Previous close",TRUE)</f>
        <v>70.66</v>
      </c>
      <c r="G14" s="19" cm="1">
        <f t="array" aca="1" ref="G14" ca="1">_FV(RTData[[#This Row],[Company Name]],"Open")</f>
        <v>70.599999999999994</v>
      </c>
      <c r="H14" s="19" cm="1">
        <f t="array" aca="1" ref="H14" ca="1">_FV(RTData[[#This Row],[Company Name]],"Price")</f>
        <v>70.27</v>
      </c>
      <c r="I14" s="19" cm="1">
        <f t="array" aca="1" ref="I14" ca="1">_FV(RTData[[#This Row],[Company Name]],"Low")</f>
        <v>70.23</v>
      </c>
      <c r="J14" s="19" cm="1">
        <f t="array" aca="1" ref="J14" ca="1">_FV(RTData[[#This Row],[Company Name]],"High")</f>
        <v>71.234999999999999</v>
      </c>
      <c r="K14" s="20" cm="1">
        <f t="array" aca="1" ref="K14" ca="1">IFERROR(_FV(RTData[[#This Row],[Company Name]],"P/E",TRUE),99)</f>
        <v>29.706199999999999</v>
      </c>
      <c r="L14" s="21" cm="1">
        <f t="array" aca="1" ref="L14" ca="1">_FV(RTData[[#This Row],[Company Name]],"Change")</f>
        <v>-0.39</v>
      </c>
      <c r="M14" s="22" cm="1">
        <f t="array" aca="1" ref="M14" ca="1">_FV(RTData[[#This Row],[Company Name]],"Change (%)",TRUE)</f>
        <v>-5.5189999999999996E-3</v>
      </c>
      <c r="N14" s="19" cm="1">
        <f t="array" aca="1" ref="N14" ca="1">_FV(RTData[[#This Row],[Company Name]],"52 week low",TRUE)</f>
        <v>52.11</v>
      </c>
      <c r="O14" s="19" cm="1">
        <f t="array" aca="1" ref="O14" ca="1">_FV(RTData[[#This Row],[Company Name]],"52 week high",TRUE)</f>
        <v>72.55</v>
      </c>
      <c r="P14" s="23" cm="1">
        <f t="array" aca="1" ref="P14" ca="1">_FV(RTData[[#This Row],[Company Name]],"Volume")</f>
        <v>14605493</v>
      </c>
      <c r="Q14" s="23" cm="1">
        <f t="array" aca="1" ref="Q14" ca="1">_FV(RTData[[#This Row],[Company Name]],"Volume average",TRUE)</f>
        <v>19064603</v>
      </c>
      <c r="R14" s="19" cm="1">
        <f t="array" aca="1" ref="R14" ca="1">_FV(RTData[[#This Row],[Company Name]],"Beta")</f>
        <v>0.94440000000000002</v>
      </c>
      <c r="T14" t="s">
        <v>20</v>
      </c>
      <c r="U14" t="str" cm="1">
        <f t="array" aca="1" ref="U14" ca="1">_FV(RTData[[#This Row],[Company Name]],"Exchange abbreviation",TRUE)</f>
        <v>XNAS</v>
      </c>
      <c r="V14" s="24">
        <f ca="1">IFERROR(RTData[[#This Row],[Volume]]/RTData[[#This Row],[Volume average]],1)</f>
        <v>0.76610527898220593</v>
      </c>
      <c r="W14" s="24"/>
      <c r="X14" s="108">
        <f ca="1">_xlfn.XLOOKUP(RTData[[#This Row],[Ticker symbol]],[2]Sheet2!$B$2:$B$95,[2]Sheet2!$E$2:$E$95)</f>
        <v>76.290949999999995</v>
      </c>
      <c r="Y14" s="101">
        <f>_xlfn.LET(_xlpm.date,[2]Sheet2!F11,IF(_xlpm.date=0,"",_xlpm.date))</f>
        <v>45873</v>
      </c>
      <c r="Z14" s="101" t="str">
        <f>_xlfn.LET(_xlpm.date,[2]Sheet2!G11,IF(_xlpm.date=0,"",_xlpm.date))</f>
        <v>Oct 14, 2025</v>
      </c>
      <c r="AA14" s="102">
        <f>[2]Sheet2!$H11</f>
        <v>2.5600000000000001E-2</v>
      </c>
      <c r="AB14" s="103">
        <v>1E-4</v>
      </c>
      <c r="AC14" s="104">
        <v>3.0000000000000001E-3</v>
      </c>
      <c r="AD14" s="90" t="s">
        <v>51</v>
      </c>
      <c r="AE14" s="105">
        <f ca="1">_xlfn.LET(_xlpm.New1YT,RTData[[#This Row],[1YT]],        _xlpm.Old1YT,IF(ISNUMBER(RTData[[#This Row],[Old1YT]]),RTData[[#This Row],[Old1YT]],VALUE(LEFT(RTData[[#This Row],[Old1YT]],FIND("/",RTData[[#This Row],[Old1YT]],1)-1))),       IF(OR(RTData[[#This Row],[1YT]]=0,_xlpm.Old1YT=0),0,(_xlpm.New1YT-_xlpm.Old1YT)/_xlpm.Old1YT))</f>
        <v>-0.1269060425726711</v>
      </c>
      <c r="AF14" s="105" t="str">
        <f ca="1">TEXT(RTData[[#This Row],[1YT]],"#,#0.00")&amp;" &lt; "&amp;RTData[[#This Row],[Old1YT]]</f>
        <v>76.29 &lt; 87.38/72.32</v>
      </c>
    </row>
    <row r="15" spans="1:32" x14ac:dyDescent="0.3">
      <c r="A15" s="15" t="str" cm="1">
        <f t="array" aca="1" ref="A15" ca="1">_xlfn.SINGLE(RTData[suffix])&amp;_FV(RTData[[#This Row],[Company Name]],"Ticker symbol",TRUE)</f>
        <v>CVS</v>
      </c>
      <c r="B15" s="15">
        <f ca="1">D99</f>
        <v>0.86065926499698775</v>
      </c>
      <c r="C15" t="e" vm="14">
        <v>#VALUE!</v>
      </c>
      <c r="D15" s="17" t="str" cm="1">
        <f t="array" aca="1" ref="D15" ca="1">_FV(RTData[[#This Row],[Company Name]],"Currency")</f>
        <v>USD</v>
      </c>
      <c r="E15" s="18" cm="1">
        <f t="array" aca="1" ref="E15" ca="1">_FV(RTData[[#This Row],[Company Name]],"Last trade time",TRUE)</f>
        <v>45953.928770960156</v>
      </c>
      <c r="F15" s="19" cm="1">
        <f t="array" aca="1" ref="F15" ca="1">_FV(RTData[[#This Row],[Company Name]],"Previous close",TRUE)</f>
        <v>81.344999999999999</v>
      </c>
      <c r="G15" s="19" cm="1">
        <f t="array" aca="1" ref="G15" ca="1">_FV(RTData[[#This Row],[Company Name]],"Open")</f>
        <v>81.239999999999995</v>
      </c>
      <c r="H15" s="19" cm="1">
        <f t="array" aca="1" ref="H15" ca="1">_FV(RTData[[#This Row],[Company Name]],"Price")</f>
        <v>81.06</v>
      </c>
      <c r="I15" s="19" cm="1">
        <f t="array" aca="1" ref="I15" ca="1">_FV(RTData[[#This Row],[Company Name]],"Low")</f>
        <v>80.510000000000005</v>
      </c>
      <c r="J15" s="19" cm="1">
        <f t="array" aca="1" ref="J15" ca="1">_FV(RTData[[#This Row],[Company Name]],"High")</f>
        <v>81.625</v>
      </c>
      <c r="K15" s="20" cm="1">
        <f t="array" aca="1" ref="K15" ca="1">IFERROR(_FV(RTData[[#This Row],[Company Name]],"P/E",TRUE),99)</f>
        <v>22.702000000000002</v>
      </c>
      <c r="L15" s="21" cm="1">
        <f t="array" aca="1" ref="L15" ca="1">_FV(RTData[[#This Row],[Company Name]],"Change")</f>
        <v>-0.28499999999999998</v>
      </c>
      <c r="M15" s="22" cm="1">
        <f t="array" aca="1" ref="M15" ca="1">_FV(RTData[[#This Row],[Company Name]],"Change (%)",TRUE)</f>
        <v>-3.5039999999999997E-3</v>
      </c>
      <c r="N15" s="19" cm="1">
        <f t="array" aca="1" ref="N15" ca="1">_FV(RTData[[#This Row],[Company Name]],"52 week low",TRUE)</f>
        <v>43.56</v>
      </c>
      <c r="O15" s="19" cm="1">
        <f t="array" aca="1" ref="O15" ca="1">_FV(RTData[[#This Row],[Company Name]],"52 week high",TRUE)</f>
        <v>83.52</v>
      </c>
      <c r="P15" s="23" cm="1">
        <f t="array" aca="1" ref="P15" ca="1">_FV(RTData[[#This Row],[Company Name]],"Volume")</f>
        <v>6025020</v>
      </c>
      <c r="Q15" s="23" cm="1">
        <f t="array" aca="1" ref="Q15" ca="1">_FV(RTData[[#This Row],[Company Name]],"Volume average",TRUE)</f>
        <v>7318726</v>
      </c>
      <c r="R15" s="19" cm="1">
        <f t="array" aca="1" ref="R15" ca="1">_FV(RTData[[#This Row],[Company Name]],"Beta")</f>
        <v>0.59709999999999996</v>
      </c>
      <c r="T15" t="s">
        <v>20</v>
      </c>
      <c r="U15" t="str" cm="1">
        <f t="array" aca="1" ref="U15" ca="1">_FV(RTData[[#This Row],[Company Name]],"Exchange abbreviation",TRUE)</f>
        <v>XNYS</v>
      </c>
      <c r="V15" s="24">
        <f ca="1">IFERROR(RTData[[#This Row],[Volume]]/RTData[[#This Row],[Volume average]],1)</f>
        <v>0.82323344254177566</v>
      </c>
      <c r="W15" s="24"/>
      <c r="X15" s="108">
        <f ca="1">_xlfn.XLOOKUP(RTData[[#This Row],[Ticker symbol]],[2]Sheet2!$B$2:$B$95,[2]Sheet2!$E$2:$E$95)</f>
        <v>83.791669999999996</v>
      </c>
      <c r="Y15" s="101">
        <f>_xlfn.LET(_xlpm.date,[2]Sheet2!F12,IF(_xlpm.date=0,"",_xlpm.date))</f>
        <v>45933</v>
      </c>
      <c r="Z15" s="101" t="str">
        <f>_xlfn.LET(_xlpm.date,[2]Sheet2!G12,IF(_xlpm.date=0,"",_xlpm.date))</f>
        <v>Nov 12, 2025</v>
      </c>
      <c r="AA15" s="102">
        <f>[2]Sheet2!$H12</f>
        <v>2.41E-2</v>
      </c>
      <c r="AB15" s="103">
        <v>1E-4</v>
      </c>
      <c r="AC15" s="104">
        <v>3.0000000000000001E-3</v>
      </c>
      <c r="AD15" s="90" t="s">
        <v>74</v>
      </c>
      <c r="AE15" s="105">
        <f ca="1">_xlfn.LET(_xlpm.New1YT,RTData[[#This Row],[1YT]],        _xlpm.Old1YT,IF(ISNUMBER(RTData[[#This Row],[Old1YT]]),RTData[[#This Row],[Old1YT]],VALUE(LEFT(RTData[[#This Row],[Old1YT]],FIND("/",RTData[[#This Row],[Old1YT]],1)-1))),       IF(OR(RTData[[#This Row],[1YT]]=0,_xlpm.Old1YT=0),0,(_xlpm.New1YT-_xlpm.Old1YT)/_xlpm.Old1YT))</f>
        <v>0.10521579175347899</v>
      </c>
      <c r="AF15" s="105" t="str">
        <f ca="1">TEXT(RTData[[#This Row],[1YT]],"#,#0.00")&amp;" &lt; "&amp;RTData[[#This Row],[Old1YT]]</f>
        <v>83.79 &lt; 75.81476/55.04</v>
      </c>
    </row>
    <row r="16" spans="1:32" x14ac:dyDescent="0.3">
      <c r="A16" s="15" t="str" cm="1">
        <f t="array" aca="1" ref="A16" ca="1">_xlfn.SINGLE(RTData[suffix])&amp;_FV(RTData[[#This Row],[Company Name]],"Ticker symbol",TRUE)</f>
        <v>DDD</v>
      </c>
      <c r="B16" s="15">
        <f ca="1">D99</f>
        <v>0.86065926499698775</v>
      </c>
      <c r="C16" t="e" vm="15">
        <v>#VALUE!</v>
      </c>
      <c r="D16" s="17" t="str" cm="1">
        <f t="array" aca="1" ref="D16" ca="1">_FV(RTData[[#This Row],[Company Name]],"Currency")</f>
        <v>USD</v>
      </c>
      <c r="E16" s="18" cm="1">
        <f t="array" aca="1" ref="E16" ca="1">_FV(RTData[[#This Row],[Company Name]],"Last trade time",TRUE)</f>
        <v>45953.931008935157</v>
      </c>
      <c r="F16" s="19" cm="1">
        <f t="array" aca="1" ref="F16" ca="1">_FV(RTData[[#This Row],[Company Name]],"Previous close",TRUE)</f>
        <v>3.01</v>
      </c>
      <c r="G16" s="19" cm="1">
        <f t="array" aca="1" ref="G16" ca="1">_FV(RTData[[#This Row],[Company Name]],"Open")</f>
        <v>3.08</v>
      </c>
      <c r="H16" s="19" cm="1">
        <f t="array" aca="1" ref="H16" ca="1">_FV(RTData[[#This Row],[Company Name]],"Price")</f>
        <v>3.0750000000000002</v>
      </c>
      <c r="I16" s="19" cm="1">
        <f t="array" aca="1" ref="I16" ca="1">_FV(RTData[[#This Row],[Company Name]],"Low")</f>
        <v>3.01</v>
      </c>
      <c r="J16" s="19" cm="1">
        <f t="array" aca="1" ref="J16" ca="1">_FV(RTData[[#This Row],[Company Name]],"High")</f>
        <v>3.21</v>
      </c>
      <c r="K16" s="20" cm="1">
        <f t="array" ref="K16">IFERROR(_FV(RTData[[#This Row],[Company Name]],"P/E",TRUE),99)</f>
        <v>99</v>
      </c>
      <c r="L16" s="21" cm="1">
        <f t="array" aca="1" ref="L16" ca="1">_FV(RTData[[#This Row],[Company Name]],"Change")</f>
        <v>6.5000000000000002E-2</v>
      </c>
      <c r="M16" s="22" cm="1">
        <f t="array" aca="1" ref="M16" ca="1">_FV(RTData[[#This Row],[Company Name]],"Change (%)",TRUE)</f>
        <v>2.1595E-2</v>
      </c>
      <c r="N16" s="19" cm="1">
        <f t="array" aca="1" ref="N16" ca="1">_FV(RTData[[#This Row],[Company Name]],"52 week low",TRUE)</f>
        <v>1.32</v>
      </c>
      <c r="O16" s="19" cm="1">
        <f t="array" aca="1" ref="O16" ca="1">_FV(RTData[[#This Row],[Company Name]],"52 week high",TRUE)</f>
        <v>4.9991000000000003</v>
      </c>
      <c r="P16" s="23" cm="1">
        <f t="array" aca="1" ref="P16" ca="1">_FV(RTData[[#This Row],[Company Name]],"Volume")</f>
        <v>2828733</v>
      </c>
      <c r="Q16" s="23" cm="1">
        <f t="array" aca="1" ref="Q16" ca="1">_FV(RTData[[#This Row],[Company Name]],"Volume average",TRUE)</f>
        <v>5090282</v>
      </c>
      <c r="R16" s="19" cm="1">
        <f t="array" aca="1" ref="R16" ca="1">_FV(RTData[[#This Row],[Company Name]],"Beta")</f>
        <v>2.1789000000000001</v>
      </c>
      <c r="T16" t="s">
        <v>20</v>
      </c>
      <c r="U16" t="str" cm="1">
        <f t="array" aca="1" ref="U16" ca="1">_FV(RTData[[#This Row],[Company Name]],"Exchange abbreviation",TRUE)</f>
        <v>XNYS</v>
      </c>
      <c r="V16" s="24">
        <f ca="1">IFERROR(RTData[[#This Row],[Volume]]/RTData[[#This Row],[Volume average]],1)</f>
        <v>0.5557124340066032</v>
      </c>
      <c r="W16" s="24"/>
      <c r="X16" s="108">
        <f ca="1">_xlfn.XLOOKUP(RTData[[#This Row],[Ticker symbol]],[2]Sheet2!$B$2:$B$95,[2]Sheet2!$E$2:$E$95)</f>
        <v>3.25</v>
      </c>
      <c r="Y16" s="101">
        <f>_xlfn.LET(_xlpm.date,[2]Sheet2!F13,IF(_xlpm.date=0,"",_xlpm.date))</f>
        <v>45953</v>
      </c>
      <c r="Z16" s="101" t="str">
        <f>_xlfn.LET(_xlpm.date,[2]Sheet2!G13,IF(_xlpm.date=0,"",_xlpm.date))</f>
        <v>Oct 29, 2025</v>
      </c>
      <c r="AA16" s="102">
        <f>[2]Sheet2!$H13</f>
        <v>3.4099999999999998E-2</v>
      </c>
      <c r="AB16" s="103">
        <v>1E-4</v>
      </c>
      <c r="AC16" s="104">
        <v>3.0000000000000001E-3</v>
      </c>
      <c r="AD16" s="90">
        <v>72.3</v>
      </c>
      <c r="AE16" s="105">
        <f ca="1">_xlfn.LET(_xlpm.New1YT,RTData[[#This Row],[1YT]],        _xlpm.Old1YT,IF(ISNUMBER(RTData[[#This Row],[Old1YT]]),RTData[[#This Row],[Old1YT]],VALUE(LEFT(RTData[[#This Row],[Old1YT]],FIND("/",RTData[[#This Row],[Old1YT]],1)-1))),       IF(OR(RTData[[#This Row],[1YT]]=0,_xlpm.Old1YT=0),0,(_xlpm.New1YT-_xlpm.Old1YT)/_xlpm.Old1YT))</f>
        <v>-0.95504840940525593</v>
      </c>
      <c r="AF16" s="105" t="str">
        <f ca="1">TEXT(RTData[[#This Row],[1YT]],"#,#0.00")&amp;" &lt; "&amp;RTData[[#This Row],[Old1YT]]</f>
        <v>3.25 &lt; 72.3</v>
      </c>
    </row>
    <row r="17" spans="1:32" x14ac:dyDescent="0.3">
      <c r="A17" s="15" t="str" cm="1">
        <f t="array" aca="1" ref="A17" ca="1">_xlfn.SINGLE(RTData[suffix])&amp;_FV(RTData[[#This Row],[Company Name]],"Ticker symbol",TRUE)</f>
        <v>DIS</v>
      </c>
      <c r="B17" s="15">
        <f ca="1">D99</f>
        <v>0.86065926499698775</v>
      </c>
      <c r="C17" t="e" vm="16">
        <v>#VALUE!</v>
      </c>
      <c r="D17" s="17" t="str" cm="1">
        <f t="array" aca="1" ref="D17" ca="1">_FV(RTData[[#This Row],[Company Name]],"Currency")</f>
        <v>USD</v>
      </c>
      <c r="E17" s="18" cm="1">
        <f t="array" aca="1" ref="E17" ca="1">_FV(RTData[[#This Row],[Company Name]],"Last trade time",TRUE)</f>
        <v>45953.933630231251</v>
      </c>
      <c r="F17" s="19" cm="1">
        <f t="array" aca="1" ref="F17" ca="1">_FV(RTData[[#This Row],[Company Name]],"Previous close",TRUE)</f>
        <v>113.08</v>
      </c>
      <c r="G17" s="19" cm="1">
        <f t="array" aca="1" ref="G17" ca="1">_FV(RTData[[#This Row],[Company Name]],"Open")</f>
        <v>113.17</v>
      </c>
      <c r="H17" s="19" cm="1">
        <f t="array" aca="1" ref="H17" ca="1">_FV(RTData[[#This Row],[Company Name]],"Price")</f>
        <v>113.02</v>
      </c>
      <c r="I17" s="19" cm="1">
        <f t="array" aca="1" ref="I17" ca="1">_FV(RTData[[#This Row],[Company Name]],"Low")</f>
        <v>111.90009999999999</v>
      </c>
      <c r="J17" s="19" cm="1">
        <f t="array" aca="1" ref="J17" ca="1">_FV(RTData[[#This Row],[Company Name]],"High")</f>
        <v>113.83</v>
      </c>
      <c r="K17" s="20" cm="1">
        <f t="array" aca="1" ref="K17" ca="1">IFERROR(_FV(RTData[[#This Row],[Company Name]],"P/E",TRUE),99)</f>
        <v>17.7287</v>
      </c>
      <c r="L17" s="21" cm="1">
        <f t="array" aca="1" ref="L17" ca="1">_FV(RTData[[#This Row],[Company Name]],"Change")</f>
        <v>-0.06</v>
      </c>
      <c r="M17" s="22" cm="1">
        <f t="array" aca="1" ref="M17" ca="1">_FV(RTData[[#This Row],[Company Name]],"Change (%)",TRUE)</f>
        <v>-5.306E-4</v>
      </c>
      <c r="N17" s="19" cm="1">
        <f t="array" aca="1" ref="N17" ca="1">_FV(RTData[[#This Row],[Company Name]],"52 week low",TRUE)</f>
        <v>80.099999999999994</v>
      </c>
      <c r="O17" s="19" cm="1">
        <f t="array" aca="1" ref="O17" ca="1">_FV(RTData[[#This Row],[Company Name]],"52 week high",TRUE)</f>
        <v>124.69</v>
      </c>
      <c r="P17" s="23" cm="1">
        <f t="array" aca="1" ref="P17" ca="1">_FV(RTData[[#This Row],[Company Name]],"Volume")</f>
        <v>6943706</v>
      </c>
      <c r="Q17" s="23" cm="1">
        <f t="array" aca="1" ref="Q17" ca="1">_FV(RTData[[#This Row],[Company Name]],"Volume average",TRUE)</f>
        <v>9017926</v>
      </c>
      <c r="R17" s="19" cm="1">
        <f t="array" aca="1" ref="R17" ca="1">_FV(RTData[[#This Row],[Company Name]],"Beta")</f>
        <v>1.5536000000000001</v>
      </c>
      <c r="T17" t="s">
        <v>20</v>
      </c>
      <c r="U17" t="str" cm="1">
        <f t="array" aca="1" ref="U17" ca="1">_FV(RTData[[#This Row],[Company Name]],"Exchange abbreviation",TRUE)</f>
        <v>XNYS</v>
      </c>
      <c r="V17" s="24">
        <f ca="1">IFERROR(RTData[[#This Row],[Volume]]/RTData[[#This Row],[Volume average]],1)</f>
        <v>0.7699892414286833</v>
      </c>
      <c r="W17" s="24"/>
      <c r="X17" s="108">
        <f ca="1">_xlfn.XLOOKUP(RTData[[#This Row],[Ticker symbol]],[2]Sheet2!$B$2:$B$95,[2]Sheet2!$E$2:$E$95)</f>
        <v>133.96896000000001</v>
      </c>
      <c r="Y17" s="101" t="str">
        <f>_xlfn.LET(_xlpm.date,[2]Sheet2!F14,IF(_xlpm.date=0,"",_xlpm.date))</f>
        <v/>
      </c>
      <c r="Z17" s="101" t="str">
        <f>_xlfn.LET(_xlpm.date,[2]Sheet2!G14,IF(_xlpm.date=0,"",_xlpm.date))</f>
        <v>Nov 10, 2025</v>
      </c>
      <c r="AA17" s="102">
        <f>[2]Sheet2!$H14</f>
        <v>0</v>
      </c>
      <c r="AB17" s="103">
        <v>1E-4</v>
      </c>
      <c r="AC17" s="104">
        <v>3.0000000000000001E-3</v>
      </c>
      <c r="AD17" s="90">
        <v>3.94</v>
      </c>
      <c r="AE17" s="105">
        <f ca="1">_xlfn.LET(_xlpm.New1YT,RTData[[#This Row],[1YT]],        _xlpm.Old1YT,IF(ISNUMBER(RTData[[#This Row],[Old1YT]]),RTData[[#This Row],[Old1YT]],VALUE(LEFT(RTData[[#This Row],[Old1YT]],FIND("/",RTData[[#This Row],[Old1YT]],1)-1))),       IF(OR(RTData[[#This Row],[1YT]]=0,_xlpm.Old1YT=0),0,(_xlpm.New1YT-_xlpm.Old1YT)/_xlpm.Old1YT))</f>
        <v>33.002274111675128</v>
      </c>
      <c r="AF17" s="105" t="str">
        <f ca="1">TEXT(RTData[[#This Row],[1YT]],"#,#0.00")&amp;" &lt; "&amp;RTData[[#This Row],[Old1YT]]</f>
        <v>133.97 &lt; 3.94</v>
      </c>
    </row>
    <row r="18" spans="1:32" x14ac:dyDescent="0.3">
      <c r="A18" s="15" t="str" cm="1">
        <f t="array" aca="1" ref="A18" ca="1">_xlfn.SINGLE(RTData[suffix])&amp;_FV(RTData[[#This Row],[Company Name]],"Ticker symbol",TRUE)</f>
        <v>DSY</v>
      </c>
      <c r="B18" s="15">
        <f ca="1">D99</f>
        <v>0.86065926499698775</v>
      </c>
      <c r="C18" t="e" vm="17">
        <v>#VALUE!</v>
      </c>
      <c r="D18" s="17" t="str" cm="1">
        <f t="array" aca="1" ref="D18" ca="1">_FV(RTData[[#This Row],[Company Name]],"Currency")</f>
        <v>EUR</v>
      </c>
      <c r="E18" s="18" cm="1">
        <f t="array" aca="1" ref="E18" ca="1">_FV(RTData[[#This Row],[Company Name]],"Last trade time",TRUE)</f>
        <v>45953.666666666664</v>
      </c>
      <c r="F18" s="19" cm="1">
        <f t="array" aca="1" ref="F18" ca="1">_FV(RTData[[#This Row],[Company Name]],"Previous close",TRUE)</f>
        <v>30.12</v>
      </c>
      <c r="G18" s="19" cm="1">
        <f t="array" aca="1" ref="G18" ca="1">_FV(RTData[[#This Row],[Company Name]],"Open")</f>
        <v>26</v>
      </c>
      <c r="H18" s="19" cm="1">
        <f t="array" aca="1" ref="H18" ca="1">_FV(RTData[[#This Row],[Company Name]],"Price")</f>
        <v>26.21</v>
      </c>
      <c r="I18" s="19" cm="1">
        <f t="array" aca="1" ref="I18" ca="1">_FV(RTData[[#This Row],[Company Name]],"Low")</f>
        <v>25.01</v>
      </c>
      <c r="J18" s="19" cm="1">
        <f t="array" aca="1" ref="J18" ca="1">_FV(RTData[[#This Row],[Company Name]],"High")</f>
        <v>26.35</v>
      </c>
      <c r="K18" s="20" cm="1">
        <f t="array" aca="1" ref="K18" ca="1">IFERROR(_FV(RTData[[#This Row],[Company Name]],"P/E",TRUE),99)</f>
        <v>34.608800000000002</v>
      </c>
      <c r="L18" s="21" cm="1">
        <f t="array" aca="1" ref="L18" ca="1">_FV(RTData[[#This Row],[Company Name]],"Change")</f>
        <v>-3.91</v>
      </c>
      <c r="M18" s="22" cm="1">
        <f t="array" aca="1" ref="M18" ca="1">_FV(RTData[[#This Row],[Company Name]],"Change (%)",TRUE)</f>
        <v>-0.12981400000000001</v>
      </c>
      <c r="N18" s="19" cm="1">
        <f t="array" aca="1" ref="N18" ca="1">_FV(RTData[[#This Row],[Company Name]],"52 week low",TRUE)</f>
        <v>25.01</v>
      </c>
      <c r="O18" s="19" cm="1">
        <f t="array" aca="1" ref="O18" ca="1">_FV(RTData[[#This Row],[Company Name]],"52 week high",TRUE)</f>
        <v>41.17</v>
      </c>
      <c r="P18" s="23" cm="1">
        <f t="array" aca="1" ref="P18" ca="1">_FV(RTData[[#This Row],[Company Name]],"Volume")</f>
        <v>7762453</v>
      </c>
      <c r="Q18" s="23" cm="1">
        <f t="array" aca="1" ref="Q18" ca="1">_FV(RTData[[#This Row],[Company Name]],"Volume average",TRUE)</f>
        <v>1473940</v>
      </c>
      <c r="R18" s="19" cm="1">
        <f t="array" aca="1" ref="R18" ca="1">_FV(RTData[[#This Row],[Company Name]],"Beta")</f>
        <v>0.68330000000000002</v>
      </c>
      <c r="T18" t="s">
        <v>20</v>
      </c>
      <c r="U18" t="str" cm="1">
        <f t="array" aca="1" ref="U18" ca="1">_FV(RTData[[#This Row],[Company Name]],"Exchange abbreviation",TRUE)</f>
        <v>XPAR</v>
      </c>
      <c r="V18" s="24">
        <f ca="1">IFERROR(RTData[[#This Row],[Volume]]/RTData[[#This Row],[Volume average]],1)</f>
        <v>5.2664647136247069</v>
      </c>
      <c r="W18" s="24"/>
      <c r="X18" s="108">
        <f ca="1">_xlfn.XLOOKUP(RTData[[#This Row],[Ticker symbol]],[2]Sheet2!$B$2:$B$95,[2]Sheet2!$E$2:$E$95)</f>
        <v>35.352780000000003</v>
      </c>
      <c r="Y18" s="101">
        <f>_xlfn.LET(_xlpm.date,[2]Sheet2!F15,IF(_xlpm.date=0,"",_xlpm.date))</f>
        <v>45832</v>
      </c>
      <c r="Z18" s="101" t="str">
        <f>_xlfn.LET(_xlpm.date,[2]Sheet2!G15,IF(_xlpm.date=0,"",_xlpm.date))</f>
        <v/>
      </c>
      <c r="AA18" s="102">
        <f>[2]Sheet2!$H15</f>
        <v>9.1999999999999998E-3</v>
      </c>
      <c r="AB18" s="103">
        <v>1E-4</v>
      </c>
      <c r="AC18" s="104">
        <v>3.0000000000000001E-3</v>
      </c>
      <c r="AD18" s="90">
        <v>111.22</v>
      </c>
      <c r="AE18" s="105">
        <f ca="1">_xlfn.LET(_xlpm.New1YT,RTData[[#This Row],[1YT]],        _xlpm.Old1YT,IF(ISNUMBER(RTData[[#This Row],[Old1YT]]),RTData[[#This Row],[Old1YT]],VALUE(LEFT(RTData[[#This Row],[Old1YT]],FIND("/",RTData[[#This Row],[Old1YT]],1)-1))),       IF(OR(RTData[[#This Row],[1YT]]=0,_xlpm.Old1YT=0),0,(_xlpm.New1YT-_xlpm.Old1YT)/_xlpm.Old1YT))</f>
        <v>-0.68213648624348144</v>
      </c>
      <c r="AF18" s="105" t="str">
        <f ca="1">TEXT(RTData[[#This Row],[1YT]],"#,#0.00")&amp;" &lt; "&amp;RTData[[#This Row],[Old1YT]]</f>
        <v>35.35 &lt; 111.22</v>
      </c>
    </row>
    <row r="19" spans="1:32" x14ac:dyDescent="0.3">
      <c r="A19" s="15" t="str" cm="1">
        <f t="array" aca="1" ref="A19" ca="1">_xlfn.SINGLE(RTData[suffix])&amp;_FV(RTData[[#This Row],[Company Name]],"Ticker symbol",TRUE)</f>
        <v>DVA</v>
      </c>
      <c r="B19" s="15">
        <v>1</v>
      </c>
      <c r="C19" t="e" vm="18">
        <v>#VALUE!</v>
      </c>
      <c r="D19" s="17" t="str" cm="1">
        <f t="array" aca="1" ref="D19" ca="1">_FV(RTData[[#This Row],[Company Name]],"Currency")</f>
        <v>USD</v>
      </c>
      <c r="E19" s="18" cm="1">
        <f t="array" aca="1" ref="E19" ca="1">_FV(RTData[[#This Row],[Company Name]],"Last trade time",TRUE)</f>
        <v>45953.919264467186</v>
      </c>
      <c r="F19" s="28" cm="1">
        <f t="array" aca="1" ref="F19" ca="1">_FV(RTData[[#This Row],[Company Name]],"Previous close",TRUE)</f>
        <v>129.08000000000001</v>
      </c>
      <c r="G19" s="28" cm="1">
        <f t="array" aca="1" ref="G19" ca="1">_FV(RTData[[#This Row],[Company Name]],"Open")</f>
        <v>128.21</v>
      </c>
      <c r="H19" s="28" cm="1">
        <f t="array" aca="1" ref="H19" ca="1">_FV(RTData[[#This Row],[Company Name]],"Price")</f>
        <v>128.02000000000001</v>
      </c>
      <c r="I19" s="28" cm="1">
        <f t="array" aca="1" ref="I19" ca="1">_FV(RTData[[#This Row],[Company Name]],"Low")</f>
        <v>126.57</v>
      </c>
      <c r="J19" s="28" cm="1">
        <f t="array" aca="1" ref="J19" ca="1">_FV(RTData[[#This Row],[Company Name]],"High")</f>
        <v>128.36000000000001</v>
      </c>
      <c r="K19" s="20" cm="1">
        <f t="array" aca="1" ref="K19" ca="1">IFERROR(_FV(RTData[[#This Row],[Company Name]],"P/E",TRUE),99)</f>
        <v>12.5792</v>
      </c>
      <c r="L19" s="21" cm="1">
        <f t="array" aca="1" ref="L19" ca="1">_FV(RTData[[#This Row],[Company Name]],"Change")</f>
        <v>-1.06</v>
      </c>
      <c r="M19" s="22" cm="1">
        <f t="array" aca="1" ref="M19" ca="1">_FV(RTData[[#This Row],[Company Name]],"Change (%)",TRUE)</f>
        <v>-8.2120000000000005E-3</v>
      </c>
      <c r="N19" s="28" cm="1">
        <f t="array" aca="1" ref="N19" ca="1">_FV(RTData[[#This Row],[Company Name]],"52 week low",TRUE)</f>
        <v>122.925</v>
      </c>
      <c r="O19" s="28" cm="1">
        <f t="array" aca="1" ref="O19" ca="1">_FV(RTData[[#This Row],[Company Name]],"52 week high",TRUE)</f>
        <v>179.6</v>
      </c>
      <c r="P19" s="23" cm="1">
        <f t="array" aca="1" ref="P19" ca="1">_FV(RTData[[#This Row],[Company Name]],"Volume")</f>
        <v>537224</v>
      </c>
      <c r="Q19" s="23" cm="1">
        <f t="array" aca="1" ref="Q19" ca="1">_FV(RTData[[#This Row],[Company Name]],"Volume average",TRUE)</f>
        <v>719757</v>
      </c>
      <c r="R19" s="28" cm="1">
        <f t="array" aca="1" ref="R19" ca="1">_FV(RTData[[#This Row],[Company Name]],"Beta")</f>
        <v>1.1397999999999999</v>
      </c>
      <c r="T19" t="s">
        <v>20</v>
      </c>
      <c r="U19" t="str" cm="1">
        <f t="array" aca="1" ref="U19" ca="1">_FV(RTData[[#This Row],[Company Name]],"Exchange abbreviation",TRUE)</f>
        <v>XNYS</v>
      </c>
      <c r="V19" s="24">
        <f ca="1">IFERROR(RTData[[#This Row],[Volume]]/RTData[[#This Row],[Volume average]],1)</f>
        <v>0.74639635321365405</v>
      </c>
      <c r="W19" s="24"/>
      <c r="X19" s="108">
        <f ca="1">_xlfn.XLOOKUP(RTData[[#This Row],[Ticker symbol]],[2]Sheet2!$B$2:$B$95,[2]Sheet2!$E$2:$E$95)</f>
        <v>151.5</v>
      </c>
      <c r="Y19" s="101">
        <f>_xlfn.LET(_xlpm.date,[2]Sheet2!F16,IF(_xlpm.date=0,"",_xlpm.date))</f>
        <v>45803</v>
      </c>
      <c r="Z19" s="101" t="str">
        <f>_xlfn.LET(_xlpm.date,[2]Sheet2!G16,IF(_xlpm.date=0,"",_xlpm.date))</f>
        <v/>
      </c>
      <c r="AA19" s="102">
        <f>[2]Sheet2!$H16</f>
        <v>9.1000000000000004E-3</v>
      </c>
      <c r="AB19" s="103"/>
      <c r="AC19" s="104">
        <v>3.0000000000000001E-3</v>
      </c>
      <c r="AD19" s="90" t="s">
        <v>63</v>
      </c>
      <c r="AE19" s="105">
        <f ca="1">_xlfn.LET(_xlpm.New1YT,RTData[[#This Row],[1YT]],        _xlpm.Old1YT,IF(ISNUMBER(RTData[[#This Row],[Old1YT]]),RTData[[#This Row],[Old1YT]],VALUE(LEFT(RTData[[#This Row],[Old1YT]],FIND("/",RTData[[#This Row],[Old1YT]],1)-1))),       IF(OR(RTData[[#This Row],[1YT]]=0,_xlpm.Old1YT=0),0,(_xlpm.New1YT-_xlpm.Old1YT)/_xlpm.Old1YT))</f>
        <v>2.9899920990255464</v>
      </c>
      <c r="AF19" s="105" t="str">
        <f ca="1">TEXT(RTData[[#This Row],[1YT]],"#,#0.00")&amp;" &lt; "&amp;RTData[[#This Row],[Old1YT]]</f>
        <v>151.50 &lt; 37.97/38.13/38.23</v>
      </c>
    </row>
    <row r="20" spans="1:32" x14ac:dyDescent="0.3">
      <c r="A20" s="15" t="str" cm="1">
        <f t="array" aca="1" ref="A20" ca="1">_xlfn.SINGLE(RTData[suffix])&amp;_FV(RTData[[#This Row],[Company Name]],"Ticker symbol",TRUE)</f>
        <v>DXC</v>
      </c>
      <c r="B20" s="15">
        <f ca="1">D99</f>
        <v>0.86065926499698775</v>
      </c>
      <c r="C20" t="e" vm="19">
        <v>#VALUE!</v>
      </c>
      <c r="D20" s="17" t="str" cm="1">
        <f t="array" aca="1" ref="D20" ca="1">_FV(RTData[[#This Row],[Company Name]],"Currency")</f>
        <v>USD</v>
      </c>
      <c r="E20" s="18" cm="1">
        <f t="array" aca="1" ref="E20" ca="1">_FV(RTData[[#This Row],[Company Name]],"Last trade time",TRUE)</f>
        <v>45953.893758506252</v>
      </c>
      <c r="F20" s="19" cm="1">
        <f t="array" aca="1" ref="F20" ca="1">_FV(RTData[[#This Row],[Company Name]],"Previous close",TRUE)</f>
        <v>13.27</v>
      </c>
      <c r="G20" s="19" cm="1">
        <f t="array" aca="1" ref="G20" ca="1">_FV(RTData[[#This Row],[Company Name]],"Open")</f>
        <v>13.13</v>
      </c>
      <c r="H20" s="19" cm="1">
        <f t="array" aca="1" ref="H20" ca="1">_FV(RTData[[#This Row],[Company Name]],"Price")</f>
        <v>13.37</v>
      </c>
      <c r="I20" s="19" cm="1">
        <f t="array" aca="1" ref="I20" ca="1">_FV(RTData[[#This Row],[Company Name]],"Low")</f>
        <v>13.12</v>
      </c>
      <c r="J20" s="19" cm="1">
        <f t="array" aca="1" ref="J20" ca="1">_FV(RTData[[#This Row],[Company Name]],"High")</f>
        <v>13.37</v>
      </c>
      <c r="K20" s="20" cm="1">
        <f t="array" aca="1" ref="K20" ca="1">IFERROR(_FV(RTData[[#This Row],[Company Name]],"P/E",TRUE),99)</f>
        <v>6.5282999999999998</v>
      </c>
      <c r="L20" s="21" cm="1">
        <f t="array" aca="1" ref="L20" ca="1">_FV(RTData[[#This Row],[Company Name]],"Change")</f>
        <v>0.1</v>
      </c>
      <c r="M20" s="22" cm="1">
        <f t="array" aca="1" ref="M20" ca="1">_FV(RTData[[#This Row],[Company Name]],"Change (%)",TRUE)</f>
        <v>7.5360000000000002E-3</v>
      </c>
      <c r="N20" s="19" cm="1">
        <f t="array" aca="1" ref="N20" ca="1">_FV(RTData[[#This Row],[Company Name]],"52 week low",TRUE)</f>
        <v>12.24</v>
      </c>
      <c r="O20" s="19" cm="1">
        <f t="array" aca="1" ref="O20" ca="1">_FV(RTData[[#This Row],[Company Name]],"52 week high",TRUE)</f>
        <v>24.83</v>
      </c>
      <c r="P20" s="23" cm="1">
        <f t="array" aca="1" ref="P20" ca="1">_FV(RTData[[#This Row],[Company Name]],"Volume")</f>
        <v>1687767</v>
      </c>
      <c r="Q20" s="23" cm="1">
        <f t="array" aca="1" ref="Q20" ca="1">_FV(RTData[[#This Row],[Company Name]],"Volume average",TRUE)</f>
        <v>1837101</v>
      </c>
      <c r="R20" s="19" cm="1">
        <f t="array" aca="1" ref="R20" ca="1">_FV(RTData[[#This Row],[Company Name]],"Beta")</f>
        <v>1.1529</v>
      </c>
      <c r="T20" t="s">
        <v>20</v>
      </c>
      <c r="U20" t="str" cm="1">
        <f t="array" aca="1" ref="U20" ca="1">_FV(RTData[[#This Row],[Company Name]],"Exchange abbreviation",TRUE)</f>
        <v>XNYS</v>
      </c>
      <c r="V20" s="24">
        <f ca="1">IFERROR(RTData[[#This Row],[Volume]]/RTData[[#This Row],[Volume average]],1)</f>
        <v>0.91871214484124719</v>
      </c>
      <c r="W20" s="24"/>
      <c r="X20" s="108">
        <f ca="1">_xlfn.XLOOKUP(RTData[[#This Row],[Ticker symbol]],[2]Sheet2!$B$2:$B$95,[2]Sheet2!$E$2:$E$95)</f>
        <v>15.125</v>
      </c>
      <c r="Y20" s="101" t="str">
        <f>_xlfn.LET(_xlpm.date,[2]Sheet2!F17,IF(_xlpm.date=0,"",_xlpm.date))</f>
        <v/>
      </c>
      <c r="Z20" s="101" t="str">
        <f>_xlfn.LET(_xlpm.date,[2]Sheet2!G17,IF(_xlpm.date=0,"",_xlpm.date))</f>
        <v>Oct 28, 2025</v>
      </c>
      <c r="AA20" s="102">
        <f>[2]Sheet2!$H17</f>
        <v>0</v>
      </c>
      <c r="AB20" s="103">
        <v>1E-4</v>
      </c>
      <c r="AC20" s="104">
        <v>3.0000000000000001E-3</v>
      </c>
      <c r="AD20" s="90">
        <v>157.9</v>
      </c>
      <c r="AE20" s="105">
        <f ca="1">_xlfn.LET(_xlpm.New1YT,RTData[[#This Row],[1YT]],        _xlpm.Old1YT,IF(ISNUMBER(RTData[[#This Row],[Old1YT]]),RTData[[#This Row],[Old1YT]],VALUE(LEFT(RTData[[#This Row],[Old1YT]],FIND("/",RTData[[#This Row],[Old1YT]],1)-1))),       IF(OR(RTData[[#This Row],[1YT]]=0,_xlpm.Old1YT=0),0,(_xlpm.New1YT-_xlpm.Old1YT)/_xlpm.Old1YT))</f>
        <v>-0.90421152628245727</v>
      </c>
      <c r="AF20" s="105" t="str">
        <f ca="1">TEXT(RTData[[#This Row],[1YT]],"#,#0.00")&amp;" &lt; "&amp;RTData[[#This Row],[Old1YT]]</f>
        <v>15.13 &lt; 157.9</v>
      </c>
    </row>
    <row r="21" spans="1:32" x14ac:dyDescent="0.3">
      <c r="A21" s="15" t="str" cm="1">
        <f t="array" aca="1" ref="A21" ca="1">_xlfn.SINGLE(RTData[suffix])&amp;_FV(RTData[[#This Row],[Company Name]],"Ticker symbol",TRUE)</f>
        <v>EOAN</v>
      </c>
      <c r="B21" s="15">
        <f ca="1">D99</f>
        <v>0.86065926499698775</v>
      </c>
      <c r="C21" t="e" vm="20">
        <v>#VALUE!</v>
      </c>
      <c r="D21" s="17" t="str" cm="1">
        <f t="array" aca="1" ref="D21" ca="1">_FV(RTData[[#This Row],[Company Name]],"Currency")</f>
        <v>EUR</v>
      </c>
      <c r="E21" s="18" cm="1">
        <f t="array" aca="1" ref="E21" ca="1">_FV(RTData[[#This Row],[Company Name]],"Last trade time",TRUE)</f>
        <v>45953.836805555555</v>
      </c>
      <c r="F21" s="19" cm="1">
        <f t="array" aca="1" ref="F21" ca="1">_FV(RTData[[#This Row],[Company Name]],"Previous close",TRUE)</f>
        <v>16.100000000000001</v>
      </c>
      <c r="G21" s="19" cm="1">
        <f t="array" aca="1" ref="G21" ca="1">_FV(RTData[[#This Row],[Company Name]],"Open")</f>
        <v>16.13</v>
      </c>
      <c r="H21" s="19" cm="1">
        <f t="array" aca="1" ref="H21" ca="1">_FV(RTData[[#This Row],[Company Name]],"Price")</f>
        <v>15.98</v>
      </c>
      <c r="I21" s="19" cm="1">
        <f t="array" aca="1" ref="I21" ca="1">_FV(RTData[[#This Row],[Company Name]],"Low")</f>
        <v>15.97</v>
      </c>
      <c r="J21" s="19" cm="1">
        <f t="array" aca="1" ref="J21" ca="1">_FV(RTData[[#This Row],[Company Name]],"High")</f>
        <v>16.13</v>
      </c>
      <c r="K21" s="20" cm="1">
        <f t="array" aca="1" ref="K21" ca="1">IFERROR(_FV(RTData[[#This Row],[Company Name]],"P/E",TRUE),99)</f>
        <v>13.2066</v>
      </c>
      <c r="L21" s="21" cm="1">
        <f t="array" aca="1" ref="L21" ca="1">_FV(RTData[[#This Row],[Company Name]],"Change")</f>
        <v>-0.12</v>
      </c>
      <c r="M21" s="22" cm="1">
        <f t="array" aca="1" ref="M21" ca="1">_FV(RTData[[#This Row],[Company Name]],"Change (%)",TRUE)</f>
        <v>-7.4529999999999996E-3</v>
      </c>
      <c r="N21" s="19" cm="1">
        <f t="array" aca="1" ref="N21" ca="1">_FV(RTData[[#This Row],[Company Name]],"52 week low",TRUE)</f>
        <v>7.3</v>
      </c>
      <c r="O21" s="19" cm="1">
        <f t="array" aca="1" ref="O21" ca="1">_FV(RTData[[#This Row],[Company Name]],"52 week high",TRUE)</f>
        <v>16.515000000000001</v>
      </c>
      <c r="P21" s="23" cm="1">
        <f t="array" aca="1" ref="P21" ca="1">_FV(RTData[[#This Row],[Company Name]],"Volume")</f>
        <v>6458</v>
      </c>
      <c r="Q21" s="23" cm="1">
        <f t="array" aca="1" ref="Q21" ca="1">_FV(RTData[[#This Row],[Company Name]],"Volume average",TRUE)</f>
        <v>3081430</v>
      </c>
      <c r="R21" s="19" cm="1">
        <f t="array" aca="1" ref="R21" ca="1">_FV(RTData[[#This Row],[Company Name]],"Beta")</f>
        <v>0.72070000000000001</v>
      </c>
      <c r="T21" t="s">
        <v>20</v>
      </c>
      <c r="U21" t="str" cm="1">
        <f t="array" aca="1" ref="U21" ca="1">_FV(RTData[[#This Row],[Company Name]],"Exchange abbreviation",TRUE)</f>
        <v>XFRA</v>
      </c>
      <c r="V21" s="24">
        <f ca="1">IFERROR(RTData[[#This Row],[Volume]]/RTData[[#This Row],[Volume average]],1)</f>
        <v>2.0957802059433446E-3</v>
      </c>
      <c r="W21" s="24"/>
      <c r="X21" s="108">
        <f ca="1">_xlfn.XLOOKUP(RTData[[#This Row],[Ticker symbol]],[2]Sheet2!$B$2:$B$95,[2]Sheet2!$E$2:$E$95)</f>
        <v>16.882349999999999</v>
      </c>
      <c r="Y21" s="101">
        <f>_xlfn.LET(_xlpm.date,[2]Sheet2!F18,IF(_xlpm.date=0,"",_xlpm.date))</f>
        <v>43914</v>
      </c>
      <c r="Z21" s="101" t="str">
        <f>_xlfn.LET(_xlpm.date,[2]Sheet2!G18,IF(_xlpm.date=0,"",_xlpm.date))</f>
        <v>Oct 30, 2025</v>
      </c>
      <c r="AA21" s="102">
        <f>[2]Sheet2!$H18</f>
        <v>0</v>
      </c>
      <c r="AB21" s="103">
        <v>1E-4</v>
      </c>
      <c r="AC21" s="104">
        <v>3.0000000000000001E-3</v>
      </c>
      <c r="AD21" s="90">
        <v>19.77</v>
      </c>
      <c r="AE21" s="105">
        <f ca="1">_xlfn.LET(_xlpm.New1YT,RTData[[#This Row],[1YT]],        _xlpm.Old1YT,IF(ISNUMBER(RTData[[#This Row],[Old1YT]]),RTData[[#This Row],[Old1YT]],VALUE(LEFT(RTData[[#This Row],[Old1YT]],FIND("/",RTData[[#This Row],[Old1YT]],1)-1))),       IF(OR(RTData[[#This Row],[1YT]]=0,_xlpm.Old1YT=0),0,(_xlpm.New1YT-_xlpm.Old1YT)/_xlpm.Old1YT))</f>
        <v>-0.146062215477997</v>
      </c>
      <c r="AF21" s="105" t="str">
        <f ca="1">TEXT(RTData[[#This Row],[1YT]],"#,#0.00")&amp;" &lt; "&amp;RTData[[#This Row],[Old1YT]]</f>
        <v>16.88 &lt; 19.77</v>
      </c>
    </row>
    <row r="22" spans="1:32" x14ac:dyDescent="0.3">
      <c r="A22" s="15" t="str" cm="1">
        <f t="array" aca="1" ref="A22" ca="1">_xlfn.SINGLE(RTData[suffix])&amp;_FV(RTData[[#This Row],[Company Name]],"Ticker symbol",TRUE)</f>
        <v>EPIX</v>
      </c>
      <c r="B22" s="15">
        <v>1</v>
      </c>
      <c r="C22" t="e" vm="21">
        <v>#VALUE!</v>
      </c>
      <c r="D22" s="17" t="str" cm="1">
        <f t="array" aca="1" ref="D22" ca="1">_FV(RTData[[#This Row],[Company Name]],"Currency")</f>
        <v>USD</v>
      </c>
      <c r="E22" s="18" cm="1">
        <f t="array" aca="1" ref="E22" ca="1">_FV(RTData[[#This Row],[Company Name]],"Last trade time",TRUE)</f>
        <v>45938.992447279685</v>
      </c>
      <c r="F22" s="28" cm="1">
        <f t="array" aca="1" ref="F22" ca="1">_FV(RTData[[#This Row],[Company Name]],"Previous close",TRUE)</f>
        <v>0.20499999999999999</v>
      </c>
      <c r="G22" s="28" cm="1">
        <f t="array" aca="1" ref="G22" ca="1">_FV(RTData[[#This Row],[Company Name]],"Open")</f>
        <v>0.2</v>
      </c>
      <c r="H22" s="28" cm="1">
        <f t="array" aca="1" ref="H22" ca="1">_FV(RTData[[#This Row],[Company Name]],"Price")</f>
        <v>0.20119999999999999</v>
      </c>
      <c r="I22" s="28" cm="1">
        <f t="array" aca="1" ref="I22" ca="1">_FV(RTData[[#This Row],[Company Name]],"Low")</f>
        <v>0.18990000000000001</v>
      </c>
      <c r="J22" s="28" cm="1">
        <f t="array" aca="1" ref="J22" ca="1">_FV(RTData[[#This Row],[Company Name]],"High")</f>
        <v>0.20699999999999999</v>
      </c>
      <c r="K22" s="20" cm="1">
        <f t="array" aca="1" ref="K22" ca="1">IFERROR(_FV(RTData[[#This Row],[Company Name]],"P/E",TRUE),99)</f>
        <v>0</v>
      </c>
      <c r="L22" s="21" cm="1">
        <f t="array" aca="1" ref="L22" ca="1">_FV(RTData[[#This Row],[Company Name]],"Change")</f>
        <v>0</v>
      </c>
      <c r="M22" s="22" cm="1">
        <f t="array" aca="1" ref="M22" ca="1">_FV(RTData[[#This Row],[Company Name]],"Change (%)",TRUE)</f>
        <v>0</v>
      </c>
      <c r="N22" s="28" cm="1">
        <f t="array" aca="1" ref="N22" ca="1">_FV(RTData[[#This Row],[Company Name]],"52 week low",TRUE)</f>
        <v>0.17330000000000001</v>
      </c>
      <c r="O22" s="28" cm="1">
        <f t="array" aca="1" ref="O22" ca="1">_FV(RTData[[#This Row],[Company Name]],"52 week high",TRUE)</f>
        <v>0.82499999999999996</v>
      </c>
      <c r="P22" s="23" cm="1">
        <f t="array" aca="1" ref="P22" ca="1">_FV(RTData[[#This Row],[Company Name]],"Volume")</f>
        <v>5945141</v>
      </c>
      <c r="Q22" s="23" cm="1">
        <f t="array" aca="1" ref="Q22" ca="1">_FV(RTData[[#This Row],[Company Name]],"Volume average",TRUE)</f>
        <v>3209641</v>
      </c>
      <c r="R22" s="28" cm="1">
        <f t="array" aca="1" ref="R22" ca="1">_FV(RTData[[#This Row],[Company Name]],"Beta")</f>
        <v>1.5513999999999999</v>
      </c>
      <c r="T22" t="s">
        <v>20</v>
      </c>
      <c r="U22" t="str" cm="1">
        <f t="array" aca="1" ref="U22" ca="1">_FV(RTData[[#This Row],[Company Name]],"Exchange abbreviation",TRUE)</f>
        <v>XNAS</v>
      </c>
      <c r="V22" s="24">
        <f ca="1">IFERROR(RTData[[#This Row],[Volume]]/RTData[[#This Row],[Volume average]],1)</f>
        <v>1.8522760022071003</v>
      </c>
      <c r="W22" s="24"/>
      <c r="X22" s="108">
        <f ca="1">_xlfn.XLOOKUP(RTData[[#This Row],[Ticker symbol]],[2]Sheet2!$B$2:$B$95,[2]Sheet2!$E$2:$E$95)</f>
        <v>0</v>
      </c>
      <c r="Y22" s="101">
        <f>_xlfn.LET(_xlpm.date,[2]Sheet2!F19,IF(_xlpm.date=0,"",_xlpm.date))</f>
        <v>45793</v>
      </c>
      <c r="Z22" s="101" t="str">
        <f>_xlfn.LET(_xlpm.date,[2]Sheet2!G19,IF(_xlpm.date=0,"",_xlpm.date))</f>
        <v/>
      </c>
      <c r="AA22" s="102">
        <f>[2]Sheet2!$H19</f>
        <v>3.4200000000000001E-2</v>
      </c>
      <c r="AB22" s="103"/>
      <c r="AC22" s="104">
        <v>3.0000000000000001E-3</v>
      </c>
      <c r="AD22" s="90" t="s">
        <v>64</v>
      </c>
      <c r="AE22" s="105">
        <f ca="1">_xlfn.LET(_xlpm.New1YT,RTData[[#This Row],[1YT]],        _xlpm.Old1YT,IF(ISNUMBER(RTData[[#This Row],[Old1YT]]),RTData[[#This Row],[Old1YT]],VALUE(LEFT(RTData[[#This Row],[Old1YT]],FIND("/",RTData[[#This Row],[Old1YT]],1)-1))),       IF(OR(RTData[[#This Row],[1YT]]=0,_xlpm.Old1YT=0),0,(_xlpm.New1YT-_xlpm.Old1YT)/_xlpm.Old1YT))</f>
        <v>0</v>
      </c>
      <c r="AF22" s="105" t="str">
        <f ca="1">TEXT(RTData[[#This Row],[1YT]],"#,#0.00")&amp;" &lt; "&amp;RTData[[#This Row],[Old1YT]]</f>
        <v>0.00 &lt; 16.71/16.47/14.8</v>
      </c>
    </row>
    <row r="23" spans="1:32" x14ac:dyDescent="0.3">
      <c r="A23" s="15" t="str" cm="1">
        <f t="array" aca="1" ref="A23" ca="1">_xlfn.SINGLE(RTData[suffix])&amp;_FV(RTData[[#This Row],[Company Name]],"Ticker symbol",TRUE)</f>
        <v>GM</v>
      </c>
      <c r="B23" s="15">
        <f ca="1">D99</f>
        <v>0.86065926499698775</v>
      </c>
      <c r="C23" t="e" vm="22">
        <v>#VALUE!</v>
      </c>
      <c r="D23" s="17" t="str" cm="1">
        <f t="array" aca="1" ref="D23" ca="1">_FV(RTData[[#This Row],[Company Name]],"Currency")</f>
        <v>USD</v>
      </c>
      <c r="E23" s="18" cm="1">
        <f t="array" aca="1" ref="E23" ca="1">_FV(RTData[[#This Row],[Company Name]],"Last trade time",TRUE)</f>
        <v>45953.935127013283</v>
      </c>
      <c r="F23" s="19" cm="1">
        <f t="array" aca="1" ref="F23" ca="1">_FV(RTData[[#This Row],[Company Name]],"Previous close",TRUE)</f>
        <v>67.31</v>
      </c>
      <c r="G23" s="19" cm="1">
        <f t="array" aca="1" ref="G23" ca="1">_FV(RTData[[#This Row],[Company Name]],"Open")</f>
        <v>67.97</v>
      </c>
      <c r="H23" s="19" cm="1">
        <f t="array" aca="1" ref="H23" ca="1">_FV(RTData[[#This Row],[Company Name]],"Price")</f>
        <v>66.834999999999994</v>
      </c>
      <c r="I23" s="19" cm="1">
        <f t="array" aca="1" ref="I23" ca="1">_FV(RTData[[#This Row],[Company Name]],"Low")</f>
        <v>66.569999999999993</v>
      </c>
      <c r="J23" s="19" cm="1">
        <f t="array" aca="1" ref="J23" ca="1">_FV(RTData[[#This Row],[Company Name]],"High")</f>
        <v>68.48</v>
      </c>
      <c r="K23" s="20" cm="1">
        <f t="array" aca="1" ref="K23" ca="1">IFERROR(_FV(RTData[[#This Row],[Company Name]],"P/E",TRUE),99)</f>
        <v>12.946300000000001</v>
      </c>
      <c r="L23" s="21" cm="1">
        <f t="array" aca="1" ref="L23" ca="1">_FV(RTData[[#This Row],[Company Name]],"Change")</f>
        <v>-0.47499999999999998</v>
      </c>
      <c r="M23" s="22" cm="1">
        <f t="array" aca="1" ref="M23" ca="1">_FV(RTData[[#This Row],[Company Name]],"Change (%)",TRUE)</f>
        <v>-7.0569999999999999E-3</v>
      </c>
      <c r="N23" s="19" cm="1">
        <f t="array" aca="1" ref="N23" ca="1">_FV(RTData[[#This Row],[Company Name]],"52 week low",TRUE)</f>
        <v>41.6</v>
      </c>
      <c r="O23" s="19" cm="1">
        <f t="array" aca="1" ref="O23" ca="1">_FV(RTData[[#This Row],[Company Name]],"52 week high",TRUE)</f>
        <v>68.48</v>
      </c>
      <c r="P23" s="23" cm="1">
        <f t="array" aca="1" ref="P23" ca="1">_FV(RTData[[#This Row],[Company Name]],"Volume")</f>
        <v>12643966</v>
      </c>
      <c r="Q23" s="23" cm="1">
        <f t="array" aca="1" ref="Q23" ca="1">_FV(RTData[[#This Row],[Company Name]],"Volume average",TRUE)</f>
        <v>10036558</v>
      </c>
      <c r="R23" s="19" cm="1">
        <f t="array" aca="1" ref="R23" ca="1">_FV(RTData[[#This Row],[Company Name]],"Beta")</f>
        <v>1.4006000000000001</v>
      </c>
      <c r="T23" t="s">
        <v>20</v>
      </c>
      <c r="U23" t="str" cm="1">
        <f t="array" aca="1" ref="U23" ca="1">_FV(RTData[[#This Row],[Company Name]],"Exchange abbreviation",TRUE)</f>
        <v>XNYS</v>
      </c>
      <c r="V23" s="24">
        <f ca="1">IFERROR(RTData[[#This Row],[Volume]]/RTData[[#This Row],[Volume average]],1)</f>
        <v>1.2597910558579943</v>
      </c>
      <c r="W23" s="24"/>
      <c r="X23" s="108">
        <f ca="1">_xlfn.XLOOKUP(RTData[[#This Row],[Ticker symbol]],[2]Sheet2!$B$2:$B$95,[2]Sheet2!$E$2:$E$95)</f>
        <v>63.8</v>
      </c>
      <c r="Y23" s="101">
        <f>_xlfn.LET(_xlpm.date,[2]Sheet2!F20,IF(_xlpm.date=0,"",_xlpm.date))</f>
        <v>45894</v>
      </c>
      <c r="Z23" s="101" t="str">
        <f>_xlfn.LET(_xlpm.date,[2]Sheet2!G20,IF(_xlpm.date=0,"",_xlpm.date))</f>
        <v>Dec 16, 2025</v>
      </c>
      <c r="AA23" s="102">
        <f>[2]Sheet2!$H20</f>
        <v>0</v>
      </c>
      <c r="AB23" s="103">
        <v>1E-4</v>
      </c>
      <c r="AC23" s="104">
        <v>3.0000000000000001E-3</v>
      </c>
      <c r="AD23" s="90">
        <v>9.32</v>
      </c>
      <c r="AE23" s="105">
        <f ca="1">_xlfn.LET(_xlpm.New1YT,RTData[[#This Row],[1YT]],        _xlpm.Old1YT,IF(ISNUMBER(RTData[[#This Row],[Old1YT]]),RTData[[#This Row],[Old1YT]],VALUE(LEFT(RTData[[#This Row],[Old1YT]],FIND("/",RTData[[#This Row],[Old1YT]],1)-1))),       IF(OR(RTData[[#This Row],[1YT]]=0,_xlpm.Old1YT=0),0,(_xlpm.New1YT-_xlpm.Old1YT)/_xlpm.Old1YT))</f>
        <v>5.8454935622317592</v>
      </c>
      <c r="AF23" s="105" t="str">
        <f ca="1">TEXT(RTData[[#This Row],[1YT]],"#,#0.00")&amp;" &lt; "&amp;RTData[[#This Row],[Old1YT]]</f>
        <v>63.80 &lt; 9.32</v>
      </c>
    </row>
    <row r="24" spans="1:32" x14ac:dyDescent="0.3">
      <c r="A24" s="15" t="str" cm="1">
        <f t="array" aca="1" ref="A24" ca="1">_xlfn.SINGLE(RTData[suffix])&amp;_FV(RTData[[#This Row],[Company Name]],"Ticker symbol",TRUE)</f>
        <v>HPE</v>
      </c>
      <c r="B24" s="15">
        <f ca="1">D99</f>
        <v>0.86065926499698775</v>
      </c>
      <c r="C24" t="e" vm="23">
        <v>#VALUE!</v>
      </c>
      <c r="D24" s="17" t="str" cm="1">
        <f t="array" aca="1" ref="D24" ca="1">_FV(RTData[[#This Row],[Company Name]],"Currency")</f>
        <v>USD</v>
      </c>
      <c r="E24" s="18" cm="1">
        <f t="array" aca="1" ref="E24" ca="1">_FV(RTData[[#This Row],[Company Name]],"Last trade time",TRUE)</f>
        <v>45953.934509282029</v>
      </c>
      <c r="F24" s="19" cm="1">
        <f t="array" aca="1" ref="F24" ca="1">_FV(RTData[[#This Row],[Company Name]],"Previous close",TRUE)</f>
        <v>23.09</v>
      </c>
      <c r="G24" s="19" cm="1">
        <f t="array" aca="1" ref="G24" ca="1">_FV(RTData[[#This Row],[Company Name]],"Open")</f>
        <v>23.14</v>
      </c>
      <c r="H24" s="19" cm="1">
        <f t="array" aca="1" ref="H24" ca="1">_FV(RTData[[#This Row],[Company Name]],"Price")</f>
        <v>23.2</v>
      </c>
      <c r="I24" s="19" cm="1">
        <f t="array" aca="1" ref="I24" ca="1">_FV(RTData[[#This Row],[Company Name]],"Low")</f>
        <v>23.055</v>
      </c>
      <c r="J24" s="19" cm="1">
        <f t="array" aca="1" ref="J24" ca="1">_FV(RTData[[#This Row],[Company Name]],"High")</f>
        <v>23.46</v>
      </c>
      <c r="K24" s="20" cm="1">
        <f t="array" aca="1" ref="K24" ca="1">IFERROR(_FV(RTData[[#This Row],[Company Name]],"P/E",TRUE),99)</f>
        <v>27.695499999999999</v>
      </c>
      <c r="L24" s="21" cm="1">
        <f t="array" aca="1" ref="L24" ca="1">_FV(RTData[[#This Row],[Company Name]],"Change")</f>
        <v>0.11</v>
      </c>
      <c r="M24" s="22" cm="1">
        <f t="array" aca="1" ref="M24" ca="1">_FV(RTData[[#This Row],[Company Name]],"Change (%)",TRUE)</f>
        <v>4.764E-3</v>
      </c>
      <c r="N24" s="19" cm="1">
        <f t="array" aca="1" ref="N24" ca="1">_FV(RTData[[#This Row],[Company Name]],"52 week low",TRUE)</f>
        <v>11.965</v>
      </c>
      <c r="O24" s="19" cm="1">
        <f t="array" aca="1" ref="O24" ca="1">_FV(RTData[[#This Row],[Company Name]],"52 week high",TRUE)</f>
        <v>26.44</v>
      </c>
      <c r="P24" s="23" cm="1">
        <f t="array" aca="1" ref="P24" ca="1">_FV(RTData[[#This Row],[Company Name]],"Volume")</f>
        <v>30704371</v>
      </c>
      <c r="Q24" s="23" cm="1">
        <f t="array" aca="1" ref="Q24" ca="1">_FV(RTData[[#This Row],[Company Name]],"Volume average",TRUE)</f>
        <v>34999770</v>
      </c>
      <c r="R24" s="19" cm="1">
        <f t="array" aca="1" ref="R24" ca="1">_FV(RTData[[#This Row],[Company Name]],"Beta")</f>
        <v>1.4474</v>
      </c>
      <c r="T24" t="s">
        <v>20</v>
      </c>
      <c r="U24" t="str" cm="1">
        <f t="array" aca="1" ref="U24" ca="1">_FV(RTData[[#This Row],[Company Name]],"Exchange abbreviation",TRUE)</f>
        <v>XNYS</v>
      </c>
      <c r="V24" s="24">
        <f ca="1">IFERROR(RTData[[#This Row],[Volume]]/RTData[[#This Row],[Volume average]],1)</f>
        <v>0.87727350779733693</v>
      </c>
      <c r="W24" s="24"/>
      <c r="X24" s="108">
        <f ca="1">_xlfn.XLOOKUP(RTData[[#This Row],[Ticker symbol]],[2]Sheet2!$B$2:$B$95,[2]Sheet2!$E$2:$E$95)</f>
        <v>26.040559999999999</v>
      </c>
      <c r="Y24" s="101">
        <f>_xlfn.LET(_xlpm.date,[2]Sheet2!F21,IF(_xlpm.date=0,"",_xlpm.date))</f>
        <v>45905</v>
      </c>
      <c r="Z24" s="101" t="str">
        <f>_xlfn.LET(_xlpm.date,[2]Sheet2!G21,IF(_xlpm.date=0,"",_xlpm.date))</f>
        <v>Oct 21, 2025</v>
      </c>
      <c r="AA24" s="102">
        <f>[2]Sheet2!$H21</f>
        <v>1.0800000000000001E-2</v>
      </c>
      <c r="AB24" s="103">
        <v>1E-4</v>
      </c>
      <c r="AC24" s="104">
        <v>3.0000000000000001E-3</v>
      </c>
      <c r="AD24" s="90">
        <v>56.25</v>
      </c>
      <c r="AE24" s="105">
        <f ca="1">_xlfn.LET(_xlpm.New1YT,RTData[[#This Row],[1YT]],        _xlpm.Old1YT,IF(ISNUMBER(RTData[[#This Row],[Old1YT]]),RTData[[#This Row],[Old1YT]],VALUE(LEFT(RTData[[#This Row],[Old1YT]],FIND("/",RTData[[#This Row],[Old1YT]],1)-1))),       IF(OR(RTData[[#This Row],[1YT]]=0,_xlpm.Old1YT=0),0,(_xlpm.New1YT-_xlpm.Old1YT)/_xlpm.Old1YT))</f>
        <v>-0.53705671111111108</v>
      </c>
      <c r="AF24" s="105" t="str">
        <f ca="1">TEXT(RTData[[#This Row],[1YT]],"#,#0.00")&amp;" &lt; "&amp;RTData[[#This Row],[Old1YT]]</f>
        <v>26.04 &lt; 56.25</v>
      </c>
    </row>
    <row r="25" spans="1:32" x14ac:dyDescent="0.3">
      <c r="A25" s="15" t="str" cm="1">
        <f t="array" aca="1" ref="A25" ca="1">_xlfn.SINGLE(RTData[suffix])&amp;_FV(RTData[[#This Row],[Company Name]],"Ticker symbol",TRUE)</f>
        <v>HPQ</v>
      </c>
      <c r="B25" s="15">
        <f ca="1">D99</f>
        <v>0.86065926499698775</v>
      </c>
      <c r="C25" t="e" vm="24">
        <v>#VALUE!</v>
      </c>
      <c r="D25" s="17" t="str" cm="1">
        <f t="array" aca="1" ref="D25" ca="1">_FV(RTData[[#This Row],[Company Name]],"Currency")</f>
        <v>USD</v>
      </c>
      <c r="E25" s="18" cm="1">
        <f t="array" aca="1" ref="E25" ca="1">_FV(RTData[[#This Row],[Company Name]],"Last trade time",TRUE)</f>
        <v>45953.918455856248</v>
      </c>
      <c r="F25" s="19" cm="1">
        <f t="array" aca="1" ref="F25" ca="1">_FV(RTData[[#This Row],[Company Name]],"Previous close",TRUE)</f>
        <v>27.66</v>
      </c>
      <c r="G25" s="19" cm="1">
        <f t="array" aca="1" ref="G25" ca="1">_FV(RTData[[#This Row],[Company Name]],"Open")</f>
        <v>27.78</v>
      </c>
      <c r="H25" s="19" cm="1">
        <f t="array" aca="1" ref="H25" ca="1">_FV(RTData[[#This Row],[Company Name]],"Price")</f>
        <v>27.83</v>
      </c>
      <c r="I25" s="19" cm="1">
        <f t="array" aca="1" ref="I25" ca="1">_FV(RTData[[#This Row],[Company Name]],"Low")</f>
        <v>27.664999999999999</v>
      </c>
      <c r="J25" s="19" cm="1">
        <f t="array" aca="1" ref="J25" ca="1">_FV(RTData[[#This Row],[Company Name]],"High")</f>
        <v>28.14</v>
      </c>
      <c r="K25" s="20" cm="1">
        <f t="array" aca="1" ref="K25" ca="1">IFERROR(_FV(RTData[[#This Row],[Company Name]],"P/E",TRUE),99)</f>
        <v>10.1381</v>
      </c>
      <c r="L25" s="21" cm="1">
        <f t="array" aca="1" ref="L25" ca="1">_FV(RTData[[#This Row],[Company Name]],"Change")</f>
        <v>0.17</v>
      </c>
      <c r="M25" s="22" cm="1">
        <f t="array" aca="1" ref="M25" ca="1">_FV(RTData[[#This Row],[Company Name]],"Change (%)",TRUE)</f>
        <v>6.1460000000000004E-3</v>
      </c>
      <c r="N25" s="19" cm="1">
        <f t="array" aca="1" ref="N25" ca="1">_FV(RTData[[#This Row],[Company Name]],"52 week low",TRUE)</f>
        <v>21.21</v>
      </c>
      <c r="O25" s="19" cm="1">
        <f t="array" aca="1" ref="O25" ca="1">_FV(RTData[[#This Row],[Company Name]],"52 week high",TRUE)</f>
        <v>39.795000000000002</v>
      </c>
      <c r="P25" s="23" cm="1">
        <f t="array" aca="1" ref="P25" ca="1">_FV(RTData[[#This Row],[Company Name]],"Volume")</f>
        <v>11798708</v>
      </c>
      <c r="Q25" s="23" cm="1">
        <f t="array" aca="1" ref="Q25" ca="1">_FV(RTData[[#This Row],[Company Name]],"Volume average",TRUE)</f>
        <v>11942687</v>
      </c>
      <c r="R25" s="19" cm="1">
        <f t="array" aca="1" ref="R25" ca="1">_FV(RTData[[#This Row],[Company Name]],"Beta")</f>
        <v>1.2943</v>
      </c>
      <c r="T25" t="s">
        <v>20</v>
      </c>
      <c r="U25" t="str" cm="1">
        <f t="array" aca="1" ref="U25" ca="1">_FV(RTData[[#This Row],[Company Name]],"Exchange abbreviation",TRUE)</f>
        <v>XNYS</v>
      </c>
      <c r="V25" s="24">
        <f ca="1">IFERROR(RTData[[#This Row],[Volume]]/RTData[[#This Row],[Volume average]],1)</f>
        <v>0.98794417035295323</v>
      </c>
      <c r="W25" s="24"/>
      <c r="X25" s="108">
        <f ca="1">_xlfn.XLOOKUP(RTData[[#This Row],[Ticker symbol]],[2]Sheet2!$B$2:$B$95,[2]Sheet2!$E$2:$E$95)</f>
        <v>28.16375</v>
      </c>
      <c r="Y25" s="101">
        <f>_xlfn.LET(_xlpm.date,[2]Sheet2!F22,IF(_xlpm.date=0,"",_xlpm.date))</f>
        <v>45918</v>
      </c>
      <c r="Z25" s="101" t="str">
        <f>_xlfn.LET(_xlpm.date,[2]Sheet2!G22,IF(_xlpm.date=0,"",_xlpm.date))</f>
        <v>Dec 4, 2025</v>
      </c>
      <c r="AA25" s="102">
        <f>[2]Sheet2!$H22</f>
        <v>2.1300000999999999E-2</v>
      </c>
      <c r="AB25" s="103">
        <v>1E-4</v>
      </c>
      <c r="AC25" s="104">
        <v>3.0000000000000001E-3</v>
      </c>
      <c r="AD25" s="90" t="s">
        <v>50</v>
      </c>
      <c r="AE25" s="105">
        <f ca="1">_xlfn.LET(_xlpm.New1YT,RTData[[#This Row],[1YT]],        _xlpm.Old1YT,IF(ISNUMBER(RTData[[#This Row],[Old1YT]]),RTData[[#This Row],[Old1YT]],VALUE(LEFT(RTData[[#This Row],[Old1YT]],FIND("/",RTData[[#This Row],[Old1YT]],1)-1))),       IF(OR(RTData[[#This Row],[1YT]]=0,_xlpm.Old1YT=0),0,(_xlpm.New1YT-_xlpm.Old1YT)/_xlpm.Old1YT))</f>
        <v>0.31177224033535172</v>
      </c>
      <c r="AF25" s="105" t="str">
        <f ca="1">TEXT(RTData[[#This Row],[1YT]],"#,#0.00")&amp;" &lt; "&amp;RTData[[#This Row],[Old1YT]]</f>
        <v>28.16 &lt; 21.47/20.14</v>
      </c>
    </row>
    <row r="26" spans="1:32" x14ac:dyDescent="0.3">
      <c r="A26" s="15" t="str" cm="1">
        <f t="array" aca="1" ref="A26" ca="1">_xlfn.SINGLE(RTData[suffix])&amp;_FV(RTData[[#This Row],[Company Name]],"Ticker symbol",TRUE)</f>
        <v>IAG</v>
      </c>
      <c r="B26" s="15">
        <f ca="1">D99</f>
        <v>0.86065926499698775</v>
      </c>
      <c r="C26" t="e" vm="25">
        <v>#VALUE!</v>
      </c>
      <c r="D26" s="17" t="str" cm="1">
        <f t="array" aca="1" ref="D26" ca="1">_FV(RTData[[#This Row],[Company Name]],"Currency")</f>
        <v>GBp</v>
      </c>
      <c r="E26" s="18" cm="1">
        <f t="array" aca="1" ref="E26" ca="1">_FV(RTData[[#This Row],[Company Name]],"Last trade time",TRUE)</f>
        <v>45953.638413425782</v>
      </c>
      <c r="F26" s="19" cm="1">
        <f t="array" aca="1" ref="F26" ca="1">_FV(RTData[[#This Row],[Company Name]],"Previous close",TRUE)</f>
        <v>402.6</v>
      </c>
      <c r="G26" s="19" cm="1">
        <f t="array" aca="1" ref="G26" ca="1">_FV(RTData[[#This Row],[Company Name]],"Open")</f>
        <v>400.5</v>
      </c>
      <c r="H26" s="19" cm="1">
        <f t="array" aca="1" ref="H26" ca="1">_FV(RTData[[#This Row],[Company Name]],"Price")</f>
        <v>403.5</v>
      </c>
      <c r="I26" s="19" cm="1">
        <f t="array" aca="1" ref="I26" ca="1">_FV(RTData[[#This Row],[Company Name]],"Low")</f>
        <v>398.9</v>
      </c>
      <c r="J26" s="19" cm="1">
        <f t="array" aca="1" ref="J26" ca="1">_FV(RTData[[#This Row],[Company Name]],"High")</f>
        <v>406.2</v>
      </c>
      <c r="K26" s="20" cm="1">
        <f t="array" aca="1" ref="K26" ca="1">IFERROR(_FV(RTData[[#This Row],[Company Name]],"P/E",TRUE),99)</f>
        <v>7.2526999999999999</v>
      </c>
      <c r="L26" s="21" cm="1">
        <f t="array" aca="1" ref="L26" ca="1">_FV(RTData[[#This Row],[Company Name]],"Change")</f>
        <v>0.9</v>
      </c>
      <c r="M26" s="22" cm="1">
        <f t="array" aca="1" ref="M26" ca="1">_FV(RTData[[#This Row],[Company Name]],"Change (%)",TRUE)</f>
        <v>2.235E-3</v>
      </c>
      <c r="N26" s="19" cm="1">
        <f t="array" aca="1" ref="N26" ca="1">_FV(RTData[[#This Row],[Company Name]],"52 week low",TRUE)</f>
        <v>207.2</v>
      </c>
      <c r="O26" s="19" cm="1">
        <f t="array" aca="1" ref="O26" ca="1">_FV(RTData[[#This Row],[Company Name]],"52 week high",TRUE)</f>
        <v>416</v>
      </c>
      <c r="P26" s="23" cm="1">
        <f t="array" aca="1" ref="P26" ca="1">_FV(RTData[[#This Row],[Company Name]],"Volume")</f>
        <v>9874009</v>
      </c>
      <c r="Q26" s="23" cm="1">
        <f t="array" aca="1" ref="Q26" ca="1">_FV(RTData[[#This Row],[Company Name]],"Volume average",TRUE)</f>
        <v>13633200</v>
      </c>
      <c r="R26" s="19" cm="1">
        <f t="array" aca="1" ref="R26" ca="1">_FV(RTData[[#This Row],[Company Name]],"Beta")</f>
        <v>2.8881999999999999</v>
      </c>
      <c r="T26" t="s">
        <v>20</v>
      </c>
      <c r="U26" t="str" cm="1">
        <f t="array" aca="1" ref="U26" ca="1">_FV(RTData[[#This Row],[Company Name]],"Exchange abbreviation",TRUE)</f>
        <v>XLON</v>
      </c>
      <c r="V26" s="24">
        <f ca="1">IFERROR(RTData[[#This Row],[Volume]]/RTData[[#This Row],[Volume average]],1)</f>
        <v>0.72426202212246571</v>
      </c>
      <c r="W26" s="24"/>
      <c r="X26" s="108">
        <f ca="1">_xlfn.XLOOKUP(RTData[[#This Row],[Ticker symbol]],[2]Sheet2!$B$2:$B$95,[2]Sheet2!$E$2:$E$95)</f>
        <v>438.45612</v>
      </c>
      <c r="Y26" s="101">
        <f>_xlfn.LET(_xlpm.date,[2]Sheet2!F23,IF(_xlpm.date=0,"",_xlpm.date))</f>
        <v>45910</v>
      </c>
      <c r="Z26" s="101" t="str">
        <f>_xlfn.LET(_xlpm.date,[2]Sheet2!G23,IF(_xlpm.date=0,"",_xlpm.date))</f>
        <v>Nov 25, 2025</v>
      </c>
      <c r="AA26" s="102">
        <f>[2]Sheet2!$H23</f>
        <v>4.5300002999999998E-2</v>
      </c>
      <c r="AB26" s="103">
        <v>1E-4</v>
      </c>
      <c r="AC26" s="104">
        <v>3.0000000000000001E-3</v>
      </c>
      <c r="AD26" s="90">
        <v>36.26</v>
      </c>
      <c r="AE26" s="105">
        <f ca="1">_xlfn.LET(_xlpm.New1YT,RTData[[#This Row],[1YT]],        _xlpm.Old1YT,IF(ISNUMBER(RTData[[#This Row],[Old1YT]]),RTData[[#This Row],[Old1YT]],VALUE(LEFT(RTData[[#This Row],[Old1YT]],FIND("/",RTData[[#This Row],[Old1YT]],1)-1))),       IF(OR(RTData[[#This Row],[1YT]]=0,_xlpm.Old1YT=0),0,(_xlpm.New1YT-_xlpm.Old1YT)/_xlpm.Old1YT))</f>
        <v>11.092005515719801</v>
      </c>
      <c r="AF26" s="105" t="str">
        <f ca="1">TEXT(RTData[[#This Row],[1YT]],"#,#0.00")&amp;" &lt; "&amp;RTData[[#This Row],[Old1YT]]</f>
        <v>438.46 &lt; 36.26</v>
      </c>
    </row>
    <row r="27" spans="1:32" x14ac:dyDescent="0.3">
      <c r="A27" s="15" t="str" cm="1">
        <f t="array" aca="1" ref="A27" ca="1">_xlfn.SINGLE(RTData[suffix])&amp;_FV(RTData[[#This Row],[Company Name]],"Ticker symbol",TRUE)</f>
        <v>KR</v>
      </c>
      <c r="B27" s="15">
        <f ca="1">D101/100</f>
        <v>1.1475786091347258E-2</v>
      </c>
      <c r="C27" t="e" vm="26">
        <v>#VALUE!</v>
      </c>
      <c r="D27" s="17" t="str" cm="1">
        <f t="array" aca="1" ref="D27" ca="1">_FV(RTData[[#This Row],[Company Name]],"Currency")</f>
        <v>USD</v>
      </c>
      <c r="E27" s="18" cm="1">
        <f t="array" aca="1" ref="E27" ca="1">_FV(RTData[[#This Row],[Company Name]],"Last trade time",TRUE)</f>
        <v>45953.922182673436</v>
      </c>
      <c r="F27" s="26" cm="1">
        <f t="array" aca="1" ref="F27" ca="1">_FV(RTData[[#This Row],[Company Name]],"Previous close",TRUE)</f>
        <v>68.599999999999994</v>
      </c>
      <c r="G27" s="26" cm="1">
        <f t="array" aca="1" ref="G27" ca="1">_FV(RTData[[#This Row],[Company Name]],"Open")</f>
        <v>68.680000000000007</v>
      </c>
      <c r="H27" s="26" cm="1">
        <f t="array" aca="1" ref="H27" ca="1">_FV(RTData[[#This Row],[Company Name]],"Price")</f>
        <v>68.66</v>
      </c>
      <c r="I27" s="26" cm="1">
        <f t="array" aca="1" ref="I27" ca="1">_FV(RTData[[#This Row],[Company Name]],"Low")</f>
        <v>68.185000000000002</v>
      </c>
      <c r="J27" s="26" cm="1">
        <f t="array" aca="1" ref="J27" ca="1">_FV(RTData[[#This Row],[Company Name]],"High")</f>
        <v>68.83</v>
      </c>
      <c r="K27" s="20" cm="1">
        <f t="array" aca="1" ref="K27" ca="1">IFERROR(_FV(RTData[[#This Row],[Company Name]],"P/E",TRUE),99)</f>
        <v>17.394600000000001</v>
      </c>
      <c r="L27" s="21" cm="1">
        <f t="array" aca="1" ref="L27" ca="1">_FV(RTData[[#This Row],[Company Name]],"Change")</f>
        <v>0.06</v>
      </c>
      <c r="M27" s="22" cm="1">
        <f t="array" aca="1" ref="M27" ca="1">_FV(RTData[[#This Row],[Company Name]],"Change (%)",TRUE)</f>
        <v>8.7460000000000001E-4</v>
      </c>
      <c r="N27" s="26" cm="1">
        <f t="array" aca="1" ref="N27" ca="1">_FV(RTData[[#This Row],[Company Name]],"52 week low",TRUE)</f>
        <v>55.6</v>
      </c>
      <c r="O27" s="26" cm="1">
        <f t="array" aca="1" ref="O27" ca="1">_FV(RTData[[#This Row],[Company Name]],"52 week high",TRUE)</f>
        <v>74.900000000000006</v>
      </c>
      <c r="P27" s="23" cm="1">
        <f t="array" aca="1" ref="P27" ca="1">_FV(RTData[[#This Row],[Company Name]],"Volume")</f>
        <v>5057449</v>
      </c>
      <c r="Q27" s="23" cm="1">
        <f t="array" aca="1" ref="Q27" ca="1">_FV(RTData[[#This Row],[Company Name]],"Volume average",TRUE)</f>
        <v>6931531</v>
      </c>
      <c r="R27" s="19" cm="1">
        <f t="array" aca="1" ref="R27" ca="1">_FV(RTData[[#This Row],[Company Name]],"Beta")</f>
        <v>0.55310000000000004</v>
      </c>
      <c r="T27" t="s">
        <v>20</v>
      </c>
      <c r="U27" t="str" cm="1">
        <f t="array" aca="1" ref="U27" ca="1">_FV(RTData[[#This Row],[Company Name]],"Exchange abbreviation",TRUE)</f>
        <v>XNYS</v>
      </c>
      <c r="V27" s="24">
        <f ca="1">IFERROR(RTData[[#This Row],[Volume]]/RTData[[#This Row],[Volume average]],1)</f>
        <v>0.72962942818837573</v>
      </c>
      <c r="W27" s="24"/>
      <c r="X27" s="108">
        <f ca="1">_xlfn.XLOOKUP(RTData[[#This Row],[Ticker symbol]],[2]Sheet2!$B$2:$B$95,[2]Sheet2!$E$2:$E$95)</f>
        <v>76.272729999999996</v>
      </c>
      <c r="Y27" s="101">
        <f>_xlfn.LET(_xlpm.date,[2]Sheet2!F24,IF(_xlpm.date=0,"",_xlpm.date))</f>
        <v>45834</v>
      </c>
      <c r="Z27" s="101" t="str">
        <f>_xlfn.LET(_xlpm.date,[2]Sheet2!G24,IF(_xlpm.date=0,"",_xlpm.date))</f>
        <v/>
      </c>
      <c r="AA27" s="102">
        <f>[2]Sheet2!$H24</f>
        <v>1.8800000000000001E-2</v>
      </c>
      <c r="AB27" s="103"/>
      <c r="AC27" s="104">
        <v>3.0000000000000001E-3</v>
      </c>
      <c r="AD27" s="90">
        <v>393.1</v>
      </c>
      <c r="AE27" s="105">
        <f ca="1">_xlfn.LET(_xlpm.New1YT,RTData[[#This Row],[1YT]],        _xlpm.Old1YT,IF(ISNUMBER(RTData[[#This Row],[Old1YT]]),RTData[[#This Row],[Old1YT]],VALUE(LEFT(RTData[[#This Row],[Old1YT]],FIND("/",RTData[[#This Row],[Old1YT]],1)-1))),       IF(OR(RTData[[#This Row],[1YT]]=0,_xlpm.Old1YT=0),0,(_xlpm.New1YT-_xlpm.Old1YT)/_xlpm.Old1YT))</f>
        <v>-0.80597117781734917</v>
      </c>
      <c r="AF27" s="105" t="str">
        <f ca="1">TEXT(RTData[[#This Row],[1YT]],"#,#0.00")&amp;" &lt; "&amp;RTData[[#This Row],[Old1YT]]</f>
        <v>76.27 &lt; 393.1</v>
      </c>
    </row>
    <row r="28" spans="1:32" x14ac:dyDescent="0.3">
      <c r="A28" s="15" t="str" cm="1">
        <f t="array" aca="1" ref="A28" ca="1">_xlfn.SINGLE(RTData[suffix])&amp;_FV(RTData[[#This Row],[Company Name]],"Ticker symbol",TRUE)</f>
        <v>LNSR</v>
      </c>
      <c r="B28" s="15">
        <f ca="1">D99</f>
        <v>0.86065926499698775</v>
      </c>
      <c r="C28" t="e" vm="27">
        <v>#VALUE!</v>
      </c>
      <c r="D28" s="17" t="str" cm="1">
        <f t="array" aca="1" ref="D28" ca="1">_FV(RTData[[#This Row],[Company Name]],"Currency")</f>
        <v>USD</v>
      </c>
      <c r="E28" s="18" cm="1">
        <f t="array" aca="1" ref="E28" ca="1">_FV(RTData[[#This Row],[Company Name]],"Last trade time",TRUE)</f>
        <v>45953.840324282028</v>
      </c>
      <c r="F28" s="19" cm="1">
        <f t="array" aca="1" ref="F28" ca="1">_FV(RTData[[#This Row],[Company Name]],"Previous close",TRUE)</f>
        <v>12.22</v>
      </c>
      <c r="G28" s="19" cm="1">
        <f t="array" aca="1" ref="G28" ca="1">_FV(RTData[[#This Row],[Company Name]],"Open")</f>
        <v>12.21</v>
      </c>
      <c r="H28" s="19" cm="1">
        <f t="array" aca="1" ref="H28" ca="1">_FV(RTData[[#This Row],[Company Name]],"Price")</f>
        <v>11.98</v>
      </c>
      <c r="I28" s="19" cm="1">
        <f t="array" aca="1" ref="I28" ca="1">_FV(RTData[[#This Row],[Company Name]],"Low")</f>
        <v>11.94</v>
      </c>
      <c r="J28" s="19" cm="1">
        <f t="array" aca="1" ref="J28" ca="1">_FV(RTData[[#This Row],[Company Name]],"High")</f>
        <v>12.262499999999999</v>
      </c>
      <c r="K28" s="20" cm="1">
        <f t="array" aca="1" ref="K28" ca="1">IFERROR(_FV(RTData[[#This Row],[Company Name]],"P/E",TRUE),99)</f>
        <v>0</v>
      </c>
      <c r="L28" s="21" cm="1">
        <f t="array" aca="1" ref="L28" ca="1">_FV(RTData[[#This Row],[Company Name]],"Change")</f>
        <v>-0.24</v>
      </c>
      <c r="M28" s="22" cm="1">
        <f t="array" aca="1" ref="M28" ca="1">_FV(RTData[[#This Row],[Company Name]],"Change (%)",TRUE)</f>
        <v>-1.9640000000000001E-2</v>
      </c>
      <c r="N28" s="19" cm="1">
        <f t="array" aca="1" ref="N28" ca="1">_FV(RTData[[#This Row],[Company Name]],"52 week low",TRUE)</f>
        <v>5.25</v>
      </c>
      <c r="O28" s="19" cm="1">
        <f t="array" aca="1" ref="O28" ca="1">_FV(RTData[[#This Row],[Company Name]],"52 week high",TRUE)</f>
        <v>17.309999999999999</v>
      </c>
      <c r="P28" s="23" cm="1">
        <f t="array" aca="1" ref="P28" ca="1">_FV(RTData[[#This Row],[Company Name]],"Volume")</f>
        <v>34351</v>
      </c>
      <c r="Q28" s="23" cm="1">
        <f t="array" aca="1" ref="Q28" ca="1">_FV(RTData[[#This Row],[Company Name]],"Volume average",TRUE)</f>
        <v>48423</v>
      </c>
      <c r="R28" s="19" cm="1">
        <f t="array" aca="1" ref="R28" ca="1">_FV(RTData[[#This Row],[Company Name]],"Beta")</f>
        <v>0.49099999999999999</v>
      </c>
      <c r="T28" t="s">
        <v>20</v>
      </c>
      <c r="U28" t="str" cm="1">
        <f t="array" aca="1" ref="U28" ca="1">_FV(RTData[[#This Row],[Company Name]],"Exchange abbreviation",TRUE)</f>
        <v>XNAS</v>
      </c>
      <c r="V28" s="24">
        <f ca="1">IFERROR(RTData[[#This Row],[Volume]]/RTData[[#This Row],[Volume average]],1)</f>
        <v>0.70939429609896121</v>
      </c>
      <c r="W28" s="24"/>
      <c r="X28" s="108">
        <f ca="1">_xlfn.XLOOKUP(RTData[[#This Row],[Ticker symbol]],[2]Sheet2!$B$2:$B$95,[2]Sheet2!$E$2:$E$95)</f>
        <v>15</v>
      </c>
      <c r="Y28" s="101">
        <f>_xlfn.LET(_xlpm.date,[2]Sheet2!F25,IF(_xlpm.date=0,"",_xlpm.date))</f>
        <v>45975</v>
      </c>
      <c r="Z28" s="101" t="str">
        <f>_xlfn.LET(_xlpm.date,[2]Sheet2!G25,IF(_xlpm.date=0,"",_xlpm.date))</f>
        <v>Dec 4, 2025</v>
      </c>
      <c r="AA28" s="102">
        <f>[2]Sheet2!$H25</f>
        <v>2.07E-2</v>
      </c>
      <c r="AB28" s="103">
        <v>1E-4</v>
      </c>
      <c r="AC28" s="104">
        <v>3.0000000000000001E-3</v>
      </c>
      <c r="AD28" s="90">
        <v>66.5</v>
      </c>
      <c r="AE28" s="105">
        <f ca="1">_xlfn.LET(_xlpm.New1YT,RTData[[#This Row],[1YT]],        _xlpm.Old1YT,IF(ISNUMBER(RTData[[#This Row],[Old1YT]]),RTData[[#This Row],[Old1YT]],VALUE(LEFT(RTData[[#This Row],[Old1YT]],FIND("/",RTData[[#This Row],[Old1YT]],1)-1))),       IF(OR(RTData[[#This Row],[1YT]]=0,_xlpm.Old1YT=0),0,(_xlpm.New1YT-_xlpm.Old1YT)/_xlpm.Old1YT))</f>
        <v>-0.77443609022556392</v>
      </c>
      <c r="AF28" s="105" t="str">
        <f ca="1">TEXT(RTData[[#This Row],[1YT]],"#,#0.00")&amp;" &lt; "&amp;RTData[[#This Row],[Old1YT]]</f>
        <v>15.00 &lt; 66.5</v>
      </c>
    </row>
    <row r="29" spans="1:32" x14ac:dyDescent="0.3">
      <c r="A29" s="15" t="str" cm="1">
        <f t="array" aca="1" ref="A29" ca="1">_xlfn.SINGLE(RTData[suffix])&amp;_FV(RTData[[#This Row],[Company Name]],"Ticker symbol",TRUE)</f>
        <v>LUMN</v>
      </c>
      <c r="B29" s="15">
        <f ca="1">D99</f>
        <v>0.86065926499698775</v>
      </c>
      <c r="C29" t="e" vm="28">
        <v>#VALUE!</v>
      </c>
      <c r="D29" s="17" t="str" cm="1">
        <f t="array" aca="1" ref="D29" ca="1">_FV(RTData[[#This Row],[Company Name]],"Currency")</f>
        <v>USD</v>
      </c>
      <c r="E29" s="18" cm="1">
        <f t="array" aca="1" ref="E29" ca="1">_FV(RTData[[#This Row],[Company Name]],"Last trade time",TRUE)</f>
        <v>45953.934978680467</v>
      </c>
      <c r="F29" s="19" cm="1">
        <f t="array" aca="1" ref="F29" ca="1">_FV(RTData[[#This Row],[Company Name]],"Previous close",TRUE)</f>
        <v>7.04</v>
      </c>
      <c r="G29" s="19" cm="1">
        <f t="array" aca="1" ref="G29" ca="1">_FV(RTData[[#This Row],[Company Name]],"Open")</f>
        <v>7.25</v>
      </c>
      <c r="H29" s="19" cm="1">
        <f t="array" aca="1" ref="H29" ca="1">_FV(RTData[[#This Row],[Company Name]],"Price")</f>
        <v>7.7850000000000001</v>
      </c>
      <c r="I29" s="19" cm="1">
        <f t="array" aca="1" ref="I29" ca="1">_FV(RTData[[#This Row],[Company Name]],"Low")</f>
        <v>7.2</v>
      </c>
      <c r="J29" s="19" cm="1">
        <f t="array" aca="1" ref="J29" ca="1">_FV(RTData[[#This Row],[Company Name]],"High")</f>
        <v>7.8250000000000002</v>
      </c>
      <c r="K29" s="20" cm="1">
        <f t="array" ref="K29">IFERROR(_FV(RTData[[#This Row],[Company Name]],"P/E",TRUE),99)</f>
        <v>99</v>
      </c>
      <c r="L29" s="21" cm="1">
        <f t="array" aca="1" ref="L29" ca="1">_FV(RTData[[#This Row],[Company Name]],"Change")</f>
        <v>0.745</v>
      </c>
      <c r="M29" s="22" cm="1">
        <f t="array" aca="1" ref="M29" ca="1">_FV(RTData[[#This Row],[Company Name]],"Change (%)",TRUE)</f>
        <v>0.105824</v>
      </c>
      <c r="N29" s="19" cm="1">
        <f t="array" aca="1" ref="N29" ca="1">_FV(RTData[[#This Row],[Company Name]],"52 week low",TRUE)</f>
        <v>3.01</v>
      </c>
      <c r="O29" s="19" cm="1">
        <f t="array" aca="1" ref="O29" ca="1">_FV(RTData[[#This Row],[Company Name]],"52 week high",TRUE)</f>
        <v>10.33</v>
      </c>
      <c r="P29" s="23" cm="1">
        <f t="array" aca="1" ref="P29" ca="1">_FV(RTData[[#This Row],[Company Name]],"Volume")</f>
        <v>24120829</v>
      </c>
      <c r="Q29" s="23" cm="1">
        <f t="array" aca="1" ref="Q29" ca="1">_FV(RTData[[#This Row],[Company Name]],"Volume average",TRUE)</f>
        <v>15456859</v>
      </c>
      <c r="R29" s="19" cm="1">
        <f t="array" aca="1" ref="R29" ca="1">_FV(RTData[[#This Row],[Company Name]],"Beta")</f>
        <v>1.3926000000000001</v>
      </c>
      <c r="T29" t="s">
        <v>20</v>
      </c>
      <c r="U29" t="str" cm="1">
        <f t="array" aca="1" ref="U29" ca="1">_FV(RTData[[#This Row],[Company Name]],"Exchange abbreviation",TRUE)</f>
        <v>XNYS</v>
      </c>
      <c r="V29" s="24">
        <f ca="1">IFERROR(RTData[[#This Row],[Volume]]/RTData[[#This Row],[Volume average]],1)</f>
        <v>1.5605259128002655</v>
      </c>
      <c r="W29" s="24"/>
      <c r="X29" s="108">
        <f ca="1">_xlfn.XLOOKUP(RTData[[#This Row],[Ticker symbol]],[2]Sheet2!$B$2:$B$95,[2]Sheet2!$E$2:$E$95)</f>
        <v>5.2436400000000001</v>
      </c>
      <c r="Y29" s="101" t="str">
        <f>_xlfn.LET(_xlpm.date,[2]Sheet2!F26,IF(_xlpm.date=0,"",_xlpm.date))</f>
        <v/>
      </c>
      <c r="Z29" s="101" t="str">
        <f>_xlfn.LET(_xlpm.date,[2]Sheet2!G26,IF(_xlpm.date=0,"",_xlpm.date))</f>
        <v/>
      </c>
      <c r="AA29" s="102">
        <f>[2]Sheet2!$H26</f>
        <v>0</v>
      </c>
      <c r="AB29" s="103">
        <v>1E-4</v>
      </c>
      <c r="AC29" s="104">
        <v>3.0000000000000001E-3</v>
      </c>
      <c r="AD29" s="90">
        <v>15.5</v>
      </c>
      <c r="AE29" s="105">
        <f ca="1">_xlfn.LET(_xlpm.New1YT,RTData[[#This Row],[1YT]],        _xlpm.Old1YT,IF(ISNUMBER(RTData[[#This Row],[Old1YT]]),RTData[[#This Row],[Old1YT]],VALUE(LEFT(RTData[[#This Row],[Old1YT]],FIND("/",RTData[[#This Row],[Old1YT]],1)-1))),       IF(OR(RTData[[#This Row],[1YT]]=0,_xlpm.Old1YT=0),0,(_xlpm.New1YT-_xlpm.Old1YT)/_xlpm.Old1YT))</f>
        <v>-0.66170064516129035</v>
      </c>
      <c r="AF29" s="105" t="str">
        <f ca="1">TEXT(RTData[[#This Row],[1YT]],"#,#0.00")&amp;" &lt; "&amp;RTData[[#This Row],[Old1YT]]</f>
        <v>5.24 &lt; 15.5</v>
      </c>
    </row>
    <row r="30" spans="1:32" x14ac:dyDescent="0.3">
      <c r="A30" s="15" t="str" cm="1">
        <f t="array" aca="1" ref="A30" ca="1">_xlfn.SINGLE(RTData[suffix])&amp;_FV(RTData[[#This Row],[Company Name]],"Ticker symbol",TRUE)</f>
        <v>MRNA</v>
      </c>
      <c r="B30" s="15">
        <f ca="1">D99</f>
        <v>0.86065926499698775</v>
      </c>
      <c r="C30" t="e" vm="29">
        <v>#VALUE!</v>
      </c>
      <c r="D30" s="17" t="str" cm="1">
        <f t="array" aca="1" ref="D30" ca="1">_FV(RTData[[#This Row],[Company Name]],"Currency")</f>
        <v>USD</v>
      </c>
      <c r="E30" s="18" cm="1">
        <f t="array" aca="1" ref="E30" ca="1">_FV(RTData[[#This Row],[Company Name]],"Last trade time",TRUE)</f>
        <v>45953.935325763283</v>
      </c>
      <c r="F30" s="19" cm="1">
        <f t="array" aca="1" ref="F30" ca="1">_FV(RTData[[#This Row],[Company Name]],"Previous close",TRUE)</f>
        <v>26.85</v>
      </c>
      <c r="G30" s="19" cm="1">
        <f t="array" aca="1" ref="G30" ca="1">_FV(RTData[[#This Row],[Company Name]],"Open")</f>
        <v>25.82</v>
      </c>
      <c r="H30" s="19" cm="1">
        <f t="array" aca="1" ref="H30" ca="1">_FV(RTData[[#This Row],[Company Name]],"Price")</f>
        <v>26.25</v>
      </c>
      <c r="I30" s="19" cm="1">
        <f t="array" aca="1" ref="I30" ca="1">_FV(RTData[[#This Row],[Company Name]],"Low")</f>
        <v>25.57</v>
      </c>
      <c r="J30" s="19" cm="1">
        <f t="array" aca="1" ref="J30" ca="1">_FV(RTData[[#This Row],[Company Name]],"High")</f>
        <v>26.67</v>
      </c>
      <c r="K30" s="20" cm="1">
        <f t="array" aca="1" ref="K30" ca="1">IFERROR(_FV(RTData[[#This Row],[Company Name]],"P/E",TRUE),99)</f>
        <v>0</v>
      </c>
      <c r="L30" s="21" cm="1">
        <f t="array" aca="1" ref="L30" ca="1">_FV(RTData[[#This Row],[Company Name]],"Change")</f>
        <v>-0.6</v>
      </c>
      <c r="M30" s="22" cm="1">
        <f t="array" aca="1" ref="M30" ca="1">_FV(RTData[[#This Row],[Company Name]],"Change (%)",TRUE)</f>
        <v>-2.2345999999999998E-2</v>
      </c>
      <c r="N30" s="19" cm="1">
        <f t="array" aca="1" ref="N30" ca="1">_FV(RTData[[#This Row],[Company Name]],"52 week low",TRUE)</f>
        <v>23.15</v>
      </c>
      <c r="O30" s="19" cm="1">
        <f t="array" aca="1" ref="O30" ca="1">_FV(RTData[[#This Row],[Company Name]],"52 week high",TRUE)</f>
        <v>57.69</v>
      </c>
      <c r="P30" s="23" cm="1">
        <f t="array" aca="1" ref="P30" ca="1">_FV(RTData[[#This Row],[Company Name]],"Volume")</f>
        <v>8717204</v>
      </c>
      <c r="Q30" s="23" cm="1">
        <f t="array" aca="1" ref="Q30" ca="1">_FV(RTData[[#This Row],[Company Name]],"Volume average",TRUE)</f>
        <v>9899919</v>
      </c>
      <c r="R30" s="19" cm="1">
        <f t="array" aca="1" ref="R30" ca="1">_FV(RTData[[#This Row],[Company Name]],"Beta")</f>
        <v>2.0123000000000002</v>
      </c>
      <c r="T30" t="s">
        <v>20</v>
      </c>
      <c r="U30" t="str" cm="1">
        <f t="array" aca="1" ref="U30" ca="1">_FV(RTData[[#This Row],[Company Name]],"Exchange abbreviation",TRUE)</f>
        <v>XNAS</v>
      </c>
      <c r="V30" s="24">
        <f ca="1">IFERROR(RTData[[#This Row],[Volume]]/RTData[[#This Row],[Volume average]],1)</f>
        <v>0.88053286092542782</v>
      </c>
      <c r="W30" s="24"/>
      <c r="X30" s="108">
        <f ca="1">_xlfn.XLOOKUP(RTData[[#This Row],[Ticker symbol]],[2]Sheet2!$B$2:$B$95,[2]Sheet2!$E$2:$E$95)</f>
        <v>44.3</v>
      </c>
      <c r="Y30" s="101">
        <f>_xlfn.LET(_xlpm.date,[2]Sheet2!F27,IF(_xlpm.date=0,"",_xlpm.date))</f>
        <v>44802</v>
      </c>
      <c r="Z30" s="101" t="str">
        <f>_xlfn.LET(_xlpm.date,[2]Sheet2!G27,IF(_xlpm.date=0,"",_xlpm.date))</f>
        <v>Jul 31, 2025</v>
      </c>
      <c r="AA30" s="102">
        <f>[2]Sheet2!$H27</f>
        <v>0</v>
      </c>
      <c r="AB30" s="103">
        <v>1E-4</v>
      </c>
      <c r="AC30" s="104">
        <v>3.0000000000000001E-3</v>
      </c>
      <c r="AD30" s="90">
        <v>4.62</v>
      </c>
      <c r="AE30" s="105">
        <f ca="1">_xlfn.LET(_xlpm.New1YT,RTData[[#This Row],[1YT]],        _xlpm.Old1YT,IF(ISNUMBER(RTData[[#This Row],[Old1YT]]),RTData[[#This Row],[Old1YT]],VALUE(LEFT(RTData[[#This Row],[Old1YT]],FIND("/",RTData[[#This Row],[Old1YT]],1)-1))),       IF(OR(RTData[[#This Row],[1YT]]=0,_xlpm.Old1YT=0),0,(_xlpm.New1YT-_xlpm.Old1YT)/_xlpm.Old1YT))</f>
        <v>8.5887445887445892</v>
      </c>
      <c r="AF30" s="105" t="str">
        <f ca="1">TEXT(RTData[[#This Row],[1YT]],"#,#0.00")&amp;" &lt; "&amp;RTData[[#This Row],[Old1YT]]</f>
        <v>44.30 &lt; 4.62</v>
      </c>
    </row>
    <row r="31" spans="1:32" x14ac:dyDescent="0.3">
      <c r="A31" s="15" t="str" cm="1">
        <f t="array" aca="1" ref="A31" ca="1">_xlfn.SINGLE(RTData[suffix])&amp;_FV(RTData[[#This Row],[Company Name]],"Ticker symbol",TRUE)</f>
        <v>MSFT</v>
      </c>
      <c r="B31" s="15">
        <f ca="1">D99</f>
        <v>0.86065926499698775</v>
      </c>
      <c r="C31" t="e" vm="30">
        <v>#VALUE!</v>
      </c>
      <c r="D31" s="17" t="str" cm="1">
        <f t="array" aca="1" ref="D31" ca="1">_FV(RTData[[#This Row],[Company Name]],"Currency")</f>
        <v>USD</v>
      </c>
      <c r="E31" s="18" cm="1">
        <f t="array" aca="1" ref="E31" ca="1">_FV(RTData[[#This Row],[Company Name]],"Last trade time",TRUE)</f>
        <v>45953.935077939066</v>
      </c>
      <c r="F31" s="19" cm="1">
        <f t="array" aca="1" ref="F31" ca="1">_FV(RTData[[#This Row],[Company Name]],"Previous close",TRUE)</f>
        <v>520.54</v>
      </c>
      <c r="G31" s="19" cm="1">
        <f t="array" aca="1" ref="G31" ca="1">_FV(RTData[[#This Row],[Company Name]],"Open")</f>
        <v>522.46</v>
      </c>
      <c r="H31" s="19" cm="1">
        <f t="array" aca="1" ref="H31" ca="1">_FV(RTData[[#This Row],[Company Name]],"Price")</f>
        <v>520.55999999999995</v>
      </c>
      <c r="I31" s="19" cm="1">
        <f t="array" aca="1" ref="I31" ca="1">_FV(RTData[[#This Row],[Company Name]],"Low")</f>
        <v>518.61</v>
      </c>
      <c r="J31" s="19" cm="1">
        <f t="array" aca="1" ref="J31" ca="1">_FV(RTData[[#This Row],[Company Name]],"High")</f>
        <v>523.95000000000005</v>
      </c>
      <c r="K31" s="20" cm="1">
        <f t="array" aca="1" ref="K31" ca="1">IFERROR(_FV(RTData[[#This Row],[Company Name]],"P/E",TRUE),99)</f>
        <v>38.161099999999998</v>
      </c>
      <c r="L31" s="21" cm="1">
        <f t="array" aca="1" ref="L31" ca="1">_FV(RTData[[#This Row],[Company Name]],"Change")</f>
        <v>0.02</v>
      </c>
      <c r="M31" s="22" cm="1">
        <f t="array" aca="1" ref="M31" ca="1">_FV(RTData[[#This Row],[Company Name]],"Change (%)",TRUE)</f>
        <v>3.8420000000000001E-5</v>
      </c>
      <c r="N31" s="19" cm="1">
        <f t="array" aca="1" ref="N31" ca="1">_FV(RTData[[#This Row],[Company Name]],"52 week low",TRUE)</f>
        <v>344.79</v>
      </c>
      <c r="O31" s="19" cm="1">
        <f t="array" aca="1" ref="O31" ca="1">_FV(RTData[[#This Row],[Company Name]],"52 week high",TRUE)</f>
        <v>555.45000000000005</v>
      </c>
      <c r="P31" s="23" cm="1">
        <f t="array" aca="1" ref="P31" ca="1">_FV(RTData[[#This Row],[Company Name]],"Volume")</f>
        <v>13990542</v>
      </c>
      <c r="Q31" s="23" cm="1">
        <f t="array" aca="1" ref="Q31" ca="1">_FV(RTData[[#This Row],[Company Name]],"Volume average",TRUE)</f>
        <v>18927730</v>
      </c>
      <c r="R31" s="19" cm="1">
        <f t="array" aca="1" ref="R31" ca="1">_FV(RTData[[#This Row],[Company Name]],"Beta")</f>
        <v>1.0199</v>
      </c>
      <c r="T31" t="s">
        <v>20</v>
      </c>
      <c r="U31" t="str" cm="1">
        <f t="array" aca="1" ref="U31" ca="1">_FV(RTData[[#This Row],[Company Name]],"Exchange abbreviation",TRUE)</f>
        <v>XNAS</v>
      </c>
      <c r="V31" s="24">
        <f ca="1">IFERROR(RTData[[#This Row],[Volume]]/RTData[[#This Row],[Volume average]],1)</f>
        <v>0.73915583115355088</v>
      </c>
      <c r="W31" s="24"/>
      <c r="X31" s="108">
        <f ca="1">_xlfn.XLOOKUP(RTData[[#This Row],[Ticker symbol]],[2]Sheet2!$B$2:$B$95,[2]Sheet2!$E$2:$E$95)</f>
        <v>620.73689999999999</v>
      </c>
      <c r="Y31" s="101" t="str">
        <f>_xlfn.LET(_xlpm.date,[2]Sheet2!F28,IF(_xlpm.date=0,"",_xlpm.date))</f>
        <v/>
      </c>
      <c r="Z31" s="101" t="str">
        <f>_xlfn.LET(_xlpm.date,[2]Sheet2!G28,IF(_xlpm.date=0,"",_xlpm.date))</f>
        <v>Nov 6, 2025</v>
      </c>
      <c r="AA31" s="102">
        <f>[2]Sheet2!$H28</f>
        <v>0</v>
      </c>
      <c r="AB31" s="103">
        <v>1E-4</v>
      </c>
      <c r="AC31" s="104">
        <v>3.0000000000000001E-3</v>
      </c>
      <c r="AD31" s="90">
        <v>99.83</v>
      </c>
      <c r="AE31" s="105">
        <f ca="1">_xlfn.LET(_xlpm.New1YT,RTData[[#This Row],[1YT]],        _xlpm.Old1YT,IF(ISNUMBER(RTData[[#This Row],[Old1YT]]),RTData[[#This Row],[Old1YT]],VALUE(LEFT(RTData[[#This Row],[Old1YT]],FIND("/",RTData[[#This Row],[Old1YT]],1)-1))),       IF(OR(RTData[[#This Row],[1YT]]=0,_xlpm.Old1YT=0),0,(_xlpm.New1YT-_xlpm.Old1YT)/_xlpm.Old1YT))</f>
        <v>5.2179394971451467</v>
      </c>
      <c r="AF31" s="105" t="str">
        <f ca="1">TEXT(RTData[[#This Row],[1YT]],"#,#0.00")&amp;" &lt; "&amp;RTData[[#This Row],[Old1YT]]</f>
        <v>620.74 &lt; 99.83</v>
      </c>
    </row>
    <row r="32" spans="1:32" x14ac:dyDescent="0.3">
      <c r="A32" s="15" t="str" cm="1">
        <f t="array" aca="1" ref="A32" ca="1">_xlfn.SINGLE(RTData[suffix])&amp;_FV(RTData[[#This Row],[Company Name]],"Ticker symbol",TRUE)</f>
        <v>NEE</v>
      </c>
      <c r="B32" s="15">
        <f ca="1">D99</f>
        <v>0.86065926499698775</v>
      </c>
      <c r="C32" t="e" vm="31">
        <v>#VALUE!</v>
      </c>
      <c r="D32" s="17" t="str" cm="1">
        <f t="array" aca="1" ref="D32" ca="1">_FV(RTData[[#This Row],[Company Name]],"Currency")</f>
        <v>USD</v>
      </c>
      <c r="E32" s="18" cm="1">
        <f t="array" aca="1" ref="E32" ca="1">_FV(RTData[[#This Row],[Company Name]],"Last trade time",TRUE)</f>
        <v>45953.93288987266</v>
      </c>
      <c r="F32" s="19" cm="1">
        <f t="array" aca="1" ref="F32" ca="1">_FV(RTData[[#This Row],[Company Name]],"Previous close",TRUE)</f>
        <v>82.84</v>
      </c>
      <c r="G32" s="19" cm="1">
        <f t="array" aca="1" ref="G32" ca="1">_FV(RTData[[#This Row],[Company Name]],"Open")</f>
        <v>83.89</v>
      </c>
      <c r="H32" s="19" cm="1">
        <f t="array" aca="1" ref="H32" ca="1">_FV(RTData[[#This Row],[Company Name]],"Price")</f>
        <v>83.27</v>
      </c>
      <c r="I32" s="19" cm="1">
        <f t="array" aca="1" ref="I32" ca="1">_FV(RTData[[#This Row],[Company Name]],"Low")</f>
        <v>82.57</v>
      </c>
      <c r="J32" s="19" cm="1">
        <f t="array" aca="1" ref="J32" ca="1">_FV(RTData[[#This Row],[Company Name]],"High")</f>
        <v>83.89</v>
      </c>
      <c r="K32" s="20" cm="1">
        <f t="array" aca="1" ref="K32" ca="1">IFERROR(_FV(RTData[[#This Row],[Company Name]],"P/E",TRUE),99)</f>
        <v>31.142900000000001</v>
      </c>
      <c r="L32" s="21" cm="1">
        <f t="array" aca="1" ref="L32" ca="1">_FV(RTData[[#This Row],[Company Name]],"Change")</f>
        <v>0.43</v>
      </c>
      <c r="M32" s="22" cm="1">
        <f t="array" aca="1" ref="M32" ca="1">_FV(RTData[[#This Row],[Company Name]],"Change (%)",TRUE)</f>
        <v>5.1910000000000003E-3</v>
      </c>
      <c r="N32" s="19" cm="1">
        <f t="array" aca="1" ref="N32" ca="1">_FV(RTData[[#This Row],[Company Name]],"52 week low",TRUE)</f>
        <v>61.72</v>
      </c>
      <c r="O32" s="19" cm="1">
        <f t="array" aca="1" ref="O32" ca="1">_FV(RTData[[#This Row],[Company Name]],"52 week high",TRUE)</f>
        <v>86.74</v>
      </c>
      <c r="P32" s="23" cm="1">
        <f t="array" aca="1" ref="P32" ca="1">_FV(RTData[[#This Row],[Company Name]],"Volume")</f>
        <v>5627402</v>
      </c>
      <c r="Q32" s="23" cm="1">
        <f t="array" aca="1" ref="Q32" ca="1">_FV(RTData[[#This Row],[Company Name]],"Volume average",TRUE)</f>
        <v>10353590</v>
      </c>
      <c r="R32" s="19" cm="1">
        <f t="array" aca="1" ref="R32" ca="1">_FV(RTData[[#This Row],[Company Name]],"Beta")</f>
        <v>0.67279999999999995</v>
      </c>
      <c r="T32" t="s">
        <v>20</v>
      </c>
      <c r="U32" t="str" cm="1">
        <f t="array" aca="1" ref="U32" ca="1">_FV(RTData[[#This Row],[Company Name]],"Exchange abbreviation",TRUE)</f>
        <v>XNYS</v>
      </c>
      <c r="V32" s="24">
        <f ca="1">IFERROR(RTData[[#This Row],[Volume]]/RTData[[#This Row],[Volume average]],1)</f>
        <v>0.54352181224097151</v>
      </c>
      <c r="W32" s="24"/>
      <c r="X32" s="108">
        <f ca="1">_xlfn.XLOOKUP(RTData[[#This Row],[Ticker symbol]],[2]Sheet2!$B$2:$B$95,[2]Sheet2!$E$2:$E$95)</f>
        <v>84.722219999999993</v>
      </c>
      <c r="Y32" s="101">
        <f>_xlfn.LET(_xlpm.date,[2]Sheet2!F29,IF(_xlpm.date=0,"",_xlpm.date))</f>
        <v>45981</v>
      </c>
      <c r="Z32" s="101" t="str">
        <f>_xlfn.LET(_xlpm.date,[2]Sheet2!G29,IF(_xlpm.date=0,"",_xlpm.date))</f>
        <v>Oct 29, 2025</v>
      </c>
      <c r="AA32" s="102">
        <f>[2]Sheet2!$H29</f>
        <v>7.0999996000000003E-3</v>
      </c>
      <c r="AB32" s="103">
        <v>1E-4</v>
      </c>
      <c r="AC32" s="104">
        <v>3.0000000000000001E-3</v>
      </c>
      <c r="AD32" s="90">
        <v>505.94</v>
      </c>
      <c r="AE32" s="105">
        <f ca="1">_xlfn.LET(_xlpm.New1YT,RTData[[#This Row],[1YT]],        _xlpm.Old1YT,IF(ISNUMBER(RTData[[#This Row],[Old1YT]]),RTData[[#This Row],[Old1YT]],VALUE(LEFT(RTData[[#This Row],[Old1YT]],FIND("/",RTData[[#This Row],[Old1YT]],1)-1))),       IF(OR(RTData[[#This Row],[1YT]]=0,_xlpm.Old1YT=0),0,(_xlpm.New1YT-_xlpm.Old1YT)/_xlpm.Old1YT))</f>
        <v>-0.83254492627584298</v>
      </c>
      <c r="AF32" s="105" t="str">
        <f ca="1">TEXT(RTData[[#This Row],[1YT]],"#,#0.00")&amp;" &lt; "&amp;RTData[[#This Row],[Old1YT]]</f>
        <v>84.72 &lt; 505.94</v>
      </c>
    </row>
    <row r="33" spans="1:33" x14ac:dyDescent="0.3">
      <c r="A33" s="15" t="str" cm="1">
        <f t="array" aca="1" ref="A33" ca="1">_xlfn.SINGLE(RTData[suffix])&amp;_FV(RTData[[#This Row],[Company Name]],"Ticker symbol",TRUE)</f>
        <v>NEM</v>
      </c>
      <c r="B33" s="15">
        <f ca="1">D99</f>
        <v>0.86065926499698775</v>
      </c>
      <c r="C33" t="e" vm="32">
        <v>#VALUE!</v>
      </c>
      <c r="D33" s="17" t="str" cm="1">
        <f t="array" aca="1" ref="D33" ca="1">_FV(RTData[[#This Row],[Company Name]],"Currency")</f>
        <v>USD</v>
      </c>
      <c r="E33" s="18" cm="1">
        <f t="array" aca="1" ref="E33" ca="1">_FV(RTData[[#This Row],[Company Name]],"Last trade time",TRUE)</f>
        <v>45953.935389189064</v>
      </c>
      <c r="F33" s="19" cm="1">
        <f t="array" aca="1" ref="F33" ca="1">_FV(RTData[[#This Row],[Company Name]],"Previous close",TRUE)</f>
        <v>87.01</v>
      </c>
      <c r="G33" s="19" cm="1">
        <f t="array" aca="1" ref="G33" ca="1">_FV(RTData[[#This Row],[Company Name]],"Open")</f>
        <v>89.15</v>
      </c>
      <c r="H33" s="19" cm="1">
        <f t="array" aca="1" ref="H33" ca="1">_FV(RTData[[#This Row],[Company Name]],"Price")</f>
        <v>88.86</v>
      </c>
      <c r="I33" s="19" cm="1">
        <f t="array" aca="1" ref="I33" ca="1">_FV(RTData[[#This Row],[Company Name]],"Low")</f>
        <v>87.27</v>
      </c>
      <c r="J33" s="19" cm="1">
        <f t="array" aca="1" ref="J33" ca="1">_FV(RTData[[#This Row],[Company Name]],"High")</f>
        <v>90.19</v>
      </c>
      <c r="K33" s="20" cm="1">
        <f t="array" aca="1" ref="K33" ca="1">IFERROR(_FV(RTData[[#This Row],[Company Name]],"P/E",TRUE),99)</f>
        <v>15.748900000000001</v>
      </c>
      <c r="L33" s="21" cm="1">
        <f t="array" aca="1" ref="L33" ca="1">_FV(RTData[[#This Row],[Company Name]],"Change")</f>
        <v>1.85</v>
      </c>
      <c r="M33" s="22" cm="1">
        <f t="array" aca="1" ref="M33" ca="1">_FV(RTData[[#This Row],[Company Name]],"Change (%)",TRUE)</f>
        <v>2.1262E-2</v>
      </c>
      <c r="N33" s="19" cm="1">
        <f t="array" aca="1" ref="N33" ca="1">_FV(RTData[[#This Row],[Company Name]],"52 week low",TRUE)</f>
        <v>36.86</v>
      </c>
      <c r="O33" s="19" cm="1">
        <f t="array" aca="1" ref="O33" ca="1">_FV(RTData[[#This Row],[Company Name]],"52 week high",TRUE)</f>
        <v>98.578000000000003</v>
      </c>
      <c r="P33" s="23" cm="1">
        <f t="array" aca="1" ref="P33" ca="1">_FV(RTData[[#This Row],[Company Name]],"Volume")</f>
        <v>14556714</v>
      </c>
      <c r="Q33" s="23" cm="1">
        <f t="array" aca="1" ref="Q33" ca="1">_FV(RTData[[#This Row],[Company Name]],"Volume average",TRUE)</f>
        <v>12944738</v>
      </c>
      <c r="R33" s="19" cm="1">
        <f t="array" aca="1" ref="R33" ca="1">_FV(RTData[[#This Row],[Company Name]],"Beta")</f>
        <v>0.35349999999999998</v>
      </c>
      <c r="T33" t="s">
        <v>20</v>
      </c>
      <c r="U33" t="str" cm="1">
        <f t="array" aca="1" ref="U33" ca="1">_FV(RTData[[#This Row],[Company Name]],"Exchange abbreviation",TRUE)</f>
        <v>XNYS</v>
      </c>
      <c r="V33" s="24">
        <f ca="1">IFERROR(RTData[[#This Row],[Volume]]/RTData[[#This Row],[Volume average]],1)</f>
        <v>1.1245275107151647</v>
      </c>
      <c r="W33" s="24"/>
      <c r="X33" s="108">
        <f ca="1">_xlfn.XLOOKUP(RTData[[#This Row],[Ticker symbol]],[2]Sheet2!$B$2:$B$95,[2]Sheet2!$E$2:$E$95)</f>
        <v>91.209500000000006</v>
      </c>
      <c r="Y33" s="101">
        <f>_xlfn.LET(_xlpm.date,[2]Sheet2!F30,IF(_xlpm.date=0,"",_xlpm.date))</f>
        <v>45897</v>
      </c>
      <c r="Z33" s="101" t="str">
        <f>_xlfn.LET(_xlpm.date,[2]Sheet2!G30,IF(_xlpm.date=0,"",_xlpm.date))</f>
        <v>Oct 23, 2025</v>
      </c>
      <c r="AA33" s="102">
        <f>[2]Sheet2!$H30</f>
        <v>2.7199999999999998E-2</v>
      </c>
      <c r="AB33" s="103">
        <v>1E-4</v>
      </c>
      <c r="AC33" s="104">
        <v>3.0000000000000001E-3</v>
      </c>
      <c r="AD33" s="90" t="s">
        <v>54</v>
      </c>
      <c r="AE33" s="105">
        <f ca="1">_xlfn.LET(_xlpm.New1YT,RTData[[#This Row],[1YT]],        _xlpm.Old1YT,IF(ISNUMBER(RTData[[#This Row],[Old1YT]]),RTData[[#This Row],[Old1YT]],VALUE(LEFT(RTData[[#This Row],[Old1YT]],FIND("/",RTData[[#This Row],[Old1YT]],1)-1))),       IF(OR(RTData[[#This Row],[1YT]]=0,_xlpm.Old1YT=0),0,(_xlpm.New1YT-_xlpm.Old1YT)/_xlpm.Old1YT))</f>
        <v>0.1246547472256475</v>
      </c>
      <c r="AF33" s="105" t="str">
        <f ca="1">TEXT(RTData[[#This Row],[1YT]],"#,#0.00")&amp;" &lt; "&amp;RTData[[#This Row],[Old1YT]]</f>
        <v>91.21 &lt; 81.10/84.6</v>
      </c>
    </row>
    <row r="34" spans="1:33" x14ac:dyDescent="0.3">
      <c r="A34" s="15" t="str" cm="1">
        <f t="array" aca="1" ref="A34" ca="1">_xlfn.SINGLE(RTData[suffix])&amp;_FV(RTData[[#This Row],[Company Name]],"Ticker symbol",TRUE)</f>
        <v>NFLX</v>
      </c>
      <c r="B34" s="15">
        <f ca="1">D99</f>
        <v>0.86065926499698775</v>
      </c>
      <c r="C34" t="e" vm="33">
        <v>#VALUE!</v>
      </c>
      <c r="D34" s="17" t="str" cm="1">
        <f t="array" aca="1" ref="D34" ca="1">_FV(RTData[[#This Row],[Company Name]],"Currency")</f>
        <v>USD</v>
      </c>
      <c r="E34" s="18" cm="1">
        <f t="array" aca="1" ref="E34" ca="1">_FV(RTData[[#This Row],[Company Name]],"Last trade time",TRUE)</f>
        <v>45953.935361943753</v>
      </c>
      <c r="F34" s="19" cm="1">
        <f t="array" aca="1" ref="F34" ca="1">_FV(RTData[[#This Row],[Company Name]],"Previous close",TRUE)</f>
        <v>1116.3699999999999</v>
      </c>
      <c r="G34" s="19" cm="1">
        <f t="array" aca="1" ref="G34" ca="1">_FV(RTData[[#This Row],[Company Name]],"Open")</f>
        <v>1126.9000000000001</v>
      </c>
      <c r="H34" s="19" cm="1">
        <f t="array" aca="1" ref="H34" ca="1">_FV(RTData[[#This Row],[Company Name]],"Price")</f>
        <v>1113.5899999999999</v>
      </c>
      <c r="I34" s="19" cm="1">
        <f t="array" aca="1" ref="I34" ca="1">_FV(RTData[[#This Row],[Company Name]],"Low")</f>
        <v>1099.73</v>
      </c>
      <c r="J34" s="19" cm="1">
        <f t="array" aca="1" ref="J34" ca="1">_FV(RTData[[#This Row],[Company Name]],"High")</f>
        <v>1127.8285000000001</v>
      </c>
      <c r="K34" s="20" cm="1">
        <f t="array" aca="1" ref="K34" ca="1">IFERROR(_FV(RTData[[#This Row],[Company Name]],"P/E",TRUE),99)</f>
        <v>46.636200000000002</v>
      </c>
      <c r="L34" s="21" cm="1">
        <f t="array" aca="1" ref="L34" ca="1">_FV(RTData[[#This Row],[Company Name]],"Change")</f>
        <v>-2.78</v>
      </c>
      <c r="M34" s="22" cm="1">
        <f t="array" aca="1" ref="M34" ca="1">_FV(RTData[[#This Row],[Company Name]],"Change (%)",TRUE)</f>
        <v>-2.49E-3</v>
      </c>
      <c r="N34" s="19" cm="1">
        <f t="array" aca="1" ref="N34" ca="1">_FV(RTData[[#This Row],[Company Name]],"52 week low",TRUE)</f>
        <v>744.26</v>
      </c>
      <c r="O34" s="19" cm="1">
        <f t="array" aca="1" ref="O34" ca="1">_FV(RTData[[#This Row],[Company Name]],"52 week high",TRUE)</f>
        <v>1341.15</v>
      </c>
      <c r="P34" s="23" cm="1">
        <f t="array" aca="1" ref="P34" ca="1">_FV(RTData[[#This Row],[Company Name]],"Volume")</f>
        <v>6837622</v>
      </c>
      <c r="Q34" s="23" cm="1">
        <f t="array" aca="1" ref="Q34" ca="1">_FV(RTData[[#This Row],[Company Name]],"Volume average",TRUE)</f>
        <v>3713183</v>
      </c>
      <c r="R34" s="19" cm="1">
        <f t="array" aca="1" ref="R34" ca="1">_FV(RTData[[#This Row],[Company Name]],"Beta")</f>
        <v>1.5895999999999999</v>
      </c>
      <c r="T34" t="s">
        <v>20</v>
      </c>
      <c r="U34" t="str" cm="1">
        <f t="array" aca="1" ref="U34" ca="1">_FV(RTData[[#This Row],[Company Name]],"Exchange abbreviation",TRUE)</f>
        <v>XNAS</v>
      </c>
      <c r="V34" s="24">
        <f ca="1">IFERROR(RTData[[#This Row],[Volume]]/RTData[[#This Row],[Volume average]],1)</f>
        <v>1.8414449274382652</v>
      </c>
      <c r="W34" s="24"/>
      <c r="X34" s="108">
        <f ca="1">_xlfn.XLOOKUP(RTData[[#This Row],[Ticker symbol]],[2]Sheet2!$B$2:$B$95,[2]Sheet2!$E$2:$E$95)</f>
        <v>1358.6105</v>
      </c>
      <c r="Y34" s="101">
        <f>_xlfn.LET(_xlpm.date,[2]Sheet2!F31,IF(_xlpm.date=0,"",_xlpm.date))</f>
        <v>45904</v>
      </c>
      <c r="Z34" s="101" t="str">
        <f>_xlfn.LET(_xlpm.date,[2]Sheet2!G31,IF(_xlpm.date=0,"",_xlpm.date))</f>
        <v>Oct 23, 2025</v>
      </c>
      <c r="AA34" s="102">
        <f>[2]Sheet2!$H31</f>
        <v>1.17E-2</v>
      </c>
      <c r="AB34" s="103">
        <v>1E-4</v>
      </c>
      <c r="AC34" s="104">
        <v>3.0000000000000001E-3</v>
      </c>
      <c r="AD34" s="90">
        <v>59.51</v>
      </c>
      <c r="AE34" s="105">
        <f ca="1">_xlfn.LET(_xlpm.New1YT,RTData[[#This Row],[1YT]],        _xlpm.Old1YT,IF(ISNUMBER(RTData[[#This Row],[Old1YT]]),RTData[[#This Row],[Old1YT]],VALUE(LEFT(RTData[[#This Row],[Old1YT]],FIND("/",RTData[[#This Row],[Old1YT]],1)-1))),       IF(OR(RTData[[#This Row],[1YT]]=0,_xlpm.Old1YT=0),0,(_xlpm.New1YT-_xlpm.Old1YT)/_xlpm.Old1YT))</f>
        <v>21.829952949084188</v>
      </c>
      <c r="AF34" s="105" t="str">
        <f ca="1">TEXT(RTData[[#This Row],[1YT]],"#,#0.00")&amp;" &lt; "&amp;RTData[[#This Row],[Old1YT]]</f>
        <v>1,358.61 &lt; 59.51</v>
      </c>
    </row>
    <row r="35" spans="1:33" x14ac:dyDescent="0.3">
      <c r="A35" s="15" t="str" cm="1">
        <f t="array" aca="1" ref="A35" ca="1">_xlfn.SINGLE(RTData[suffix])&amp;_FV(RTData[[#This Row],[Company Name]],"Ticker symbol",TRUE)</f>
        <v>NOTE</v>
      </c>
      <c r="B35" s="15">
        <f ca="1">D99</f>
        <v>0.86065926499698775</v>
      </c>
      <c r="C35" t="e" vm="34">
        <v>#VALUE!</v>
      </c>
      <c r="D35" s="17" t="str" cm="1">
        <f t="array" aca="1" ref="D35" ca="1">_FV(RTData[[#This Row],[Company Name]],"Currency")</f>
        <v>USD</v>
      </c>
      <c r="E35" s="18" cm="1">
        <f t="array" aca="1" ref="E35" ca="1">_FV(RTData[[#This Row],[Company Name]],"Last trade time",TRUE)</f>
        <v>45953.923083714843</v>
      </c>
      <c r="F35" s="19" cm="1">
        <f t="array" aca="1" ref="F35" ca="1">_FV(RTData[[#This Row],[Company Name]],"Previous close",TRUE)</f>
        <v>4.24</v>
      </c>
      <c r="G35" s="19" cm="1">
        <f t="array" aca="1" ref="G35" ca="1">_FV(RTData[[#This Row],[Company Name]],"Open")</f>
        <v>4.2699999999999996</v>
      </c>
      <c r="H35" s="19" cm="1">
        <f t="array" aca="1" ref="H35" ca="1">_FV(RTData[[#This Row],[Company Name]],"Price")</f>
        <v>4.45</v>
      </c>
      <c r="I35" s="19" cm="1">
        <f t="array" aca="1" ref="I35" ca="1">_FV(RTData[[#This Row],[Company Name]],"Low")</f>
        <v>4.2693000000000003</v>
      </c>
      <c r="J35" s="19" cm="1">
        <f t="array" aca="1" ref="J35" ca="1">_FV(RTData[[#This Row],[Company Name]],"High")</f>
        <v>4.47</v>
      </c>
      <c r="K35" s="20" cm="1">
        <f t="array" ref="K35">IFERROR(_FV(RTData[[#This Row],[Company Name]],"P/E",TRUE),99)</f>
        <v>99</v>
      </c>
      <c r="L35" s="21" cm="1">
        <f t="array" aca="1" ref="L35" ca="1">_FV(RTData[[#This Row],[Company Name]],"Change")</f>
        <v>0.21</v>
      </c>
      <c r="M35" s="22" cm="1">
        <f t="array" aca="1" ref="M35" ca="1">_FV(RTData[[#This Row],[Company Name]],"Change (%)",TRUE)</f>
        <v>4.9527999999999996E-2</v>
      </c>
      <c r="N35" s="19" cm="1">
        <f t="array" aca="1" ref="N35" ca="1">_FV(RTData[[#This Row],[Company Name]],"52 week low",TRUE)</f>
        <v>3.8</v>
      </c>
      <c r="O35" s="19" cm="1">
        <f t="array" aca="1" ref="O35" ca="1">_FV(RTData[[#This Row],[Company Name]],"52 week high",TRUE)</f>
        <v>24.36</v>
      </c>
      <c r="P35" s="23" cm="1">
        <f t="array" aca="1" ref="P35" ca="1">_FV(RTData[[#This Row],[Company Name]],"Volume")</f>
        <v>192635</v>
      </c>
      <c r="Q35" s="23" cm="1">
        <f t="array" aca="1" ref="Q35" ca="1">_FV(RTData[[#This Row],[Company Name]],"Volume average",TRUE)</f>
        <v>275085</v>
      </c>
      <c r="R35" s="19" cm="1">
        <f t="array" aca="1" ref="R35" ca="1">_FV(RTData[[#This Row],[Company Name]],"Beta")</f>
        <v>0.55130000000000001</v>
      </c>
      <c r="T35" t="s">
        <v>20</v>
      </c>
      <c r="U35" t="str" cm="1">
        <f t="array" aca="1" ref="U35" ca="1">_FV(RTData[[#This Row],[Company Name]],"Exchange abbreviation",TRUE)</f>
        <v>XNYS</v>
      </c>
      <c r="V35" s="24">
        <f ca="1">IFERROR(RTData[[#This Row],[Volume]]/RTData[[#This Row],[Volume average]],1)</f>
        <v>0.70027446062126253</v>
      </c>
      <c r="W35" s="24"/>
      <c r="X35" s="108">
        <f ca="1">_xlfn.XLOOKUP(RTData[[#This Row],[Ticker symbol]],[2]Sheet2!$B$2:$B$95,[2]Sheet2!$E$2:$E$95)</f>
        <v>31.501080000000002</v>
      </c>
      <c r="Y35" s="101" t="str">
        <f>_xlfn.LET(_xlpm.date,[2]Sheet2!F32,IF(_xlpm.date=0,"",_xlpm.date))</f>
        <v/>
      </c>
      <c r="Z35" s="101" t="str">
        <f>_xlfn.LET(_xlpm.date,[2]Sheet2!G32,IF(_xlpm.date=0,"",_xlpm.date))</f>
        <v>Oct 21, 2025</v>
      </c>
      <c r="AA35" s="102">
        <f>[2]Sheet2!$H32</f>
        <v>0</v>
      </c>
      <c r="AB35" s="103">
        <v>1E-4</v>
      </c>
      <c r="AC35" s="104">
        <v>3.0000000000000001E-3</v>
      </c>
      <c r="AD35" s="90">
        <v>764.34</v>
      </c>
      <c r="AE35" s="105">
        <f ca="1">_xlfn.LET(_xlpm.New1YT,RTData[[#This Row],[1YT]],        _xlpm.Old1YT,IF(ISNUMBER(RTData[[#This Row],[Old1YT]]),RTData[[#This Row],[Old1YT]],VALUE(LEFT(RTData[[#This Row],[Old1YT]],FIND("/",RTData[[#This Row],[Old1YT]],1)-1))),       IF(OR(RTData[[#This Row],[1YT]]=0,_xlpm.Old1YT=0),0,(_xlpm.New1YT-_xlpm.Old1YT)/_xlpm.Old1YT))</f>
        <v>-0.95878656095454906</v>
      </c>
      <c r="AF35" s="105" t="str">
        <f ca="1">TEXT(RTData[[#This Row],[1YT]],"#,#0.00")&amp;" &lt; "&amp;RTData[[#This Row],[Old1YT]]</f>
        <v>31.50 &lt; 764.34</v>
      </c>
    </row>
    <row r="36" spans="1:33" x14ac:dyDescent="0.3">
      <c r="A36" s="40" t="str" cm="1">
        <f t="array" aca="1" ref="A36" ca="1">_xlfn.SINGLE(RTData[suffix])&amp;_FV(RTData[[#This Row],[Company Name]],"Ticker symbol",TRUE)</f>
        <v>PAAS</v>
      </c>
      <c r="B36" s="40">
        <f ca="1">D99</f>
        <v>0.86065926499698775</v>
      </c>
      <c r="C36" t="e" vm="35">
        <v>#VALUE!</v>
      </c>
      <c r="D36" s="17" t="str" cm="1">
        <f t="array" aca="1" ref="D36" ca="1">_FV(RTData[[#This Row],[Company Name]],"Currency")</f>
        <v>USD</v>
      </c>
      <c r="E36" s="18" cm="1">
        <f t="array" aca="1" ref="E36" ca="1">_FV(RTData[[#This Row],[Company Name]],"Last trade time",TRUE)</f>
        <v>45953.932166562503</v>
      </c>
      <c r="F36" s="19" cm="1">
        <f t="array" aca="1" ref="F36" ca="1">_FV(RTData[[#This Row],[Company Name]],"Previous close",TRUE)</f>
        <v>35.880000000000003</v>
      </c>
      <c r="G36" s="19" cm="1">
        <f t="array" aca="1" ref="G36" ca="1">_FV(RTData[[#This Row],[Company Name]],"Open")</f>
        <v>36.950000000000003</v>
      </c>
      <c r="H36" s="19" cm="1">
        <f t="array" aca="1" ref="H36" ca="1">_FV(RTData[[#This Row],[Company Name]],"Price")</f>
        <v>36.21</v>
      </c>
      <c r="I36" s="19" cm="1">
        <f t="array" aca="1" ref="I36" ca="1">_FV(RTData[[#This Row],[Company Name]],"Low")</f>
        <v>36.119999999999997</v>
      </c>
      <c r="J36" s="19" cm="1">
        <f t="array" aca="1" ref="J36" ca="1">_FV(RTData[[#This Row],[Company Name]],"High")</f>
        <v>37</v>
      </c>
      <c r="K36" s="20" cm="1">
        <f t="array" aca="1" ref="K36" ca="1">IFERROR(_FV(RTData[[#This Row],[Company Name]],"P/E",TRUE),99)</f>
        <v>25.140599999999999</v>
      </c>
      <c r="L36" s="21" cm="1">
        <f t="array" aca="1" ref="L36" ca="1">_FV(RTData[[#This Row],[Company Name]],"Change")</f>
        <v>0.33</v>
      </c>
      <c r="M36" s="22" cm="1">
        <f t="array" aca="1" ref="M36" ca="1">_FV(RTData[[#This Row],[Company Name]],"Change (%)",TRUE)</f>
        <v>9.1970000000000003E-3</v>
      </c>
      <c r="N36" s="19" cm="1">
        <f t="array" aca="1" ref="N36" ca="1">_FV(RTData[[#This Row],[Company Name]],"52 week low",TRUE)</f>
        <v>19.8017</v>
      </c>
      <c r="O36" s="19" cm="1">
        <f t="array" aca="1" ref="O36" ca="1">_FV(RTData[[#This Row],[Company Name]],"52 week high",TRUE)</f>
        <v>42.57</v>
      </c>
      <c r="P36" s="23" cm="1">
        <f t="array" aca="1" ref="P36" ca="1">_FV(RTData[[#This Row],[Company Name]],"Volume")</f>
        <v>3606541</v>
      </c>
      <c r="Q36" s="23" cm="1">
        <f t="array" aca="1" ref="Q36" ca="1">_FV(RTData[[#This Row],[Company Name]],"Volume average",TRUE)</f>
        <v>7546484</v>
      </c>
      <c r="R36" s="19" cm="1">
        <f t="array" aca="1" ref="R36" ca="1">_FV(RTData[[#This Row],[Company Name]],"Beta")</f>
        <v>0.89970000000000006</v>
      </c>
      <c r="T36" t="s">
        <v>20</v>
      </c>
      <c r="U36" t="str" cm="1">
        <f t="array" aca="1" ref="U36" ca="1">_FV(RTData[[#This Row],[Company Name]],"Exchange abbreviation",TRUE)</f>
        <v>XNYS</v>
      </c>
      <c r="V36" s="24">
        <f ca="1">IFERROR(RTData[[#This Row],[Volume]]/RTData[[#This Row],[Volume average]],1)</f>
        <v>0.47791011019171314</v>
      </c>
      <c r="W36" s="24"/>
      <c r="X36" s="108">
        <f ca="1">_xlfn.XLOOKUP(RTData[[#This Row],[Ticker symbol]],[2]Sheet2!$B$2:$B$95,[2]Sheet2!$E$2:$E$95)</f>
        <v>44.5</v>
      </c>
      <c r="Y36" s="101" t="str">
        <f>_xlfn.LET(_xlpm.date,[2]Sheet2!F33,IF(_xlpm.date=0,"",_xlpm.date))</f>
        <v/>
      </c>
      <c r="Z36" s="101" t="str">
        <f>_xlfn.LET(_xlpm.date,[2]Sheet2!G33,IF(_xlpm.date=0,"",_xlpm.date))</f>
        <v/>
      </c>
      <c r="AA36" s="102">
        <f>[2]Sheet2!$H33</f>
        <v>0</v>
      </c>
      <c r="AB36" s="103">
        <v>1E-4</v>
      </c>
      <c r="AC36" s="104">
        <v>3.0000000000000001E-3</v>
      </c>
      <c r="AD36" s="90">
        <v>31.5</v>
      </c>
      <c r="AE36" s="105">
        <f ca="1">_xlfn.LET(_xlpm.New1YT,RTData[[#This Row],[1YT]],        _xlpm.Old1YT,IF(ISNUMBER(RTData[[#This Row],[Old1YT]]),RTData[[#This Row],[Old1YT]],VALUE(LEFT(RTData[[#This Row],[Old1YT]],FIND("/",RTData[[#This Row],[Old1YT]],1)-1))),       IF(OR(RTData[[#This Row],[1YT]]=0,_xlpm.Old1YT=0),0,(_xlpm.New1YT-_xlpm.Old1YT)/_xlpm.Old1YT))</f>
        <v>0.41269841269841268</v>
      </c>
      <c r="AF36" s="105" t="str">
        <f ca="1">TEXT(RTData[[#This Row],[1YT]],"#,#0.00")&amp;" &lt; "&amp;RTData[[#This Row],[Old1YT]]</f>
        <v>44.50 &lt; 31.5</v>
      </c>
    </row>
    <row r="37" spans="1:33" x14ac:dyDescent="0.3">
      <c r="A37" s="15" t="str" cm="1">
        <f t="array" aca="1" ref="A37" ca="1">_xlfn.SINGLE(RTData[suffix])&amp;_FV(RTData[[#This Row],[Company Name]],"Ticker symbol",TRUE)</f>
        <v>PROF</v>
      </c>
      <c r="B37" s="15">
        <f ca="1">D99</f>
        <v>0.86065926499698775</v>
      </c>
      <c r="C37" t="e" vm="36">
        <v>#VALUE!</v>
      </c>
      <c r="D37" s="17" t="str" cm="1">
        <f t="array" aca="1" ref="D37" ca="1">_FV(RTData[[#This Row],[Company Name]],"Currency")</f>
        <v>USD</v>
      </c>
      <c r="E37" s="18" cm="1">
        <f t="array" aca="1" ref="E37" ca="1">_FV(RTData[[#This Row],[Company Name]],"Last trade time",TRUE)</f>
        <v>45953.836210126559</v>
      </c>
      <c r="F37" s="19" cm="1">
        <f t="array" aca="1" ref="F37" ca="1">_FV(RTData[[#This Row],[Company Name]],"Previous close",TRUE)</f>
        <v>5.42</v>
      </c>
      <c r="G37" s="19" cm="1">
        <f t="array" aca="1" ref="G37" ca="1">_FV(RTData[[#This Row],[Company Name]],"Open")</f>
        <v>5.6</v>
      </c>
      <c r="H37" s="19" cm="1">
        <f t="array" aca="1" ref="H37" ca="1">_FV(RTData[[#This Row],[Company Name]],"Price")</f>
        <v>5.306</v>
      </c>
      <c r="I37" s="19" cm="1">
        <f t="array" aca="1" ref="I37" ca="1">_FV(RTData[[#This Row],[Company Name]],"Low")</f>
        <v>5.3</v>
      </c>
      <c r="J37" s="19" cm="1">
        <f t="array" aca="1" ref="J37" ca="1">_FV(RTData[[#This Row],[Company Name]],"High")</f>
        <v>5.6</v>
      </c>
      <c r="K37" s="20" cm="1">
        <f t="array" aca="1" ref="K37" ca="1">IFERROR(_FV(RTData[[#This Row],[Company Name]],"P/E",TRUE),99)</f>
        <v>0</v>
      </c>
      <c r="L37" s="21" cm="1">
        <f t="array" aca="1" ref="L37" ca="1">_FV(RTData[[#This Row],[Company Name]],"Change")</f>
        <v>-0.114</v>
      </c>
      <c r="M37" s="22" cm="1">
        <f t="array" aca="1" ref="M37" ca="1">_FV(RTData[[#This Row],[Company Name]],"Change (%)",TRUE)</f>
        <v>-2.1033E-2</v>
      </c>
      <c r="N37" s="19" cm="1">
        <f t="array" aca="1" ref="N37" ca="1">_FV(RTData[[#This Row],[Company Name]],"52 week low",TRUE)</f>
        <v>3.76</v>
      </c>
      <c r="O37" s="19" cm="1">
        <f t="array" aca="1" ref="O37" ca="1">_FV(RTData[[#This Row],[Company Name]],"52 week high",TRUE)</f>
        <v>9.17</v>
      </c>
      <c r="P37" s="23" cm="1">
        <f t="array" aca="1" ref="P37" ca="1">_FV(RTData[[#This Row],[Company Name]],"Volume")</f>
        <v>41970</v>
      </c>
      <c r="Q37" s="23" cm="1">
        <f t="array" aca="1" ref="Q37" ca="1">_FV(RTData[[#This Row],[Company Name]],"Volume average",TRUE)</f>
        <v>147943</v>
      </c>
      <c r="R37" s="19" cm="1">
        <f t="array" aca="1" ref="R37" ca="1">_FV(RTData[[#This Row],[Company Name]],"Beta")</f>
        <v>0.35460000000000003</v>
      </c>
      <c r="T37" t="s">
        <v>20</v>
      </c>
      <c r="U37" t="str" cm="1">
        <f t="array" aca="1" ref="U37" ca="1">_FV(RTData[[#This Row],[Company Name]],"Exchange abbreviation",TRUE)</f>
        <v>XNAS</v>
      </c>
      <c r="V37" s="24">
        <f ca="1">IFERROR(RTData[[#This Row],[Volume]]/RTData[[#This Row],[Volume average]],1)</f>
        <v>0.28369034019859002</v>
      </c>
      <c r="W37" s="24"/>
      <c r="X37" s="108">
        <f ca="1">_xlfn.XLOOKUP(RTData[[#This Row],[Ticker symbol]],[2]Sheet2!$B$2:$B$95,[2]Sheet2!$E$2:$E$95)</f>
        <v>12.1</v>
      </c>
      <c r="Y37" s="101">
        <f>_xlfn.LET(_xlpm.date,[2]Sheet2!F34,IF(_xlpm.date=0,"",_xlpm.date))</f>
        <v>45887</v>
      </c>
      <c r="Z37" s="101" t="str">
        <f>_xlfn.LET(_xlpm.date,[2]Sheet2!G34,IF(_xlpm.date=0,"",_xlpm.date))</f>
        <v>Nov 12, 2025</v>
      </c>
      <c r="AA37" s="102">
        <f>[2]Sheet2!$H34</f>
        <v>1.2500000000000001E-2</v>
      </c>
      <c r="AB37" s="103">
        <v>1E-4</v>
      </c>
      <c r="AC37" s="104">
        <v>3.0000000000000001E-3</v>
      </c>
      <c r="AD37" s="90">
        <v>36.49</v>
      </c>
      <c r="AE37" s="105">
        <f ca="1">_xlfn.LET(_xlpm.New1YT,RTData[[#This Row],[1YT]],        _xlpm.Old1YT,IF(ISNUMBER(RTData[[#This Row],[Old1YT]]),RTData[[#This Row],[Old1YT]],VALUE(LEFT(RTData[[#This Row],[Old1YT]],FIND("/",RTData[[#This Row],[Old1YT]],1)-1))),       IF(OR(RTData[[#This Row],[1YT]]=0,_xlpm.Old1YT=0),0,(_xlpm.New1YT-_xlpm.Old1YT)/_xlpm.Old1YT))</f>
        <v>-0.66840230200054807</v>
      </c>
      <c r="AF37" s="105" t="str">
        <f ca="1">TEXT(RTData[[#This Row],[1YT]],"#,#0.00")&amp;" &lt; "&amp;RTData[[#This Row],[Old1YT]]</f>
        <v>12.10 &lt; 36.49</v>
      </c>
    </row>
    <row r="38" spans="1:33" x14ac:dyDescent="0.3">
      <c r="A38" s="15" t="str" cm="1">
        <f t="array" aca="1" ref="A38" ca="1">_xlfn.SINGLE(RTData[suffix])&amp;_FV(RTData[[#This Row],[Company Name]],"Ticker symbol",TRUE)</f>
        <v>POET</v>
      </c>
      <c r="B38" s="15">
        <f ca="1">D99</f>
        <v>0.86065926499698775</v>
      </c>
      <c r="C38" t="e" vm="37">
        <v>#VALUE!</v>
      </c>
      <c r="D38" s="17" t="str" cm="1">
        <f t="array" aca="1" ref="D38" ca="1">_FV(RTData[[#This Row],[Company Name]],"Currency")</f>
        <v>USD</v>
      </c>
      <c r="E38" s="18" cm="1">
        <f t="array" aca="1" ref="E38" ca="1">_FV(RTData[[#This Row],[Company Name]],"Last trade time",TRUE)</f>
        <v>45953.934156515628</v>
      </c>
      <c r="F38" s="19" cm="1">
        <f t="array" aca="1" ref="F38" ca="1">_FV(RTData[[#This Row],[Company Name]],"Previous close",TRUE)</f>
        <v>7.37</v>
      </c>
      <c r="G38" s="19" cm="1">
        <f t="array" aca="1" ref="G38" ca="1">_FV(RTData[[#This Row],[Company Name]],"Open")</f>
        <v>7.2750000000000004</v>
      </c>
      <c r="H38" s="19" cm="1">
        <f t="array" aca="1" ref="H38" ca="1">_FV(RTData[[#This Row],[Company Name]],"Price")</f>
        <v>7.31</v>
      </c>
      <c r="I38" s="19" cm="1">
        <f t="array" aca="1" ref="I38" ca="1">_FV(RTData[[#This Row],[Company Name]],"Low")</f>
        <v>7.12</v>
      </c>
      <c r="J38" s="19" cm="1">
        <f t="array" aca="1" ref="J38" ca="1">_FV(RTData[[#This Row],[Company Name]],"High")</f>
        <v>7.9398999999999997</v>
      </c>
      <c r="K38" s="20" cm="1">
        <f t="array" aca="1" ref="K38" ca="1">IFERROR(_FV(RTData[[#This Row],[Company Name]],"P/E",TRUE),99)</f>
        <v>0</v>
      </c>
      <c r="L38" s="21" cm="1">
        <f t="array" aca="1" ref="L38" ca="1">_FV(RTData[[#This Row],[Company Name]],"Change")</f>
        <v>-0.06</v>
      </c>
      <c r="M38" s="22" cm="1">
        <f t="array" aca="1" ref="M38" ca="1">_FV(RTData[[#This Row],[Company Name]],"Change (%)",TRUE)</f>
        <v>-8.1410000000000007E-3</v>
      </c>
      <c r="N38" s="19" cm="1">
        <f t="array" aca="1" ref="N38" ca="1">_FV(RTData[[#This Row],[Company Name]],"52 week low",TRUE)</f>
        <v>3.09</v>
      </c>
      <c r="O38" s="19" cm="1">
        <f t="array" aca="1" ref="O38" ca="1">_FV(RTData[[#This Row],[Company Name]],"52 week high",TRUE)</f>
        <v>9.41</v>
      </c>
      <c r="P38" s="23" cm="1">
        <f t="array" aca="1" ref="P38" ca="1">_FV(RTData[[#This Row],[Company Name]],"Volume")</f>
        <v>11145913</v>
      </c>
      <c r="Q38" s="23" cm="1">
        <f t="array" aca="1" ref="Q38" ca="1">_FV(RTData[[#This Row],[Company Name]],"Volume average",TRUE)</f>
        <v>14172675</v>
      </c>
      <c r="R38" s="19" cm="1">
        <f t="array" aca="1" ref="R38" ca="1">_FV(RTData[[#This Row],[Company Name]],"Beta")</f>
        <v>0.36149999999999999</v>
      </c>
      <c r="T38" t="s">
        <v>20</v>
      </c>
      <c r="U38" t="str" cm="1">
        <f t="array" aca="1" ref="U38" ca="1">_FV(RTData[[#This Row],[Company Name]],"Exchange abbreviation",TRUE)</f>
        <v>XNAS</v>
      </c>
      <c r="V38" s="24">
        <f ca="1">IFERROR(RTData[[#This Row],[Volume]]/RTData[[#This Row],[Volume average]],1)</f>
        <v>0.78643678769180836</v>
      </c>
      <c r="W38" s="24"/>
      <c r="X38" s="108">
        <f ca="1">_xlfn.XLOOKUP(RTData[[#This Row],[Ticker symbol]],[2]Sheet2!$B$2:$B$95,[2]Sheet2!$E$2:$E$95)</f>
        <v>6.6333299999999999</v>
      </c>
      <c r="Y38" s="101" t="str">
        <f>_xlfn.LET(_xlpm.date,[2]Sheet2!F35,IF(_xlpm.date=0,"",_xlpm.date))</f>
        <v/>
      </c>
      <c r="Z38" s="101" t="str">
        <f>_xlfn.LET(_xlpm.date,[2]Sheet2!G35,IF(_xlpm.date=0,"",_xlpm.date))</f>
        <v/>
      </c>
      <c r="AA38" s="102">
        <f>[2]Sheet2!$H35</f>
        <v>0</v>
      </c>
      <c r="AB38" s="103">
        <v>1E-4</v>
      </c>
      <c r="AC38" s="104">
        <v>3.0000000000000001E-3</v>
      </c>
      <c r="AD38" s="90">
        <v>15.17</v>
      </c>
      <c r="AE38" s="105">
        <f ca="1">_xlfn.LET(_xlpm.New1YT,RTData[[#This Row],[1YT]],        _xlpm.Old1YT,IF(ISNUMBER(RTData[[#This Row],[Old1YT]]),RTData[[#This Row],[Old1YT]],VALUE(LEFT(RTData[[#This Row],[Old1YT]],FIND("/",RTData[[#This Row],[Old1YT]],1)-1))),       IF(OR(RTData[[#This Row],[1YT]]=0,_xlpm.Old1YT=0),0,(_xlpm.New1YT-_xlpm.Old1YT)/_xlpm.Old1YT))</f>
        <v>-0.56273368490441666</v>
      </c>
      <c r="AF38" s="105" t="str">
        <f ca="1">TEXT(RTData[[#This Row],[1YT]],"#,#0.00")&amp;" &lt; "&amp;RTData[[#This Row],[Old1YT]]</f>
        <v>6.63 &lt; 15.17</v>
      </c>
    </row>
    <row r="39" spans="1:33" x14ac:dyDescent="0.3">
      <c r="A39" s="15" t="str" cm="1">
        <f t="array" aca="1" ref="A39" ca="1">_xlfn.SINGLE(RTData[suffix])&amp;_FV(RTData[[#This Row],[Company Name]],"Ticker symbol",TRUE)</f>
        <v>PW</v>
      </c>
      <c r="B39" s="15">
        <f ca="1">D103</f>
        <v>0.61542248753769457</v>
      </c>
      <c r="C39" t="e" vm="38">
        <v>#VALUE!</v>
      </c>
      <c r="D39" s="17" t="str" cm="1">
        <f t="array" aca="1" ref="D39" ca="1">_FV(RTData[[#This Row],[Company Name]],"Currency")</f>
        <v>USD</v>
      </c>
      <c r="E39" s="18" cm="1">
        <f t="array" aca="1" ref="E39" ca="1">_FV(RTData[[#This Row],[Company Name]],"Last trade time",TRUE)</f>
        <v>45953.931524247659</v>
      </c>
      <c r="F39" s="36" cm="1">
        <f t="array" aca="1" ref="F39" ca="1">_FV(RTData[[#This Row],[Company Name]],"Previous close",TRUE)</f>
        <v>0.70950000000000002</v>
      </c>
      <c r="G39" s="36" cm="1">
        <f t="array" aca="1" ref="G39" ca="1">_FV(RTData[[#This Row],[Company Name]],"Open")</f>
        <v>0.69</v>
      </c>
      <c r="H39" s="36" cm="1">
        <f t="array" aca="1" ref="H39" ca="1">_FV(RTData[[#This Row],[Company Name]],"Price")</f>
        <v>0.68500000000000005</v>
      </c>
      <c r="I39" s="36" cm="1">
        <f t="array" aca="1" ref="I39" ca="1">_FV(RTData[[#This Row],[Company Name]],"Low")</f>
        <v>0.66600000000000004</v>
      </c>
      <c r="J39" s="36" cm="1">
        <f t="array" aca="1" ref="J39" ca="1">_FV(RTData[[#This Row],[Company Name]],"High")</f>
        <v>0.71</v>
      </c>
      <c r="K39" s="20" cm="1">
        <f t="array" ref="K39">IFERROR(_FV(RTData[[#This Row],[Company Name]],"P/E",TRUE),99)</f>
        <v>99</v>
      </c>
      <c r="L39" s="21" cm="1">
        <f t="array" aca="1" ref="L39" ca="1">_FV(RTData[[#This Row],[Company Name]],"Change")</f>
        <v>-2.4500000000000001E-2</v>
      </c>
      <c r="M39" s="22" cm="1">
        <f t="array" aca="1" ref="M39" ca="1">_FV(RTData[[#This Row],[Company Name]],"Change (%)",TRUE)</f>
        <v>-3.4530999999999999E-2</v>
      </c>
      <c r="N39" s="36" cm="1">
        <f t="array" aca="1" ref="N39" ca="1">_FV(RTData[[#This Row],[Company Name]],"52 week low",TRUE)</f>
        <v>0.66600000000000004</v>
      </c>
      <c r="O39" s="36" cm="1">
        <f t="array" aca="1" ref="O39" ca="1">_FV(RTData[[#This Row],[Company Name]],"52 week high",TRUE)</f>
        <v>2.59</v>
      </c>
      <c r="P39" s="23" cm="1">
        <f t="array" aca="1" ref="P39" ca="1">_FV(RTData[[#This Row],[Company Name]],"Volume")</f>
        <v>319152</v>
      </c>
      <c r="Q39" s="23" cm="1">
        <f t="array" aca="1" ref="Q39" ca="1">_FV(RTData[[#This Row],[Company Name]],"Volume average",TRUE)</f>
        <v>66451</v>
      </c>
      <c r="R39" s="19" cm="1">
        <f t="array" aca="1" ref="R39" ca="1">_FV(RTData[[#This Row],[Company Name]],"Beta")</f>
        <v>1.6032999999999999</v>
      </c>
      <c r="T39" t="s">
        <v>20</v>
      </c>
      <c r="U39" t="str" cm="1">
        <f t="array" aca="1" ref="U39" ca="1">_FV(RTData[[#This Row],[Company Name]],"Exchange abbreviation",TRUE)</f>
        <v>XNYS</v>
      </c>
      <c r="V39" s="24">
        <f ca="1">IFERROR(RTData[[#This Row],[Volume]]/RTData[[#This Row],[Volume average]],1)</f>
        <v>4.8028171133617255</v>
      </c>
      <c r="W39" s="24"/>
      <c r="X39" s="108">
        <f ca="1">_xlfn.XLOOKUP(RTData[[#This Row],[Ticker symbol]],[2]Sheet2!$B$2:$B$95,[2]Sheet2!$E$2:$E$95)</f>
        <v>0</v>
      </c>
      <c r="Y39" s="101" t="str">
        <f>_xlfn.LET(_xlpm.date,[2]Sheet2!F36,IF(_xlpm.date=0,"",_xlpm.date))</f>
        <v/>
      </c>
      <c r="Z39" s="101" t="str">
        <f>_xlfn.LET(_xlpm.date,[2]Sheet2!G36,IF(_xlpm.date=0,"",_xlpm.date))</f>
        <v>Nov 13, 2025</v>
      </c>
      <c r="AA39" s="102">
        <f>[2]Sheet2!$H36</f>
        <v>0</v>
      </c>
      <c r="AB39" s="103">
        <v>1E-4</v>
      </c>
      <c r="AC39" s="104">
        <v>3.0000000000000001E-3</v>
      </c>
      <c r="AD39" s="90">
        <v>4.3</v>
      </c>
      <c r="AE39" s="105">
        <f ca="1">_xlfn.LET(_xlpm.New1YT,RTData[[#This Row],[1YT]],        _xlpm.Old1YT,IF(ISNUMBER(RTData[[#This Row],[Old1YT]]),RTData[[#This Row],[Old1YT]],VALUE(LEFT(RTData[[#This Row],[Old1YT]],FIND("/",RTData[[#This Row],[Old1YT]],1)-1))),       IF(OR(RTData[[#This Row],[1YT]]=0,_xlpm.Old1YT=0),0,(_xlpm.New1YT-_xlpm.Old1YT)/_xlpm.Old1YT))</f>
        <v>0</v>
      </c>
      <c r="AF39" s="105" t="str">
        <f ca="1">TEXT(RTData[[#This Row],[1YT]],"#,#0.00")&amp;" &lt; "&amp;RTData[[#This Row],[Old1YT]]</f>
        <v>0.00 &lt; 4.3</v>
      </c>
    </row>
    <row r="40" spans="1:33" x14ac:dyDescent="0.3">
      <c r="A40" s="15" t="str" cm="1">
        <f t="array" aca="1" ref="A40" ca="1">_xlfn.SINGLE(RTData[suffix])&amp;_FV(RTData[[#This Row],[Company Name]],"Ticker symbol",TRUE)</f>
        <v>RIGL</v>
      </c>
      <c r="B40" s="15">
        <f ca="1">D99</f>
        <v>0.86065926499698775</v>
      </c>
      <c r="C40" t="e" vm="39">
        <v>#VALUE!</v>
      </c>
      <c r="D40" s="17" t="str" cm="1">
        <f t="array" aca="1" ref="D40" ca="1">_FV(RTData[[#This Row],[Company Name]],"Currency")</f>
        <v>USD</v>
      </c>
      <c r="E40" s="18" cm="1">
        <f t="array" aca="1" ref="E40" ca="1">_FV(RTData[[#This Row],[Company Name]],"Last trade time",TRUE)</f>
        <v>45953.902897441403</v>
      </c>
      <c r="F40" s="19" cm="1">
        <f t="array" aca="1" ref="F40" ca="1">_FV(RTData[[#This Row],[Company Name]],"Previous close",TRUE)</f>
        <v>30.69</v>
      </c>
      <c r="G40" s="19" cm="1">
        <f t="array" aca="1" ref="G40" ca="1">_FV(RTData[[#This Row],[Company Name]],"Open")</f>
        <v>30.69</v>
      </c>
      <c r="H40" s="19" cm="1">
        <f t="array" aca="1" ref="H40" ca="1">_FV(RTData[[#This Row],[Company Name]],"Price")</f>
        <v>29.39</v>
      </c>
      <c r="I40" s="19" cm="1">
        <f t="array" aca="1" ref="I40" ca="1">_FV(RTData[[#This Row],[Company Name]],"Low")</f>
        <v>29.23</v>
      </c>
      <c r="J40" s="19" cm="1">
        <f t="array" aca="1" ref="J40" ca="1">_FV(RTData[[#This Row],[Company Name]],"High")</f>
        <v>31.92</v>
      </c>
      <c r="K40" s="20" cm="1">
        <f t="array" aca="1" ref="K40" ca="1">IFERROR(_FV(RTData[[#This Row],[Company Name]],"P/E",TRUE),99)</f>
        <v>5.6676000000000002</v>
      </c>
      <c r="L40" s="21" cm="1">
        <f t="array" aca="1" ref="L40" ca="1">_FV(RTData[[#This Row],[Company Name]],"Change")</f>
        <v>-1.3</v>
      </c>
      <c r="M40" s="22" cm="1">
        <f t="array" aca="1" ref="M40" ca="1">_FV(RTData[[#This Row],[Company Name]],"Change (%)",TRUE)</f>
        <v>-4.2359000000000001E-2</v>
      </c>
      <c r="N40" s="19" cm="1">
        <f t="array" aca="1" ref="N40" ca="1">_FV(RTData[[#This Row],[Company Name]],"52 week low",TRUE)</f>
        <v>13.570499999999999</v>
      </c>
      <c r="O40" s="19" cm="1">
        <f t="array" aca="1" ref="O40" ca="1">_FV(RTData[[#This Row],[Company Name]],"52 week high",TRUE)</f>
        <v>43.7181</v>
      </c>
      <c r="P40" s="23" cm="1">
        <f t="array" aca="1" ref="P40" ca="1">_FV(RTData[[#This Row],[Company Name]],"Volume")</f>
        <v>447071</v>
      </c>
      <c r="Q40" s="23" cm="1">
        <f t="array" aca="1" ref="Q40" ca="1">_FV(RTData[[#This Row],[Company Name]],"Volume average",TRUE)</f>
        <v>621368</v>
      </c>
      <c r="R40" s="19" cm="1">
        <f t="array" aca="1" ref="R40" ca="1">_FV(RTData[[#This Row],[Company Name]],"Beta")</f>
        <v>1.2112000000000001</v>
      </c>
      <c r="T40" t="s">
        <v>20</v>
      </c>
      <c r="U40" t="str" cm="1">
        <f t="array" aca="1" ref="U40" ca="1">_FV(RTData[[#This Row],[Company Name]],"Exchange abbreviation",TRUE)</f>
        <v>XNAS</v>
      </c>
      <c r="V40" s="24">
        <f ca="1">IFERROR(RTData[[#This Row],[Volume]]/RTData[[#This Row],[Volume average]],1)</f>
        <v>0.71949472776197032</v>
      </c>
      <c r="W40" s="24"/>
      <c r="X40" s="108">
        <f ca="1">_xlfn.XLOOKUP(RTData[[#This Row],[Ticker symbol]],[2]Sheet2!$B$2:$B$95,[2]Sheet2!$E$2:$E$95)</f>
        <v>38.333329999999997</v>
      </c>
      <c r="Y40" s="101">
        <f>_xlfn.LET(_xlpm.date,[2]Sheet2!F37,IF(_xlpm.date=0,"",_xlpm.date))</f>
        <v>41284</v>
      </c>
      <c r="Z40" s="101" t="str">
        <f>_xlfn.LET(_xlpm.date,[2]Sheet2!G37,IF(_xlpm.date=0,"",_xlpm.date))</f>
        <v/>
      </c>
      <c r="AA40" s="102">
        <f>[2]Sheet2!$H37</f>
        <v>0</v>
      </c>
      <c r="AB40" s="103">
        <v>1E-4</v>
      </c>
      <c r="AC40" s="104">
        <v>3.0000000000000001E-3</v>
      </c>
      <c r="AD40" s="90">
        <v>0.56000000000000005</v>
      </c>
      <c r="AE40" s="105">
        <f ca="1">_xlfn.LET(_xlpm.New1YT,RTData[[#This Row],[1YT]],        _xlpm.Old1YT,IF(ISNUMBER(RTData[[#This Row],[Old1YT]]),RTData[[#This Row],[Old1YT]],VALUE(LEFT(RTData[[#This Row],[Old1YT]],FIND("/",RTData[[#This Row],[Old1YT]],1)-1))),       IF(OR(RTData[[#This Row],[1YT]]=0,_xlpm.Old1YT=0),0,(_xlpm.New1YT-_xlpm.Old1YT)/_xlpm.Old1YT))</f>
        <v>67.452374999999989</v>
      </c>
      <c r="AF40" s="105" t="str">
        <f ca="1">TEXT(RTData[[#This Row],[1YT]],"#,#0.00")&amp;" &lt; "&amp;RTData[[#This Row],[Old1YT]]</f>
        <v>38.33 &lt; 0.56</v>
      </c>
    </row>
    <row r="41" spans="1:33" x14ac:dyDescent="0.3">
      <c r="A41" s="15" t="str" cm="1">
        <f t="array" aca="1" ref="A41" ca="1">_xlfn.SINGLE(RTData[suffix])&amp;_FV(RTData[[#This Row],[Company Name]],"Ticker symbol",TRUE)</f>
        <v>RWE</v>
      </c>
      <c r="B41" s="15">
        <f ca="1">D99</f>
        <v>0.86065926499698775</v>
      </c>
      <c r="C41" t="e" vm="40">
        <v>#VALUE!</v>
      </c>
      <c r="D41" s="17" t="str" cm="1">
        <f t="array" aca="1" ref="D41" ca="1">_FV(RTData[[#This Row],[Company Name]],"Currency")</f>
        <v>EUR</v>
      </c>
      <c r="E41" s="18" cm="1">
        <f t="array" aca="1" ref="E41" ca="1">_FV(RTData[[#This Row],[Company Name]],"Last trade time",TRUE)</f>
        <v>45953.836805555555</v>
      </c>
      <c r="F41" s="19" cm="1">
        <f t="array" aca="1" ref="F41" ca="1">_FV(RTData[[#This Row],[Company Name]],"Previous close",TRUE)</f>
        <v>40.22</v>
      </c>
      <c r="G41" s="19" cm="1">
        <f t="array" aca="1" ref="G41" ca="1">_FV(RTData[[#This Row],[Company Name]],"Open")</f>
        <v>39.78</v>
      </c>
      <c r="H41" s="19" cm="1">
        <f t="array" aca="1" ref="H41" ca="1">_FV(RTData[[#This Row],[Company Name]],"Price")</f>
        <v>40</v>
      </c>
      <c r="I41" s="19" cm="1">
        <f t="array" aca="1" ref="I41" ca="1">_FV(RTData[[#This Row],[Company Name]],"Low")</f>
        <v>39.78</v>
      </c>
      <c r="J41" s="19" cm="1">
        <f t="array" aca="1" ref="J41" ca="1">_FV(RTData[[#This Row],[Company Name]],"High")</f>
        <v>40.119999999999997</v>
      </c>
      <c r="K41" s="20" cm="1">
        <f t="array" aca="1" ref="K41" ca="1">IFERROR(_FV(RTData[[#This Row],[Company Name]],"P/E",TRUE),99)</f>
        <v>11.4613</v>
      </c>
      <c r="L41" s="21" cm="1">
        <f t="array" aca="1" ref="L41" ca="1">_FV(RTData[[#This Row],[Company Name]],"Change")</f>
        <v>-0.22</v>
      </c>
      <c r="M41" s="22" cm="1">
        <f t="array" aca="1" ref="M41" ca="1">_FV(RTData[[#This Row],[Company Name]],"Change (%)",TRUE)</f>
        <v>-5.47E-3</v>
      </c>
      <c r="N41" s="19" cm="1">
        <f t="array" aca="1" ref="N41" ca="1">_FV(RTData[[#This Row],[Company Name]],"52 week low",TRUE)</f>
        <v>14.231</v>
      </c>
      <c r="O41" s="19" cm="1">
        <f t="array" aca="1" ref="O41" ca="1">_FV(RTData[[#This Row],[Company Name]],"52 week high",TRUE)</f>
        <v>44.03</v>
      </c>
      <c r="P41" s="23" cm="1">
        <f t="array" aca="1" ref="P41" ca="1">_FV(RTData[[#This Row],[Company Name]],"Volume")</f>
        <v>2249</v>
      </c>
      <c r="Q41" s="23" cm="1">
        <f t="array" aca="1" ref="Q41" ca="1">_FV(RTData[[#This Row],[Company Name]],"Volume average",TRUE)</f>
        <v>1718010</v>
      </c>
      <c r="R41" s="19" cm="1">
        <f t="array" aca="1" ref="R41" ca="1">_FV(RTData[[#This Row],[Company Name]],"Beta")</f>
        <v>0.51759999999999995</v>
      </c>
      <c r="T41" t="s">
        <v>20</v>
      </c>
      <c r="U41" t="str" cm="1">
        <f t="array" aca="1" ref="U41" ca="1">_FV(RTData[[#This Row],[Company Name]],"Exchange abbreviation",TRUE)</f>
        <v>XFRA</v>
      </c>
      <c r="V41" s="24">
        <f ca="1">IFERROR(RTData[[#This Row],[Volume]]/RTData[[#This Row],[Volume average]],1)</f>
        <v>1.3090727062124202E-3</v>
      </c>
      <c r="W41" s="24"/>
      <c r="X41" s="108">
        <f ca="1">_xlfn.XLOOKUP(RTData[[#This Row],[Ticker symbol]],[2]Sheet2!$B$2:$B$95,[2]Sheet2!$E$2:$E$95)</f>
        <v>43.982349999999997</v>
      </c>
      <c r="Y41" s="101" t="str">
        <f>_xlfn.LET(_xlpm.date,[2]Sheet2!F38,IF(_xlpm.date=0,"",_xlpm.date))</f>
        <v/>
      </c>
      <c r="Z41" s="101" t="str">
        <f>_xlfn.LET(_xlpm.date,[2]Sheet2!G38,IF(_xlpm.date=0,"",_xlpm.date))</f>
        <v>Nov 6, 2025</v>
      </c>
      <c r="AA41" s="102">
        <f>[2]Sheet2!$H38</f>
        <v>0</v>
      </c>
      <c r="AB41" s="103">
        <v>1E-4</v>
      </c>
      <c r="AC41" s="104">
        <v>3.0000000000000001E-3</v>
      </c>
      <c r="AD41" s="90" t="s">
        <v>65</v>
      </c>
      <c r="AE41" s="105">
        <f ca="1">_xlfn.LET(_xlpm.New1YT,RTData[[#This Row],[1YT]],        _xlpm.Old1YT,IF(ISNUMBER(RTData[[#This Row],[Old1YT]]),RTData[[#This Row],[Old1YT]],VALUE(LEFT(RTData[[#This Row],[Old1YT]],FIND("/",RTData[[#This Row],[Old1YT]],1)-1))),       IF(OR(RTData[[#This Row],[1YT]]=0,_xlpm.Old1YT=0),0,(_xlpm.New1YT-_xlpm.Old1YT)/_xlpm.Old1YT))</f>
        <v>0.30356698280972122</v>
      </c>
      <c r="AF41" s="105" t="str">
        <f ca="1">TEXT(RTData[[#This Row],[1YT]],"#,#0.00")&amp;" &lt; "&amp;RTData[[#This Row],[Old1YT]]</f>
        <v>43.98 &lt; 33.74/31.33</v>
      </c>
    </row>
    <row r="42" spans="1:33" x14ac:dyDescent="0.3">
      <c r="A42" s="15" t="str" cm="1">
        <f t="array" aca="1" ref="A42" ca="1">_xlfn.SINGLE(RTData[suffix])&amp;_FV(RTData[[#This Row],[Company Name]],"Ticker symbol",TRUE)</f>
        <v>SAP</v>
      </c>
      <c r="B42" s="15">
        <v>1</v>
      </c>
      <c r="C42" t="e" vm="41">
        <v>#VALUE!</v>
      </c>
      <c r="D42" s="17" t="str" cm="1">
        <f t="array" aca="1" ref="D42" ca="1">_FV(RTData[[#This Row],[Company Name]],"Currency")</f>
        <v>EUR</v>
      </c>
      <c r="E42" s="18" cm="1">
        <f t="array" aca="1" ref="E42" ca="1">_FV(RTData[[#This Row],[Company Name]],"Last trade time",TRUE)</f>
        <v>45953.896145833336</v>
      </c>
      <c r="F42" s="28" cm="1">
        <f t="array" aca="1" ref="F42" ca="1">_FV(RTData[[#This Row],[Company Name]],"Previous close",TRUE)</f>
        <v>236.85</v>
      </c>
      <c r="G42" s="28" cm="1">
        <f t="array" aca="1" ref="G42" ca="1">_FV(RTData[[#This Row],[Company Name]],"Open")</f>
        <v>239.4</v>
      </c>
      <c r="H42" s="28" cm="1">
        <f t="array" aca="1" ref="H42" ca="1">_FV(RTData[[#This Row],[Company Name]],"Price")</f>
        <v>242</v>
      </c>
      <c r="I42" s="28" cm="1">
        <f t="array" aca="1" ref="I42" ca="1">_FV(RTData[[#This Row],[Company Name]],"Low")</f>
        <v>229.7</v>
      </c>
      <c r="J42" s="28" cm="1">
        <f t="array" aca="1" ref="J42" ca="1">_FV(RTData[[#This Row],[Company Name]],"High")</f>
        <v>244.3</v>
      </c>
      <c r="K42" s="20" cm="1">
        <f t="array" aca="1" ref="K42" ca="1">IFERROR(_FV(RTData[[#This Row],[Company Name]],"P/E",TRUE),99)</f>
        <v>39.863</v>
      </c>
      <c r="L42" s="21" cm="1">
        <f t="array" aca="1" ref="L42" ca="1">_FV(RTData[[#This Row],[Company Name]],"Change")</f>
        <v>5.15</v>
      </c>
      <c r="M42" s="22" cm="1">
        <f t="array" aca="1" ref="M42" ca="1">_FV(RTData[[#This Row],[Company Name]],"Change (%)",TRUE)</f>
        <v>2.1743999999999999E-2</v>
      </c>
      <c r="N42" s="28" cm="1">
        <f t="array" aca="1" ref="N42" ca="1">_FV(RTData[[#This Row],[Company Name]],"52 week low",TRUE)</f>
        <v>209.7</v>
      </c>
      <c r="O42" s="28" cm="1">
        <f t="array" aca="1" ref="O42" ca="1">_FV(RTData[[#This Row],[Company Name]],"52 week high",TRUE)</f>
        <v>283.5</v>
      </c>
      <c r="P42" s="23" cm="1">
        <f t="array" aca="1" ref="P42" ca="1">_FV(RTData[[#This Row],[Company Name]],"Volume")</f>
        <v>3172728</v>
      </c>
      <c r="Q42" s="23" cm="1">
        <f t="array" aca="1" ref="Q42" ca="1">_FV(RTData[[#This Row],[Company Name]],"Volume average",TRUE)</f>
        <v>1190530</v>
      </c>
      <c r="R42" s="19" cm="1">
        <f t="array" aca="1" ref="R42" ca="1">_FV(RTData[[#This Row],[Company Name]],"Beta")</f>
        <v>0.99260000000000004</v>
      </c>
      <c r="T42" t="s">
        <v>20</v>
      </c>
      <c r="U42" t="str" cm="1">
        <f t="array" aca="1" ref="U42" ca="1">_FV(RTData[[#This Row],[Company Name]],"Exchange abbreviation",TRUE)</f>
        <v>XETR</v>
      </c>
      <c r="V42" s="24">
        <f ca="1">IFERROR(RTData[[#This Row],[Volume]]/RTData[[#This Row],[Volume average]],1)</f>
        <v>2.6649710633079384</v>
      </c>
      <c r="W42" s="24"/>
      <c r="X42" s="108">
        <f ca="1">_xlfn.XLOOKUP(RTData[[#This Row],[Ticker symbol]],[2]Sheet2!$B$2:$B$95,[2]Sheet2!$E$2:$E$95)</f>
        <v>287.60270000000003</v>
      </c>
      <c r="Y42" s="101">
        <f>_xlfn.LET(_xlpm.date,[2]Sheet2!F39,IF(_xlpm.date=0,"",_xlpm.date))</f>
        <v>45779</v>
      </c>
      <c r="Z42" s="101" t="str">
        <f>_xlfn.LET(_xlpm.date,[2]Sheet2!G39,IF(_xlpm.date=0,"",_xlpm.date))</f>
        <v/>
      </c>
      <c r="AA42" s="102">
        <f>[2]Sheet2!$H39</f>
        <v>2.7199999999999998E-2</v>
      </c>
      <c r="AB42" s="103"/>
      <c r="AC42" s="104">
        <v>3.0000000000000001E-3</v>
      </c>
      <c r="AD42" s="90">
        <v>290</v>
      </c>
      <c r="AE42" s="105">
        <f ca="1">_xlfn.LET(_xlpm.New1YT,RTData[[#This Row],[1YT]],        _xlpm.Old1YT,IF(ISNUMBER(RTData[[#This Row],[Old1YT]]),RTData[[#This Row],[Old1YT]],VALUE(LEFT(RTData[[#This Row],[Old1YT]],FIND("/",RTData[[#This Row],[Old1YT]],1)-1))),       IF(OR(RTData[[#This Row],[1YT]]=0,_xlpm.Old1YT=0),0,(_xlpm.New1YT-_xlpm.Old1YT)/_xlpm.Old1YT))</f>
        <v>-8.266551724137837E-3</v>
      </c>
      <c r="AF42" s="105" t="str">
        <f ca="1">TEXT(RTData[[#This Row],[1YT]],"#,#0.00")&amp;" &lt; "&amp;RTData[[#This Row],[Old1YT]]</f>
        <v>287.60 &lt; 290</v>
      </c>
    </row>
    <row r="43" spans="1:33" ht="22" customHeight="1" x14ac:dyDescent="0.3">
      <c r="A43" s="15" t="str" cm="1">
        <f t="array" aca="1" ref="A43" ca="1">_xlfn.SINGLE(RTData[suffix])&amp;_FV(RTData[[#This Row],[Company Name]],"Ticker symbol",TRUE)</f>
        <v>SHECY</v>
      </c>
      <c r="B43" s="15">
        <v>1</v>
      </c>
      <c r="C43" t="e" vm="42">
        <v>#VALUE!</v>
      </c>
      <c r="D43" s="17" t="str" cm="1">
        <f t="array" aca="1" ref="D43" ca="1">_FV(RTData[[#This Row],[Company Name]],"Currency")</f>
        <v>USD</v>
      </c>
      <c r="E43" s="18" cm="1">
        <f t="array" aca="1" ref="E43" ca="1">_FV(RTData[[#This Row],[Company Name]],"Last trade time",TRUE)</f>
        <v>45953.888888888891</v>
      </c>
      <c r="F43" s="28" cm="1">
        <f t="array" aca="1" ref="F43" ca="1">_FV(RTData[[#This Row],[Company Name]],"Previous close",TRUE)</f>
        <v>16.04</v>
      </c>
      <c r="G43" s="28" cm="1">
        <f t="array" aca="1" ref="G43" ca="1">_FV(RTData[[#This Row],[Company Name]],"Open")</f>
        <v>16.690000000000001</v>
      </c>
      <c r="H43" s="28" cm="1">
        <f t="array" aca="1" ref="H43" ca="1">_FV(RTData[[#This Row],[Company Name]],"Price")</f>
        <v>16.149999999999999</v>
      </c>
      <c r="I43" s="28" cm="1">
        <f t="array" aca="1" ref="I43" ca="1">_FV(RTData[[#This Row],[Company Name]],"Low")</f>
        <v>16</v>
      </c>
      <c r="J43" s="28" cm="1">
        <f t="array" aca="1" ref="J43" ca="1">_FV(RTData[[#This Row],[Company Name]],"High")</f>
        <v>16.690000000000001</v>
      </c>
      <c r="K43" s="20" cm="1">
        <f t="array" aca="1" ref="K43" ca="1">IFERROR(_FV(RTData[[#This Row],[Company Name]],"P/E",TRUE),99)</f>
        <v>0</v>
      </c>
      <c r="L43" s="21" cm="1">
        <f t="array" aca="1" ref="L43" ca="1">_FV(RTData[[#This Row],[Company Name]],"Change")</f>
        <v>0.11</v>
      </c>
      <c r="M43" s="22" cm="1">
        <f t="array" aca="1" ref="M43" ca="1">_FV(RTData[[#This Row],[Company Name]],"Change (%)",TRUE)</f>
        <v>6.8579999999999995E-3</v>
      </c>
      <c r="N43" s="28" cm="1">
        <f t="array" aca="1" ref="N43" ca="1">_FV(RTData[[#This Row],[Company Name]],"52 week low",TRUE)</f>
        <v>11.88</v>
      </c>
      <c r="O43" s="28" cm="1">
        <f t="array" aca="1" ref="O43" ca="1">_FV(RTData[[#This Row],[Company Name]],"52 week high",TRUE)</f>
        <v>20.102</v>
      </c>
      <c r="P43" s="23" cm="1">
        <f t="array" aca="1" ref="P43" ca="1">_FV(RTData[[#This Row],[Company Name]],"Volume")</f>
        <v>208392</v>
      </c>
      <c r="Q43" s="23" cm="1">
        <f t="array" aca="1" ref="Q43" ca="1">_FV(RTData[[#This Row],[Company Name]],"Volume average",TRUE)</f>
        <v>6346040</v>
      </c>
      <c r="R43" s="28" cm="1">
        <f t="array" aca="1" ref="R43" ca="1">_FV(RTData[[#This Row],[Company Name]],"Beta")</f>
        <v>1.5149999999999999</v>
      </c>
      <c r="T43" t="s">
        <v>20</v>
      </c>
      <c r="U43" t="str" cm="1">
        <f t="array" aca="1" ref="U43" ca="1">_FV(RTData[[#This Row],[Company Name]],"Exchange abbreviation",TRUE)</f>
        <v>OTCM</v>
      </c>
      <c r="V43" s="24">
        <f ca="1">IFERROR(RTData[[#This Row],[Volume]]/RTData[[#This Row],[Volume average]],1)</f>
        <v>3.2838116368633034E-2</v>
      </c>
      <c r="W43" s="24"/>
      <c r="X43" s="108">
        <f ca="1">_xlfn.XLOOKUP(RTData[[#This Row],[Ticker symbol]],[2]Sheet2!$B$2:$B$95,[2]Sheet2!$E$2:$E$95)</f>
        <v>0</v>
      </c>
      <c r="Y43" s="101">
        <f>_xlfn.LET(_xlpm.date,[2]Sheet2!F40,IF(_xlpm.date=0,"",_xlpm.date))</f>
        <v>45791</v>
      </c>
      <c r="Z43" s="101" t="str">
        <f>_xlfn.LET(_xlpm.date,[2]Sheet2!G40,IF(_xlpm.date=0,"",_xlpm.date))</f>
        <v/>
      </c>
      <c r="AA43" s="102">
        <f>[2]Sheet2!$H40</f>
        <v>1.0199999E-2</v>
      </c>
      <c r="AB43" s="103"/>
      <c r="AC43" s="104">
        <v>3.0000000000000001E-3</v>
      </c>
      <c r="AD43" s="90" t="s">
        <v>49</v>
      </c>
      <c r="AE43" s="105">
        <f ca="1">_xlfn.LET(_xlpm.New1YT,RTData[[#This Row],[1YT]],        _xlpm.Old1YT,IF(ISNUMBER(RTData[[#This Row],[Old1YT]]),RTData[[#This Row],[Old1YT]],VALUE(LEFT(RTData[[#This Row],[Old1YT]],FIND("/",RTData[[#This Row],[Old1YT]],1)-1))),       IF(OR(RTData[[#This Row],[1YT]]=0,_xlpm.Old1YT=0),0,(_xlpm.New1YT-_xlpm.Old1YT)/_xlpm.Old1YT))</f>
        <v>0</v>
      </c>
      <c r="AF43" s="105" t="str">
        <f ca="1">TEXT(RTData[[#This Row],[1YT]],"#,#0.00")&amp;" &lt; "&amp;RTData[[#This Row],[Old1YT]]</f>
        <v>0.00 &lt; 331.33/312.72</v>
      </c>
    </row>
    <row r="44" spans="1:33" x14ac:dyDescent="0.3">
      <c r="A44" s="15" t="str" cm="1">
        <f t="array" aca="1" ref="A44" ca="1">_xlfn.SINGLE(RTData[suffix])&amp;_FV(RTData[[#This Row],[Company Name]],"Ticker symbol",TRUE)</f>
        <v>SSYS</v>
      </c>
      <c r="B44" s="15">
        <f ca="1">D99</f>
        <v>0.86065926499698775</v>
      </c>
      <c r="C44" t="e" vm="43">
        <v>#VALUE!</v>
      </c>
      <c r="D44" s="17" t="str" cm="1">
        <f t="array" aca="1" ref="D44" ca="1">_FV(RTData[[#This Row],[Company Name]],"Currency")</f>
        <v>USD</v>
      </c>
      <c r="E44" s="18" cm="1">
        <f t="array" aca="1" ref="E44" ca="1">_FV(RTData[[#This Row],[Company Name]],"Last trade time",TRUE)</f>
        <v>45953.932098645309</v>
      </c>
      <c r="F44" s="19" cm="1">
        <f t="array" aca="1" ref="F44" ca="1">_FV(RTData[[#This Row],[Company Name]],"Previous close",TRUE)</f>
        <v>11.3</v>
      </c>
      <c r="G44" s="19" cm="1">
        <f t="array" aca="1" ref="G44" ca="1">_FV(RTData[[#This Row],[Company Name]],"Open")</f>
        <v>11.3</v>
      </c>
      <c r="H44" s="19" cm="1">
        <f t="array" aca="1" ref="H44" ca="1">_FV(RTData[[#This Row],[Company Name]],"Price")</f>
        <v>11.78</v>
      </c>
      <c r="I44" s="19" cm="1">
        <f t="array" aca="1" ref="I44" ca="1">_FV(RTData[[#This Row],[Company Name]],"Low")</f>
        <v>11.15</v>
      </c>
      <c r="J44" s="19" cm="1">
        <f t="array" aca="1" ref="J44" ca="1">_FV(RTData[[#This Row],[Company Name]],"High")</f>
        <v>12.05</v>
      </c>
      <c r="K44" s="20" cm="1">
        <f t="array" aca="1" ref="K44" ca="1">IFERROR(_FV(RTData[[#This Row],[Company Name]],"P/E",TRUE),99)</f>
        <v>0</v>
      </c>
      <c r="L44" s="21" cm="1">
        <f t="array" aca="1" ref="L44" ca="1">_FV(RTData[[#This Row],[Company Name]],"Change")</f>
        <v>0.48</v>
      </c>
      <c r="M44" s="22" cm="1">
        <f t="array" aca="1" ref="M44" ca="1">_FV(RTData[[#This Row],[Company Name]],"Change (%)",TRUE)</f>
        <v>4.2477999999999995E-2</v>
      </c>
      <c r="N44" s="19" cm="1">
        <f t="array" aca="1" ref="N44" ca="1">_FV(RTData[[#This Row],[Company Name]],"52 week low",TRUE)</f>
        <v>6.92</v>
      </c>
      <c r="O44" s="19" cm="1">
        <f t="array" aca="1" ref="O44" ca="1">_FV(RTData[[#This Row],[Company Name]],"52 week high",TRUE)</f>
        <v>12.88</v>
      </c>
      <c r="P44" s="23" cm="1">
        <f t="array" aca="1" ref="P44" ca="1">_FV(RTData[[#This Row],[Company Name]],"Volume")</f>
        <v>1872218</v>
      </c>
      <c r="Q44" s="23" cm="1">
        <f t="array" aca="1" ref="Q44" ca="1">_FV(RTData[[#This Row],[Company Name]],"Volume average",TRUE)</f>
        <v>1204972</v>
      </c>
      <c r="R44" s="19" cm="1">
        <f t="array" aca="1" ref="R44" ca="1">_FV(RTData[[#This Row],[Company Name]],"Beta")</f>
        <v>1.611</v>
      </c>
      <c r="T44" t="s">
        <v>20</v>
      </c>
      <c r="U44" t="str" cm="1">
        <f t="array" aca="1" ref="U44" ca="1">_FV(RTData[[#This Row],[Company Name]],"Exchange abbreviation",TRUE)</f>
        <v>XNAS</v>
      </c>
      <c r="V44" s="24">
        <f ca="1">IFERROR(RTData[[#This Row],[Volume]]/RTData[[#This Row],[Volume average]],1)</f>
        <v>1.5537439874121557</v>
      </c>
      <c r="W44" s="24"/>
      <c r="X44" s="108">
        <f ca="1">_xlfn.XLOOKUP(RTData[[#This Row],[Ticker symbol]],[2]Sheet2!$B$2:$B$95,[2]Sheet2!$E$2:$E$95)</f>
        <v>13.33333</v>
      </c>
      <c r="Y44" s="101">
        <f>_xlfn.LET(_xlpm.date,[2]Sheet2!F41,IF(_xlpm.date=0,"",_xlpm.date))</f>
        <v>45747</v>
      </c>
      <c r="Z44" s="101" t="str">
        <f>_xlfn.LET(_xlpm.date,[2]Sheet2!G41,IF(_xlpm.date=0,"",_xlpm.date))</f>
        <v/>
      </c>
      <c r="AA44" s="102">
        <f>[2]Sheet2!$H41</f>
        <v>2.3199999999999998E-2</v>
      </c>
      <c r="AB44" s="103">
        <v>1E-4</v>
      </c>
      <c r="AC44" s="104">
        <v>3.0000000000000001E-3</v>
      </c>
      <c r="AD44" s="90">
        <v>42.6</v>
      </c>
      <c r="AE44" s="105">
        <f ca="1">_xlfn.LET(_xlpm.New1YT,RTData[[#This Row],[1YT]],        _xlpm.Old1YT,IF(ISNUMBER(RTData[[#This Row],[Old1YT]]),RTData[[#This Row],[Old1YT]],VALUE(LEFT(RTData[[#This Row],[Old1YT]],FIND("/",RTData[[#This Row],[Old1YT]],1)-1))),       IF(OR(RTData[[#This Row],[1YT]]=0,_xlpm.Old1YT=0),0,(_xlpm.New1YT-_xlpm.Old1YT)/_xlpm.Old1YT))</f>
        <v>-0.68701103286384979</v>
      </c>
      <c r="AF44" s="105" t="str">
        <f ca="1">TEXT(RTData[[#This Row],[1YT]],"#,#0.00")&amp;" &lt; "&amp;RTData[[#This Row],[Old1YT]]</f>
        <v>13.33 &lt; 42.6</v>
      </c>
    </row>
    <row r="45" spans="1:33" x14ac:dyDescent="0.3">
      <c r="A45" s="15" t="str" cm="1">
        <f t="array" aca="1" ref="A45" ca="1">_xlfn.SINGLE(RTData[suffix])&amp;_FV(RTData[[#This Row],[Company Name]],"Ticker symbol",TRUE)</f>
        <v>TSLA</v>
      </c>
      <c r="B45" s="15">
        <f ca="1">D99</f>
        <v>0.86065926499698775</v>
      </c>
      <c r="C45" t="e" vm="44">
        <v>#VALUE!</v>
      </c>
      <c r="D45" s="17" t="str" cm="1">
        <f t="array" aca="1" ref="D45" ca="1">_FV(RTData[[#This Row],[Company Name]],"Currency")</f>
        <v>USD</v>
      </c>
      <c r="E45" s="18" cm="1">
        <f t="array" aca="1" ref="E45" ca="1">_FV(RTData[[#This Row],[Company Name]],"Last trade time",TRUE)</f>
        <v>45953.93528346016</v>
      </c>
      <c r="F45" s="19" cm="1">
        <f t="array" aca="1" ref="F45" ca="1">_FV(RTData[[#This Row],[Company Name]],"Previous close",TRUE)</f>
        <v>438.97</v>
      </c>
      <c r="G45" s="19" cm="1">
        <f t="array" aca="1" ref="G45" ca="1">_FV(RTData[[#This Row],[Company Name]],"Open")</f>
        <v>420</v>
      </c>
      <c r="H45" s="19" cm="1">
        <f t="array" aca="1" ref="H45" ca="1">_FV(RTData[[#This Row],[Company Name]],"Price")</f>
        <v>448.98</v>
      </c>
      <c r="I45" s="19" cm="1">
        <f t="array" aca="1" ref="I45" ca="1">_FV(RTData[[#This Row],[Company Name]],"Low")</f>
        <v>413.9</v>
      </c>
      <c r="J45" s="19" cm="1">
        <f t="array" aca="1" ref="J45" ca="1">_FV(RTData[[#This Row],[Company Name]],"High")</f>
        <v>449.3999</v>
      </c>
      <c r="K45" s="20" cm="1">
        <f t="array" aca="1" ref="K45" ca="1">IFERROR(_FV(RTData[[#This Row],[Company Name]],"P/E",TRUE),99)</f>
        <v>300.02</v>
      </c>
      <c r="L45" s="21" cm="1">
        <f t="array" aca="1" ref="L45" ca="1">_FV(RTData[[#This Row],[Company Name]],"Change")</f>
        <v>10.01</v>
      </c>
      <c r="M45" s="22" cm="1">
        <f t="array" aca="1" ref="M45" ca="1">_FV(RTData[[#This Row],[Company Name]],"Change (%)",TRUE)</f>
        <v>2.2803E-2</v>
      </c>
      <c r="N45" s="19" cm="1">
        <f t="array" aca="1" ref="N45" ca="1">_FV(RTData[[#This Row],[Company Name]],"52 week low",TRUE)</f>
        <v>212.11</v>
      </c>
      <c r="O45" s="19" cm="1">
        <f t="array" aca="1" ref="O45" ca="1">_FV(RTData[[#This Row],[Company Name]],"52 week high",TRUE)</f>
        <v>488.53989999999999</v>
      </c>
      <c r="P45" s="23" cm="1">
        <f t="array" aca="1" ref="P45" ca="1">_FV(RTData[[#This Row],[Company Name]],"Volume")</f>
        <v>126366738</v>
      </c>
      <c r="Q45" s="23" cm="1">
        <f t="array" aca="1" ref="Q45" ca="1">_FV(RTData[[#This Row],[Company Name]],"Volume average",TRUE)</f>
        <v>88420456</v>
      </c>
      <c r="R45" s="19" cm="1">
        <f t="array" aca="1" ref="R45" ca="1">_FV(RTData[[#This Row],[Company Name]],"Beta")</f>
        <v>2.0720000000000001</v>
      </c>
      <c r="T45" t="s">
        <v>20</v>
      </c>
      <c r="U45" t="str" cm="1">
        <f t="array" aca="1" ref="U45" ca="1">_FV(RTData[[#This Row],[Company Name]],"Exchange abbreviation",TRUE)</f>
        <v>XNAS</v>
      </c>
      <c r="V45" s="24">
        <f ca="1">IFERROR(RTData[[#This Row],[Volume]]/RTData[[#This Row],[Volume average]],1)</f>
        <v>1.4291572755517117</v>
      </c>
      <c r="W45" s="24"/>
      <c r="X45" s="108">
        <f ca="1">_xlfn.XLOOKUP(RTData[[#This Row],[Ticker symbol]],[2]Sheet2!$B$2:$B$95,[2]Sheet2!$E$2:$E$95)</f>
        <v>360.62945999999999</v>
      </c>
      <c r="Y45" s="101" t="str">
        <f>_xlfn.LET(_xlpm.date,[2]Sheet2!F42,IF(_xlpm.date=0,"",_xlpm.date))</f>
        <v/>
      </c>
      <c r="Z45" s="101" t="str">
        <f>_xlfn.LET(_xlpm.date,[2]Sheet2!G42,IF(_xlpm.date=0,"",_xlpm.date))</f>
        <v>Nov 12, 2025</v>
      </c>
      <c r="AA45" s="102">
        <f>[2]Sheet2!$H42</f>
        <v>0</v>
      </c>
      <c r="AB45" s="103">
        <v>1E-4</v>
      </c>
      <c r="AC45" s="104">
        <v>3.0000000000000001E-3</v>
      </c>
      <c r="AD45" s="90">
        <v>11.8</v>
      </c>
      <c r="AE45" s="105">
        <f ca="1">_xlfn.LET(_xlpm.New1YT,RTData[[#This Row],[1YT]],        _xlpm.Old1YT,IF(ISNUMBER(RTData[[#This Row],[Old1YT]]),RTData[[#This Row],[Old1YT]],VALUE(LEFT(RTData[[#This Row],[Old1YT]],FIND("/",RTData[[#This Row],[Old1YT]],1)-1))),       IF(OR(RTData[[#This Row],[1YT]]=0,_xlpm.Old1YT=0),0,(_xlpm.New1YT-_xlpm.Old1YT)/_xlpm.Old1YT))</f>
        <v>29.561818644067792</v>
      </c>
      <c r="AF45" s="105" t="str">
        <f ca="1">TEXT(RTData[[#This Row],[1YT]],"#,#0.00")&amp;" &lt; "&amp;RTData[[#This Row],[Old1YT]]</f>
        <v>360.63 &lt; 11.8</v>
      </c>
      <c r="AG45" s="51"/>
    </row>
    <row r="46" spans="1:33" x14ac:dyDescent="0.3">
      <c r="A46" s="15" t="str" cm="1">
        <f t="array" aca="1" ref="A46" ca="1">_xlfn.SINGLE(RTData[suffix])&amp;_FV(RTData[[#This Row],[Company Name]],"Ticker symbol",TRUE)</f>
        <v>TSM</v>
      </c>
      <c r="B46" s="15">
        <f ca="1">D99</f>
        <v>0.86065926499698775</v>
      </c>
      <c r="C46" t="e" vm="45">
        <v>#VALUE!</v>
      </c>
      <c r="D46" s="17" t="str" cm="1">
        <f t="array" aca="1" ref="D46" ca="1">_FV(RTData[[#This Row],[Company Name]],"Currency")</f>
        <v>USD</v>
      </c>
      <c r="E46" s="18" cm="1">
        <f t="array" aca="1" ref="E46" ca="1">_FV(RTData[[#This Row],[Company Name]],"Last trade time",TRUE)</f>
        <v>45953.935297789059</v>
      </c>
      <c r="F46" s="19" cm="1">
        <f t="array" aca="1" ref="F46" ca="1">_FV(RTData[[#This Row],[Company Name]],"Previous close",TRUE)</f>
        <v>288.88</v>
      </c>
      <c r="G46" s="19" cm="1">
        <f t="array" aca="1" ref="G46" ca="1">_FV(RTData[[#This Row],[Company Name]],"Open")</f>
        <v>289.8</v>
      </c>
      <c r="H46" s="19" cm="1">
        <f t="array" aca="1" ref="H46" ca="1">_FV(RTData[[#This Row],[Company Name]],"Price")</f>
        <v>290.74</v>
      </c>
      <c r="I46" s="19" cm="1">
        <f t="array" aca="1" ref="I46" ca="1">_FV(RTData[[#This Row],[Company Name]],"Low")</f>
        <v>289.63</v>
      </c>
      <c r="J46" s="19" cm="1">
        <f t="array" aca="1" ref="J46" ca="1">_FV(RTData[[#This Row],[Company Name]],"High")</f>
        <v>294.08999999999997</v>
      </c>
      <c r="K46" s="20" cm="1">
        <f t="array" aca="1" ref="K46" ca="1">IFERROR(_FV(RTData[[#This Row],[Company Name]],"P/E",TRUE),99)</f>
        <v>28.930499999999999</v>
      </c>
      <c r="L46" s="21" cm="1">
        <f t="array" aca="1" ref="L46" ca="1">_FV(RTData[[#This Row],[Company Name]],"Change")</f>
        <v>1.86</v>
      </c>
      <c r="M46" s="22" cm="1">
        <f t="array" aca="1" ref="M46" ca="1">_FV(RTData[[#This Row],[Company Name]],"Change (%)",TRUE)</f>
        <v>6.4390000000000003E-3</v>
      </c>
      <c r="N46" s="19" cm="1">
        <f t="array" aca="1" ref="N46" ca="1">_FV(RTData[[#This Row],[Company Name]],"52 week low",TRUE)</f>
        <v>134.25</v>
      </c>
      <c r="O46" s="19" cm="1">
        <f t="array" aca="1" ref="O46" ca="1">_FV(RTData[[#This Row],[Company Name]],"52 week high",TRUE)</f>
        <v>311.36849999999998</v>
      </c>
      <c r="P46" s="23" cm="1">
        <f t="array" aca="1" ref="P46" ca="1">_FV(RTData[[#This Row],[Company Name]],"Volume")</f>
        <v>10339306</v>
      </c>
      <c r="Q46" s="23" cm="1">
        <f t="array" aca="1" ref="Q46" ca="1">_FV(RTData[[#This Row],[Company Name]],"Volume average",TRUE)</f>
        <v>14773409</v>
      </c>
      <c r="R46" s="19" cm="1">
        <f t="array" aca="1" ref="R46" ca="1">_FV(RTData[[#This Row],[Company Name]],"Beta")</f>
        <v>1.3088</v>
      </c>
      <c r="T46" t="s">
        <v>20</v>
      </c>
      <c r="U46" t="str" cm="1">
        <f t="array" aca="1" ref="U46" ca="1">_FV(RTData[[#This Row],[Company Name]],"Exchange abbreviation",TRUE)</f>
        <v>XNYS</v>
      </c>
      <c r="V46" s="24">
        <f ca="1">IFERROR(RTData[[#This Row],[Volume]]/RTData[[#This Row],[Volume average]],1)</f>
        <v>0.69985918619053999</v>
      </c>
      <c r="W46" s="24"/>
      <c r="X46" s="108">
        <f ca="1">_xlfn.XLOOKUP(RTData[[#This Row],[Ticker symbol]],[2]Sheet2!$B$2:$B$95,[2]Sheet2!$E$2:$E$95)</f>
        <v>307.64688000000001</v>
      </c>
      <c r="Y46" s="101" t="str">
        <f>_xlfn.LET(_xlpm.date,[2]Sheet2!F43,IF(_xlpm.date=0,"",_xlpm.date))</f>
        <v/>
      </c>
      <c r="Z46" s="101" t="str">
        <f>_xlfn.LET(_xlpm.date,[2]Sheet2!G43,IF(_xlpm.date=0,"",_xlpm.date))</f>
        <v>Oct 22, 2025</v>
      </c>
      <c r="AA46" s="102">
        <f>[2]Sheet2!$H43</f>
        <v>0</v>
      </c>
      <c r="AB46" s="103">
        <v>1E-4</v>
      </c>
      <c r="AC46" s="104">
        <v>3.0000000000000001E-3</v>
      </c>
      <c r="AD46" s="90">
        <v>209.14</v>
      </c>
      <c r="AE46" s="105">
        <f ca="1">_xlfn.LET(_xlpm.New1YT,RTData[[#This Row],[1YT]],        _xlpm.Old1YT,IF(ISNUMBER(RTData[[#This Row],[Old1YT]]),RTData[[#This Row],[Old1YT]],VALUE(LEFT(RTData[[#This Row],[Old1YT]],FIND("/",RTData[[#This Row],[Old1YT]],1)-1))),       IF(OR(RTData[[#This Row],[1YT]]=0,_xlpm.Old1YT=0),0,(_xlpm.New1YT-_xlpm.Old1YT)/_xlpm.Old1YT))</f>
        <v>0.47100927608300674</v>
      </c>
      <c r="AF46" s="105" t="str">
        <f ca="1">TEXT(RTData[[#This Row],[1YT]],"#,#0.00")&amp;" &lt; "&amp;RTData[[#This Row],[Old1YT]]</f>
        <v>307.65 &lt; 209.14</v>
      </c>
    </row>
    <row r="47" spans="1:33" x14ac:dyDescent="0.3">
      <c r="A47" s="15" t="str" cm="1">
        <f t="array" aca="1" ref="A47" ca="1">_xlfn.SINGLE(RTData[suffix])&amp;_FV(RTData[[#This Row],[Company Name]],"Ticker symbol",TRUE)</f>
        <v>UN0</v>
      </c>
      <c r="B47" s="15">
        <f ca="1">D99</f>
        <v>0.86065926499698775</v>
      </c>
      <c r="C47" t="e" vm="46">
        <v>#VALUE!</v>
      </c>
      <c r="D47" s="17" t="str" cm="1">
        <f t="array" aca="1" ref="D47" ca="1">_FV(RTData[[#This Row],[Company Name]],"Currency")</f>
        <v>EUR</v>
      </c>
      <c r="E47" s="18" cm="1">
        <f t="array" aca="1" ref="E47" ca="1">_FV(RTData[[#This Row],[Company Name]],"Last trade time",TRUE)</f>
        <v>45953.836805555555</v>
      </c>
      <c r="F47" s="19" cm="1">
        <f t="array" aca="1" ref="F47" ca="1">_FV(RTData[[#This Row],[Company Name]],"Previous close",TRUE)</f>
        <v>31.8</v>
      </c>
      <c r="G47" s="19" cm="1">
        <f t="array" aca="1" ref="G47" ca="1">_FV(RTData[[#This Row],[Company Name]],"Open")</f>
        <v>31.3</v>
      </c>
      <c r="H47" s="19" cm="1">
        <f t="array" aca="1" ref="H47" ca="1">_FV(RTData[[#This Row],[Company Name]],"Price")</f>
        <v>30.95</v>
      </c>
      <c r="I47" s="19" cm="1">
        <f t="array" aca="1" ref="I47" ca="1">_FV(RTData[[#This Row],[Company Name]],"Low")</f>
        <v>30.9</v>
      </c>
      <c r="J47" s="19" cm="1">
        <f t="array" aca="1" ref="J47" ca="1">_FV(RTData[[#This Row],[Company Name]],"High")</f>
        <v>31.3</v>
      </c>
      <c r="K47" s="20" cm="1">
        <f t="array" ref="K47">IFERROR(_FV(RTData[[#This Row],[Company Name]],"P/E",TRUE),99)</f>
        <v>99</v>
      </c>
      <c r="L47" s="21" cm="1">
        <f t="array" aca="1" ref="L47" ca="1">_FV(RTData[[#This Row],[Company Name]],"Change")</f>
        <v>-0.85</v>
      </c>
      <c r="M47" s="22" cm="1">
        <f t="array" aca="1" ref="M47" ca="1">_FV(RTData[[#This Row],[Company Name]],"Change (%)",TRUE)</f>
        <v>-2.673E-2</v>
      </c>
      <c r="N47" s="19" cm="1">
        <f t="array" aca="1" ref="N47" ca="1">_FV(RTData[[#This Row],[Company Name]],"52 week low",TRUE)</f>
        <v>2.1</v>
      </c>
      <c r="O47" s="19" cm="1">
        <f t="array" aca="1" ref="O47" ca="1">_FV(RTData[[#This Row],[Company Name]],"52 week high",TRUE)</f>
        <v>73.5</v>
      </c>
      <c r="P47" s="23" cm="1">
        <f t="array" aca="1" ref="P47" ca="1">_FV(RTData[[#This Row],[Company Name]],"Volume")</f>
        <v>118</v>
      </c>
      <c r="Q47" s="23" cm="1">
        <f t="array" aca="1" ref="Q47" ca="1">_FV(RTData[[#This Row],[Company Name]],"Volume average",TRUE)</f>
        <v>4760</v>
      </c>
      <c r="R47" s="19" cm="1">
        <f t="array" aca="1" ref="R47" ca="1">_FV(RTData[[#This Row],[Company Name]],"Beta")</f>
        <v>1.0701000000000001</v>
      </c>
      <c r="T47" t="s">
        <v>20</v>
      </c>
      <c r="U47" t="str" cm="1">
        <f t="array" aca="1" ref="U47" ca="1">_FV(RTData[[#This Row],[Company Name]],"Exchange abbreviation",TRUE)</f>
        <v>XFRA</v>
      </c>
      <c r="V47" s="24">
        <f ca="1">IFERROR(RTData[[#This Row],[Volume]]/RTData[[#This Row],[Volume average]],1)</f>
        <v>2.4789915966386553E-2</v>
      </c>
      <c r="W47" s="24"/>
      <c r="X47" s="108">
        <f ca="1">_xlfn.XLOOKUP(RTData[[#This Row],[Ticker symbol]],[2]Sheet2!$B$2:$B$95,[2]Sheet2!$E$2:$E$95)</f>
        <v>0</v>
      </c>
      <c r="Y47" s="101">
        <f>_xlfn.LET(_xlpm.date,[2]Sheet2!F44,IF(_xlpm.date=0,"",_xlpm.date))</f>
        <v>46002</v>
      </c>
      <c r="Z47" s="101" t="str">
        <f>_xlfn.LET(_xlpm.date,[2]Sheet2!G44,IF(_xlpm.date=0,"",_xlpm.date))</f>
        <v>Oct 16, 2025</v>
      </c>
      <c r="AA47" s="102">
        <f>[2]Sheet2!$H44</f>
        <v>1.1900000000000001E-2</v>
      </c>
      <c r="AB47" s="103">
        <v>1E-4</v>
      </c>
      <c r="AC47" s="104">
        <v>3.0000000000000001E-3</v>
      </c>
      <c r="AD47" s="90" t="s">
        <v>66</v>
      </c>
      <c r="AE47" s="105">
        <f ca="1">_xlfn.LET(_xlpm.New1YT,RTData[[#This Row],[1YT]],        _xlpm.Old1YT,IF(ISNUMBER(RTData[[#This Row],[Old1YT]]),RTData[[#This Row],[Old1YT]],VALUE(LEFT(RTData[[#This Row],[Old1YT]],FIND("/",RTData[[#This Row],[Old1YT]],1)-1))),       IF(OR(RTData[[#This Row],[1YT]]=0,_xlpm.Old1YT=0),0,(_xlpm.New1YT-_xlpm.Old1YT)/_xlpm.Old1YT))</f>
        <v>0</v>
      </c>
      <c r="AF47" s="105" t="str">
        <f ca="1">TEXT(RTData[[#This Row],[1YT]],"#,#0.00")&amp;" &lt; "&amp;RTData[[#This Row],[Old1YT]]</f>
        <v>0.00 &lt; 229.89/159.2</v>
      </c>
    </row>
    <row r="48" spans="1:33" x14ac:dyDescent="0.3">
      <c r="A48" s="15" t="str" cm="1">
        <f t="array" aca="1" ref="A48" ca="1">_xlfn.SINGLE(RTData[suffix])&amp;_FV(RTData[[#This Row],[Company Name]],"Ticker symbol",TRUE)</f>
        <v>UNIT</v>
      </c>
      <c r="B48" s="15">
        <v>1</v>
      </c>
      <c r="C48" t="e" vm="47">
        <v>#VALUE!</v>
      </c>
      <c r="D48" s="17" t="str" cm="1">
        <f t="array" aca="1" ref="D48" ca="1">_FV(RTData[[#This Row],[Company Name]],"Currency")</f>
        <v>USD</v>
      </c>
      <c r="E48" s="18" cm="1">
        <f t="array" aca="1" ref="E48" ca="1">_FV(RTData[[#This Row],[Company Name]],"Last trade time",TRUE)</f>
        <v>45953.870670057811</v>
      </c>
      <c r="F48" s="28" cm="1">
        <f t="array" aca="1" ref="F48" ca="1">_FV(RTData[[#This Row],[Company Name]],"Previous close",TRUE)</f>
        <v>5.55</v>
      </c>
      <c r="G48" s="28" cm="1">
        <f t="array" aca="1" ref="G48" ca="1">_FV(RTData[[#This Row],[Company Name]],"Open")</f>
        <v>5.5</v>
      </c>
      <c r="H48" s="28" cm="1">
        <f t="array" aca="1" ref="H48" ca="1">_FV(RTData[[#This Row],[Company Name]],"Price")</f>
        <v>5.8</v>
      </c>
      <c r="I48" s="28" cm="1">
        <f t="array" aca="1" ref="I48" ca="1">_FV(RTData[[#This Row],[Company Name]],"Low")</f>
        <v>5.4450000000000003</v>
      </c>
      <c r="J48" s="28" cm="1">
        <f t="array" aca="1" ref="J48" ca="1">_FV(RTData[[#This Row],[Company Name]],"High")</f>
        <v>5.9</v>
      </c>
      <c r="K48" s="20" cm="1">
        <f t="array" aca="1" ref="K48" ca="1">IFERROR(_FV(RTData[[#This Row],[Company Name]],"P/E",TRUE),99)</f>
        <v>24.38</v>
      </c>
      <c r="L48" s="21" cm="1">
        <f t="array" aca="1" ref="L48" ca="1">_FV(RTData[[#This Row],[Company Name]],"Change")</f>
        <v>0.25</v>
      </c>
      <c r="M48" s="22" cm="1">
        <f t="array" aca="1" ref="M48" ca="1">_FV(RTData[[#This Row],[Company Name]],"Change (%)",TRUE)</f>
        <v>4.5045000000000002E-2</v>
      </c>
      <c r="N48" s="28" cm="1">
        <f t="array" aca="1" ref="N48" ca="1">_FV(RTData[[#This Row],[Company Name]],"52 week low",TRUE)</f>
        <v>5.3</v>
      </c>
      <c r="O48" s="28" cm="1">
        <f t="array" aca="1" ref="O48" ca="1">_FV(RTData[[#This Row],[Company Name]],"52 week high",TRUE)</f>
        <v>10.466100000000001</v>
      </c>
      <c r="P48" s="23" cm="1">
        <f t="array" aca="1" ref="P48" ca="1">_FV(RTData[[#This Row],[Company Name]],"Volume")</f>
        <v>2509431</v>
      </c>
      <c r="Q48" s="23" cm="1">
        <f t="array" aca="1" ref="Q48" ca="1">_FV(RTData[[#This Row],[Company Name]],"Volume average",TRUE)</f>
        <v>2992338</v>
      </c>
      <c r="R48" s="28" cm="1">
        <f t="array" aca="1" ref="R48" ca="1">_FV(RTData[[#This Row],[Company Name]],"Beta")</f>
        <v>1.5399</v>
      </c>
      <c r="T48" t="s">
        <v>20</v>
      </c>
      <c r="U48" t="str" cm="1">
        <f t="array" aca="1" ref="U48" ca="1">_FV(RTData[[#This Row],[Company Name]],"Exchange abbreviation",TRUE)</f>
        <v>XNAS</v>
      </c>
      <c r="V48" s="24">
        <f ca="1">IFERROR(RTData[[#This Row],[Volume]]/RTData[[#This Row],[Volume average]],1)</f>
        <v>0.83861883249820035</v>
      </c>
      <c r="W48" s="24"/>
      <c r="X48" s="108">
        <f ca="1">_xlfn.XLOOKUP(RTData[[#This Row],[Ticker symbol]],[2]Sheet2!$B$2:$B$95,[2]Sheet2!$E$2:$E$95)</f>
        <v>7.4749999999999996</v>
      </c>
      <c r="Y48" s="101" t="str">
        <f>_xlfn.LET(_xlpm.date,[2]Sheet2!F45,IF(_xlpm.date=0,"",_xlpm.date))</f>
        <v/>
      </c>
      <c r="Z48" s="101" t="str">
        <f>_xlfn.LET(_xlpm.date,[2]Sheet2!G45,IF(_xlpm.date=0,"",_xlpm.date))</f>
        <v/>
      </c>
      <c r="AA48" s="102">
        <f>[2]Sheet2!$H45</f>
        <v>0</v>
      </c>
      <c r="AB48" s="103"/>
      <c r="AC48" s="104">
        <v>3.0000000000000001E-3</v>
      </c>
      <c r="AD48" s="90">
        <v>42.3</v>
      </c>
      <c r="AE48" s="105">
        <f ca="1">_xlfn.LET(_xlpm.New1YT,RTData[[#This Row],[1YT]],        _xlpm.Old1YT,IF(ISNUMBER(RTData[[#This Row],[Old1YT]]),RTData[[#This Row],[Old1YT]],VALUE(LEFT(RTData[[#This Row],[Old1YT]],FIND("/",RTData[[#This Row],[Old1YT]],1)-1))),       IF(OR(RTData[[#This Row],[1YT]]=0,_xlpm.Old1YT=0),0,(_xlpm.New1YT-_xlpm.Old1YT)/_xlpm.Old1YT))</f>
        <v>-0.82328605200945626</v>
      </c>
      <c r="AF48" s="105" t="str">
        <f ca="1">TEXT(RTData[[#This Row],[1YT]],"#,#0.00")&amp;" &lt; "&amp;RTData[[#This Row],[Old1YT]]</f>
        <v>7.48 &lt; 42.3</v>
      </c>
    </row>
    <row r="49" spans="1:34" x14ac:dyDescent="0.3">
      <c r="A49" s="15" t="str" cm="1">
        <f t="array" aca="1" ref="A49" ca="1">_xlfn.SINGLE(RTData[suffix])&amp;_FV(RTData[[#This Row],[Company Name]],"Ticker symbol",TRUE)</f>
        <v>VLVLY</v>
      </c>
      <c r="B49" s="15">
        <f ca="1">D99</f>
        <v>0.86065926499698775</v>
      </c>
      <c r="C49" t="e" vm="48">
        <v>#VALUE!</v>
      </c>
      <c r="D49" s="17" t="str" cm="1">
        <f t="array" aca="1" ref="D49" ca="1">_FV(RTData[[#This Row],[Company Name]],"Currency")</f>
        <v>USD</v>
      </c>
      <c r="E49" s="18" cm="1">
        <f t="array" aca="1" ref="E49" ca="1">_FV(RTData[[#This Row],[Company Name]],"Last trade time",TRUE)</f>
        <v>45953.888888888891</v>
      </c>
      <c r="F49" s="19" cm="1">
        <f t="array" aca="1" ref="F49" ca="1">_FV(RTData[[#This Row],[Company Name]],"Previous close",TRUE)</f>
        <v>27.18</v>
      </c>
      <c r="G49" s="19" cm="1">
        <f t="array" aca="1" ref="G49" ca="1">_FV(RTData[[#This Row],[Company Name]],"Open")</f>
        <v>27.57</v>
      </c>
      <c r="H49" s="19" cm="1">
        <f t="array" aca="1" ref="H49" ca="1">_FV(RTData[[#This Row],[Company Name]],"Price")</f>
        <v>27.41</v>
      </c>
      <c r="I49" s="19" cm="1">
        <f t="array" aca="1" ref="I49" ca="1">_FV(RTData[[#This Row],[Company Name]],"Low")</f>
        <v>27.324999999999999</v>
      </c>
      <c r="J49" s="19" cm="1">
        <f t="array" aca="1" ref="J49" ca="1">_FV(RTData[[#This Row],[Company Name]],"High")</f>
        <v>27.57</v>
      </c>
      <c r="K49" s="20" cm="1">
        <f t="array" aca="1" ref="K49" ca="1">IFERROR(_FV(RTData[[#This Row],[Company Name]],"P/E",TRUE),99)</f>
        <v>0</v>
      </c>
      <c r="L49" s="21" cm="1">
        <f t="array" aca="1" ref="L49" ca="1">_FV(RTData[[#This Row],[Company Name]],"Change")</f>
        <v>0.23</v>
      </c>
      <c r="M49" s="22" cm="1">
        <f t="array" aca="1" ref="M49" ca="1">_FV(RTData[[#This Row],[Company Name]],"Change (%)",TRUE)</f>
        <v>8.461999999999999E-3</v>
      </c>
      <c r="N49" s="19" cm="1">
        <f t="array" aca="1" ref="N49" ca="1">_FV(RTData[[#This Row],[Company Name]],"52 week low",TRUE)</f>
        <v>22.55</v>
      </c>
      <c r="O49" s="19" cm="1">
        <f t="array" aca="1" ref="O49" ca="1">_FV(RTData[[#This Row],[Company Name]],"52 week high",TRUE)</f>
        <v>33.33</v>
      </c>
      <c r="P49" s="23" cm="1">
        <f t="array" aca="1" ref="P49" ca="1">_FV(RTData[[#This Row],[Company Name]],"Volume")</f>
        <v>64546</v>
      </c>
      <c r="Q49" s="23" cm="1">
        <f t="array" aca="1" ref="Q49" ca="1">_FV(RTData[[#This Row],[Company Name]],"Volume average",TRUE)</f>
        <v>4868410</v>
      </c>
      <c r="R49" s="19" cm="1">
        <f t="array" aca="1" ref="R49" ca="1">_FV(RTData[[#This Row],[Company Name]],"Beta")</f>
        <v>0.92090000000000005</v>
      </c>
      <c r="T49" t="s">
        <v>20</v>
      </c>
      <c r="U49" t="str" cm="1">
        <f t="array" aca="1" ref="U49" ca="1">_FV(RTData[[#This Row],[Company Name]],"Exchange abbreviation",TRUE)</f>
        <v>OTCM</v>
      </c>
      <c r="V49" s="24">
        <f ca="1">IFERROR(RTData[[#This Row],[Volume]]/RTData[[#This Row],[Volume average]],1)</f>
        <v>1.3258127396829765E-2</v>
      </c>
      <c r="W49" s="24"/>
      <c r="X49" s="108">
        <f ca="1">_xlfn.XLOOKUP(RTData[[#This Row],[Ticker symbol]],[2]Sheet2!$B$2:$B$95,[2]Sheet2!$E$2:$E$95)</f>
        <v>36</v>
      </c>
      <c r="Y49" s="101">
        <f>_xlfn.LET(_xlpm.date,[2]Sheet2!F48,IF(_xlpm.date=0,"",_xlpm.date))</f>
        <v>45751</v>
      </c>
      <c r="Z49" s="101" t="str">
        <f>_xlfn.LET(_xlpm.date,[2]Sheet2!G48,IF(_xlpm.date=0,"",_xlpm.date))</f>
        <v/>
      </c>
      <c r="AA49" s="102">
        <f>[2]Sheet2!$H48</f>
        <v>2.8800000999999999E-2</v>
      </c>
      <c r="AB49" s="103">
        <v>1E-4</v>
      </c>
      <c r="AC49" s="104">
        <v>3.0000000000000001E-3</v>
      </c>
      <c r="AD49" s="90">
        <v>29.73</v>
      </c>
      <c r="AE49" s="105">
        <f ca="1">_xlfn.LET(_xlpm.New1YT,RTData[[#This Row],[1YT]],        _xlpm.Old1YT,IF(ISNUMBER(RTData[[#This Row],[Old1YT]]),RTData[[#This Row],[Old1YT]],VALUE(LEFT(RTData[[#This Row],[Old1YT]],FIND("/",RTData[[#This Row],[Old1YT]],1)-1))),       IF(OR(RTData[[#This Row],[1YT]]=0,_xlpm.Old1YT=0),0,(_xlpm.New1YT-_xlpm.Old1YT)/_xlpm.Old1YT))</f>
        <v>0.21089808274470231</v>
      </c>
      <c r="AF49" s="105" t="str">
        <f ca="1">TEXT(RTData[[#This Row],[1YT]],"#,#0.00")&amp;" &lt; "&amp;RTData[[#This Row],[Old1YT]]</f>
        <v>36.00 &lt; 29.73</v>
      </c>
    </row>
    <row r="50" spans="1:34" x14ac:dyDescent="0.3">
      <c r="A50" s="15" t="str" cm="1">
        <f t="array" aca="1" ref="A50" ca="1">_xlfn.SINGLE(RTData[suffix])&amp;_FV(RTData[[#This Row],[Company Name]],"Ticker symbol",TRUE)</f>
        <v>VONN</v>
      </c>
      <c r="B50" s="15">
        <f ca="1">D100</f>
        <v>1.0829542993285683</v>
      </c>
      <c r="C50" t="e" vm="49">
        <v>#VALUE!</v>
      </c>
      <c r="D50" s="17" t="str" cm="1">
        <f t="array" aca="1" ref="D50" ca="1">_FV(RTData[[#This Row],[Company Name]],"Currency")</f>
        <v>CHF</v>
      </c>
      <c r="E50" s="18" cm="1">
        <f t="array" aca="1" ref="E50" ca="1">_FV(RTData[[#This Row],[Company Name]],"Last trade time",TRUE)</f>
        <v>45953.722719907404</v>
      </c>
      <c r="F50" s="37" cm="1">
        <f t="array" aca="1" ref="F50" ca="1">_FV(RTData[[#This Row],[Company Name]],"Previous close",TRUE)</f>
        <v>60.3</v>
      </c>
      <c r="G50" s="37" cm="1">
        <f t="array" aca="1" ref="G50" ca="1">_FV(RTData[[#This Row],[Company Name]],"Open")</f>
        <v>60.2</v>
      </c>
      <c r="H50" s="37" cm="1">
        <f t="array" aca="1" ref="H50" ca="1">_FV(RTData[[#This Row],[Company Name]],"Price")</f>
        <v>61.1</v>
      </c>
      <c r="I50" s="38" cm="1">
        <f t="array" aca="1" ref="I50" ca="1">_FV(RTData[[#This Row],[Company Name]],"Low")</f>
        <v>60.2</v>
      </c>
      <c r="J50" s="38" cm="1">
        <f t="array" aca="1" ref="J50" ca="1">_FV(RTData[[#This Row],[Company Name]],"High")</f>
        <v>61.1</v>
      </c>
      <c r="K50" s="20" cm="1">
        <f t="array" aca="1" ref="K50" ca="1">IFERROR(_FV(RTData[[#This Row],[Company Name]],"P/E",TRUE),99)</f>
        <v>13.611700000000001</v>
      </c>
      <c r="L50" s="21" cm="1">
        <f t="array" aca="1" ref="L50" ca="1">_FV(RTData[[#This Row],[Company Name]],"Change")</f>
        <v>0.8</v>
      </c>
      <c r="M50" s="39" cm="1">
        <f t="array" aca="1" ref="M50" ca="1">_FV(RTData[[#This Row],[Company Name]],"Change (%)",TRUE)</f>
        <v>1.3266999999999999E-2</v>
      </c>
      <c r="N50" s="38" cm="1">
        <f t="array" aca="1" ref="N50" ca="1">_FV(RTData[[#This Row],[Company Name]],"52 week low",TRUE)</f>
        <v>51.1</v>
      </c>
      <c r="O50" s="38" cm="1">
        <f t="array" aca="1" ref="O50" ca="1">_FV(RTData[[#This Row],[Company Name]],"52 week high",TRUE)</f>
        <v>69.5</v>
      </c>
      <c r="P50" s="23" cm="1">
        <f t="array" aca="1" ref="P50" ca="1">_FV(RTData[[#This Row],[Company Name]],"Volume")</f>
        <v>35718</v>
      </c>
      <c r="Q50" s="23" cm="1">
        <f t="array" aca="1" ref="Q50" ca="1">_FV(RTData[[#This Row],[Company Name]],"Volume average",TRUE)</f>
        <v>31990</v>
      </c>
      <c r="R50" s="19" cm="1">
        <f t="array" aca="1" ref="R50" ca="1">_FV(RTData[[#This Row],[Company Name]],"Beta")</f>
        <v>0.99439999999999995</v>
      </c>
      <c r="T50" t="s">
        <v>20</v>
      </c>
      <c r="U50" t="str" cm="1">
        <f t="array" aca="1" ref="U50" ca="1">_FV(RTData[[#This Row],[Company Name]],"Exchange abbreviation",TRUE)</f>
        <v>XSWX</v>
      </c>
      <c r="V50" s="24">
        <f ca="1">IFERROR(RTData[[#This Row],[Volume]]/RTData[[#This Row],[Volume average]],1)</f>
        <v>1.1165364176305095</v>
      </c>
      <c r="W50" s="24"/>
      <c r="X50" s="108">
        <f ca="1">_xlfn.XLOOKUP(RTData[[#This Row],[Ticker symbol]],[2]Sheet2!$B$2:$B$95,[2]Sheet2!$E$2:$E$95)</f>
        <v>61.1</v>
      </c>
      <c r="Y50" s="101">
        <f>_xlfn.LET(_xlpm.date,[2]Sheet2!F49,IF(_xlpm.date=0,"",_xlpm.date))</f>
        <v>45751</v>
      </c>
      <c r="Z50" s="101" t="str">
        <f>_xlfn.LET(_xlpm.date,[2]Sheet2!G49,IF(_xlpm.date=0,"",_xlpm.date))</f>
        <v>Jul 24, 2025</v>
      </c>
      <c r="AA50" s="102">
        <f>[2]Sheet2!$H49</f>
        <v>4.9299999999999997E-2</v>
      </c>
      <c r="AB50" s="103"/>
      <c r="AC50" s="104">
        <v>3.0000000000000001E-3</v>
      </c>
      <c r="AD50" s="90" t="s">
        <v>57</v>
      </c>
      <c r="AE50" s="105">
        <f ca="1">_xlfn.LET(_xlpm.New1YT,RTData[[#This Row],[1YT]],        _xlpm.Old1YT,IF(ISNUMBER(RTData[[#This Row],[Old1YT]]),RTData[[#This Row],[Old1YT]],VALUE(LEFT(RTData[[#This Row],[Old1YT]],FIND("/",RTData[[#This Row],[Old1YT]],1)-1))),       IF(OR(RTData[[#This Row],[1YT]]=0,_xlpm.Old1YT=0),0,(_xlpm.New1YT-_xlpm.Old1YT)/_xlpm.Old1YT))</f>
        <v>1.6393442622951052E-3</v>
      </c>
      <c r="AF50" s="105" t="str">
        <f ca="1">TEXT(RTData[[#This Row],[1YT]],"#,#0.00")&amp;" &lt; "&amp;RTData[[#This Row],[Old1YT]]</f>
        <v>61.10 &lt; 61/57</v>
      </c>
    </row>
    <row r="51" spans="1:34" x14ac:dyDescent="0.3">
      <c r="A51" s="15" t="str" cm="1">
        <f t="array" aca="1" ref="A51" ca="1">_xlfn.SINGLE(RTData[suffix])&amp;_FV(RTData[[#This Row],[Company Name]],"Ticker symbol",TRUE)</f>
        <v>VTRS</v>
      </c>
      <c r="B51" s="15">
        <f ca="1">D99</f>
        <v>0.86065926499698775</v>
      </c>
      <c r="C51" t="e" vm="50">
        <v>#VALUE!</v>
      </c>
      <c r="D51" s="17" t="str" cm="1">
        <f t="array" aca="1" ref="D51" ca="1">_FV(RTData[[#This Row],[Company Name]],"Currency")</f>
        <v>USD</v>
      </c>
      <c r="E51" s="18" cm="1">
        <f t="array" aca="1" ref="E51" ca="1">_FV(RTData[[#This Row],[Company Name]],"Last trade time",TRUE)</f>
        <v>45953.922192117971</v>
      </c>
      <c r="F51" s="19" cm="1">
        <f t="array" aca="1" ref="F51" ca="1">_FV(RTData[[#This Row],[Company Name]],"Previous close",TRUE)</f>
        <v>10.41</v>
      </c>
      <c r="G51" s="19" cm="1">
        <f t="array" aca="1" ref="G51" ca="1">_FV(RTData[[#This Row],[Company Name]],"Open")</f>
        <v>10.39</v>
      </c>
      <c r="H51" s="19" cm="1">
        <f t="array" aca="1" ref="H51" ca="1">_FV(RTData[[#This Row],[Company Name]],"Price")</f>
        <v>10.31</v>
      </c>
      <c r="I51" s="19" cm="1">
        <f t="array" aca="1" ref="I51" ca="1">_FV(RTData[[#This Row],[Company Name]],"Low")</f>
        <v>10.29</v>
      </c>
      <c r="J51" s="19" cm="1">
        <f t="array" aca="1" ref="J51" ca="1">_FV(RTData[[#This Row],[Company Name]],"High")</f>
        <v>10.494999999999999</v>
      </c>
      <c r="K51" s="20" cm="1">
        <f t="array" aca="1" ref="K51" ca="1">IFERROR(_FV(RTData[[#This Row],[Company Name]],"P/E",TRUE),99)</f>
        <v>0</v>
      </c>
      <c r="L51" s="21" cm="1">
        <f t="array" aca="1" ref="L51" ca="1">_FV(RTData[[#This Row],[Company Name]],"Change")</f>
        <v>-0.1</v>
      </c>
      <c r="M51" s="22" cm="1">
        <f t="array" aca="1" ref="M51" ca="1">_FV(RTData[[#This Row],[Company Name]],"Change (%)",TRUE)</f>
        <v>-9.606E-3</v>
      </c>
      <c r="N51" s="19" cm="1">
        <f t="array" aca="1" ref="N51" ca="1">_FV(RTData[[#This Row],[Company Name]],"52 week low",TRUE)</f>
        <v>6.85</v>
      </c>
      <c r="O51" s="19" cm="1">
        <f t="array" aca="1" ref="O51" ca="1">_FV(RTData[[#This Row],[Company Name]],"52 week high",TRUE)</f>
        <v>13.55</v>
      </c>
      <c r="P51" s="23" cm="1">
        <f t="array" aca="1" ref="P51" ca="1">_FV(RTData[[#This Row],[Company Name]],"Volume")</f>
        <v>5274430</v>
      </c>
      <c r="Q51" s="23" cm="1">
        <f t="array" aca="1" ref="Q51" ca="1">_FV(RTData[[#This Row],[Company Name]],"Volume average",TRUE)</f>
        <v>9179417</v>
      </c>
      <c r="R51" s="19" cm="1">
        <f t="array" aca="1" ref="R51" ca="1">_FV(RTData[[#This Row],[Company Name]],"Beta")</f>
        <v>0.89280000000000004</v>
      </c>
      <c r="T51" t="s">
        <v>20</v>
      </c>
      <c r="U51" t="str" cm="1">
        <f t="array" aca="1" ref="U51" ca="1">_FV(RTData[[#This Row],[Company Name]],"Exchange abbreviation",TRUE)</f>
        <v>XNAS</v>
      </c>
      <c r="V51" s="24">
        <f ca="1">IFERROR(RTData[[#This Row],[Volume]]/RTData[[#This Row],[Volume average]],1)</f>
        <v>0.57459313592573469</v>
      </c>
      <c r="W51" s="24"/>
      <c r="X51" s="108">
        <f ca="1">_xlfn.XLOOKUP(RTData[[#This Row],[Ticker symbol]],[2]Sheet2!$B$2:$B$95,[2]Sheet2!$E$2:$E$95)</f>
        <v>11.428570000000001</v>
      </c>
      <c r="Y51" s="101">
        <f>_xlfn.LET(_xlpm.date,[2]Sheet2!F50,IF(_xlpm.date=0,"",_xlpm.date))</f>
        <v>45891</v>
      </c>
      <c r="Z51" s="101" t="str">
        <f>_xlfn.LET(_xlpm.date,[2]Sheet2!G50,IF(_xlpm.date=0,"",_xlpm.date))</f>
        <v>Nov 6, 2025</v>
      </c>
      <c r="AA51" s="102">
        <f>[2]Sheet2!$H50</f>
        <v>4.9299999999999997E-2</v>
      </c>
      <c r="AB51" s="103">
        <v>1E-4</v>
      </c>
      <c r="AC51" s="104">
        <v>3.0000000000000001E-3</v>
      </c>
      <c r="AD51" s="90" t="s">
        <v>67</v>
      </c>
      <c r="AE51" s="105">
        <f ca="1">_xlfn.LET(_xlpm.New1YT,RTData[[#This Row],[1YT]],        _xlpm.Old1YT,IF(ISNUMBER(RTData[[#This Row],[Old1YT]]),RTData[[#This Row],[Old1YT]],VALUE(LEFT(RTData[[#This Row],[Old1YT]],FIND("/",RTData[[#This Row],[Old1YT]],1)-1))),       IF(OR(RTData[[#This Row],[1YT]]=0,_xlpm.Old1YT=0),0,(_xlpm.New1YT-_xlpm.Old1YT)/_xlpm.Old1YT))</f>
        <v>4.268014059753935E-3</v>
      </c>
      <c r="AF51" s="105" t="str">
        <f ca="1">TEXT(RTData[[#This Row],[1YT]],"#,#0.00")&amp;" &lt; "&amp;RTData[[#This Row],[Old1YT]]</f>
        <v>11.43 &lt; 11.38/11.59/15.57</v>
      </c>
    </row>
    <row r="52" spans="1:34" x14ac:dyDescent="0.3">
      <c r="A52" s="15" t="str" cm="1">
        <f t="array" aca="1" ref="A52" ca="1">_xlfn.SINGLE(RTData[suffix])&amp;_FV(RTData[[#This Row],[Company Name]],"Ticker symbol",TRUE)</f>
        <v>WBA</v>
      </c>
      <c r="B52" s="15">
        <f ca="1">D99</f>
        <v>0.86065926499698775</v>
      </c>
      <c r="C52" t="e" vm="51">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8">
        <f ca="1">_xlfn.XLOOKUP(RTData[[#This Row],[Ticker symbol]],[2]Sheet2!$B$2:$B$95,[2]Sheet2!$E$2:$E$95)</f>
        <v>12.11429</v>
      </c>
      <c r="Y52" s="101">
        <f>_xlfn.LET(_xlpm.date,[2]Sheet2!F51,IF(_xlpm.date=0,"",_xlpm.date))</f>
        <v>45614</v>
      </c>
      <c r="Z52" s="101" t="str">
        <f>_xlfn.LET(_xlpm.date,[2]Sheet2!G51,IF(_xlpm.date=0,"",_xlpm.date))</f>
        <v/>
      </c>
      <c r="AA52" s="102">
        <f>[2]Sheet2!$H51</f>
        <v>8.3500005000000002E-2</v>
      </c>
      <c r="AB52" s="103">
        <v>1E-4</v>
      </c>
      <c r="AC52" s="104">
        <v>3.0000000000000001E-3</v>
      </c>
      <c r="AD52" s="90">
        <v>21.58</v>
      </c>
      <c r="AE52" s="105">
        <f ca="1">_xlfn.LET(_xlpm.New1YT,RTData[[#This Row],[1YT]],        _xlpm.Old1YT,IF(ISNUMBER(RTData[[#This Row],[Old1YT]]),RTData[[#This Row],[Old1YT]],VALUE(LEFT(RTData[[#This Row],[Old1YT]],FIND("/",RTData[[#This Row],[Old1YT]],1)-1))),       IF(OR(RTData[[#This Row],[1YT]]=0,_xlpm.Old1YT=0),0,(_xlpm.New1YT-_xlpm.Old1YT)/_xlpm.Old1YT))</f>
        <v>-0.4386334569045412</v>
      </c>
      <c r="AF52" s="105" t="str">
        <f ca="1">TEXT(RTData[[#This Row],[1YT]],"#,#0.00")&amp;" &lt; "&amp;RTData[[#This Row],[Old1YT]]</f>
        <v>12.11 &lt; 21.58</v>
      </c>
    </row>
    <row r="53" spans="1:34" x14ac:dyDescent="0.3">
      <c r="A53" s="15" t="str" cm="1">
        <f t="array" aca="1" ref="A53" ca="1">_xlfn.SINGLE(RTData[suffix])&amp;_FV(RTData[[#This Row],[Company Name]],"Ticker symbol",TRUE)</f>
        <v>XOM</v>
      </c>
      <c r="B53" s="15">
        <f ca="1">D99</f>
        <v>0.86065926499698775</v>
      </c>
      <c r="C53" t="e" vm="52">
        <v>#VALUE!</v>
      </c>
      <c r="D53" s="17" t="str" cm="1">
        <f t="array" aca="1" ref="D53" ca="1">_FV(RTData[[#This Row],[Company Name]],"Currency")</f>
        <v>USD</v>
      </c>
      <c r="E53" s="18" cm="1">
        <f t="array" aca="1" ref="E53" ca="1">_FV(RTData[[#This Row],[Company Name]],"Last trade time",TRUE)</f>
        <v>45953.934055821097</v>
      </c>
      <c r="F53" s="19" cm="1">
        <f t="array" aca="1" ref="F53" ca="1">_FV(RTData[[#This Row],[Company Name]],"Previous close",TRUE)</f>
        <v>114.71</v>
      </c>
      <c r="G53" s="19" cm="1">
        <f t="array" aca="1" ref="G53" ca="1">_FV(RTData[[#This Row],[Company Name]],"Open")</f>
        <v>116.63</v>
      </c>
      <c r="H53" s="19" cm="1">
        <f t="array" aca="1" ref="H53" ca="1">_FV(RTData[[#This Row],[Company Name]],"Price")</f>
        <v>115.95</v>
      </c>
      <c r="I53" s="19" cm="1">
        <f t="array" aca="1" ref="I53" ca="1">_FV(RTData[[#This Row],[Company Name]],"Low")</f>
        <v>115.36</v>
      </c>
      <c r="J53" s="19" cm="1">
        <f t="array" aca="1" ref="J53" ca="1">_FV(RTData[[#This Row],[Company Name]],"High")</f>
        <v>116.85</v>
      </c>
      <c r="K53" s="20" cm="1">
        <f t="array" aca="1" ref="K53" ca="1">IFERROR(_FV(RTData[[#This Row],[Company Name]],"P/E",TRUE),99)</f>
        <v>16.4526</v>
      </c>
      <c r="L53" s="21" cm="1">
        <f t="array" aca="1" ref="L53" ca="1">_FV(RTData[[#This Row],[Company Name]],"Change")</f>
        <v>1.24</v>
      </c>
      <c r="M53" s="22" cm="1">
        <f t="array" aca="1" ref="M53" ca="1">_FV(RTData[[#This Row],[Company Name]],"Change (%)",TRUE)</f>
        <v>1.081E-2</v>
      </c>
      <c r="N53" s="19" cm="1">
        <f t="array" aca="1" ref="N53" ca="1">_FV(RTData[[#This Row],[Company Name]],"52 week low",TRUE)</f>
        <v>97.8</v>
      </c>
      <c r="O53" s="19" cm="1">
        <f t="array" aca="1" ref="O53" ca="1">_FV(RTData[[#This Row],[Company Name]],"52 week high",TRUE)</f>
        <v>123.21</v>
      </c>
      <c r="P53" s="23" cm="1">
        <f t="array" aca="1" ref="P53" ca="1">_FV(RTData[[#This Row],[Company Name]],"Volume")</f>
        <v>14997935</v>
      </c>
      <c r="Q53" s="23" cm="1">
        <f t="array" aca="1" ref="Q53" ca="1">_FV(RTData[[#This Row],[Company Name]],"Volume average",TRUE)</f>
        <v>14968390</v>
      </c>
      <c r="R53" s="19" cm="1">
        <f t="array" aca="1" ref="R53" ca="1">_FV(RTData[[#This Row],[Company Name]],"Beta")</f>
        <v>0.46710000000000002</v>
      </c>
      <c r="T53" t="s">
        <v>20</v>
      </c>
      <c r="U53" t="str" cm="1">
        <f t="array" aca="1" ref="U53" ca="1">_FV(RTData[[#This Row],[Company Name]],"Exchange abbreviation",TRUE)</f>
        <v>XNYS</v>
      </c>
      <c r="V53" s="24">
        <f ca="1">IFERROR(RTData[[#This Row],[Volume]]/RTData[[#This Row],[Volume average]],1)</f>
        <v>1.0019738261763622</v>
      </c>
      <c r="W53" s="24"/>
      <c r="X53" s="108">
        <f ca="1">_xlfn.XLOOKUP(RTData[[#This Row],[Ticker symbol]],[2]Sheet2!$B$2:$B$95,[2]Sheet2!$E$2:$E$95)</f>
        <v>124.4512</v>
      </c>
      <c r="Y53" s="101">
        <f>_xlfn.LET(_xlpm.date,[2]Sheet2!F52,IF(_xlpm.date=0,"",_xlpm.date))</f>
        <v>45884</v>
      </c>
      <c r="Z53" s="101" t="str">
        <f>_xlfn.LET(_xlpm.date,[2]Sheet2!G52,IF(_xlpm.date=0,"",_xlpm.date))</f>
        <v>Oct 31, 2025</v>
      </c>
      <c r="AA53" s="102">
        <f>[2]Sheet2!$H52</f>
        <v>3.5799999999999998E-2</v>
      </c>
      <c r="AB53" s="103">
        <v>1E-4</v>
      </c>
      <c r="AC53" s="104">
        <v>3.0000000000000001E-3</v>
      </c>
      <c r="AD53" s="90">
        <v>132.88</v>
      </c>
      <c r="AE53" s="105">
        <f ca="1">_xlfn.LET(_xlpm.New1YT,RTData[[#This Row],[1YT]],        _xlpm.Old1YT,IF(ISNUMBER(RTData[[#This Row],[Old1YT]]),RTData[[#This Row],[Old1YT]],VALUE(LEFT(RTData[[#This Row],[Old1YT]],FIND("/",RTData[[#This Row],[Old1YT]],1)-1))),       IF(OR(RTData[[#This Row],[1YT]]=0,_xlpm.Old1YT=0),0,(_xlpm.New1YT-_xlpm.Old1YT)/_xlpm.Old1YT))</f>
        <v>-6.343166767007824E-2</v>
      </c>
      <c r="AF53" s="105" t="str">
        <f ca="1">TEXT(RTData[[#This Row],[1YT]],"#,#0.00")&amp;" &lt; "&amp;RTData[[#This Row],[Old1YT]]</f>
        <v>124.45 &lt; 132.88</v>
      </c>
    </row>
    <row r="54" spans="1:34" x14ac:dyDescent="0.3">
      <c r="A54" s="15" t="str" cm="1">
        <f t="array" aca="1" ref="A54" ca="1">_xlfn.SINGLE(RTData[suffix])&amp;_FV(RTData[[#This Row],[Company Name]],"Ticker symbol",TRUE)</f>
        <v>XPER</v>
      </c>
      <c r="B54" s="15">
        <f ca="1">D99</f>
        <v>0.86065926499698775</v>
      </c>
      <c r="C54" t="e" vm="53">
        <v>#VALUE!</v>
      </c>
      <c r="D54" s="17" t="str" cm="1">
        <f t="array" aca="1" ref="D54" ca="1">_FV(RTData[[#This Row],[Company Name]],"Currency")</f>
        <v>USD</v>
      </c>
      <c r="E54" s="18" cm="1">
        <f t="array" aca="1" ref="E54" ca="1">_FV(RTData[[#This Row],[Company Name]],"Last trade time",TRUE)</f>
        <v>45953.905362082813</v>
      </c>
      <c r="F54" s="19" cm="1">
        <f t="array" aca="1" ref="F54" ca="1">_FV(RTData[[#This Row],[Company Name]],"Previous close",TRUE)</f>
        <v>6.55</v>
      </c>
      <c r="G54" s="19" cm="1">
        <f t="array" aca="1" ref="G54" ca="1">_FV(RTData[[#This Row],[Company Name]],"Open")</f>
        <v>6.54</v>
      </c>
      <c r="H54" s="19" cm="1">
        <f t="array" aca="1" ref="H54" ca="1">_FV(RTData[[#This Row],[Company Name]],"Price")</f>
        <v>6.61</v>
      </c>
      <c r="I54" s="19" cm="1">
        <f t="array" aca="1" ref="I54" ca="1">_FV(RTData[[#This Row],[Company Name]],"Low")</f>
        <v>6.54</v>
      </c>
      <c r="J54" s="19" cm="1">
        <f t="array" aca="1" ref="J54" ca="1">_FV(RTData[[#This Row],[Company Name]],"High")</f>
        <v>6.68</v>
      </c>
      <c r="K54" s="20" cm="1">
        <f t="array" ref="K54">IFERROR(_FV(RTData[[#This Row],[Company Name]],"P/E",TRUE),99)</f>
        <v>99</v>
      </c>
      <c r="L54" s="21" cm="1">
        <f t="array" aca="1" ref="L54" ca="1">_FV(RTData[[#This Row],[Company Name]],"Change")</f>
        <v>0.06</v>
      </c>
      <c r="M54" s="22" cm="1">
        <f t="array" aca="1" ref="M54" ca="1">_FV(RTData[[#This Row],[Company Name]],"Change (%)",TRUE)</f>
        <v>9.1599999999999997E-3</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418162</v>
      </c>
      <c r="Q54" s="23" cm="1">
        <f t="array" aca="1" ref="Q54" ca="1">_FV(RTData[[#This Row],[Company Name]],"Volume average",TRUE)</f>
        <v>510665</v>
      </c>
      <c r="R54" s="19" cm="1">
        <f t="array" aca="1" ref="R54" ca="1">_FV(RTData[[#This Row],[Company Name]],"Beta")</f>
        <v>1.1579999999999999</v>
      </c>
      <c r="T54" t="s">
        <v>20</v>
      </c>
      <c r="U54" t="str" cm="1">
        <f t="array" aca="1" ref="U54" ca="1">_FV(RTData[[#This Row],[Company Name]],"Exchange abbreviation",TRUE)</f>
        <v>XNYS</v>
      </c>
      <c r="V54" s="24">
        <f ca="1">IFERROR(RTData[[#This Row],[Volume]]/RTData[[#This Row],[Volume average]],1)</f>
        <v>0.81885776389609621</v>
      </c>
      <c r="W54" s="24"/>
      <c r="X54" s="108">
        <f ca="1">_xlfn.XLOOKUP(RTData[[#This Row],[Ticker symbol]],[2]Sheet2!$B$2:$B$95,[2]Sheet2!$E$2:$E$95)</f>
        <v>11.4</v>
      </c>
      <c r="Y54" s="101" t="str">
        <f>_xlfn.LET(_xlpm.date,[2]Sheet2!F53,IF(_xlpm.date=0,"",_xlpm.date))</f>
        <v/>
      </c>
      <c r="Z54" s="101" t="str">
        <f>_xlfn.LET(_xlpm.date,[2]Sheet2!G53,IF(_xlpm.date=0,"",_xlpm.date))</f>
        <v/>
      </c>
      <c r="AA54" s="102">
        <f>[2]Sheet2!$H53</f>
        <v>0</v>
      </c>
      <c r="AB54" s="103">
        <v>1E-4</v>
      </c>
      <c r="AC54" s="104">
        <v>3.0000000000000001E-3</v>
      </c>
      <c r="AD54" s="90">
        <v>18.75</v>
      </c>
      <c r="AE54" s="105">
        <f ca="1">_xlfn.LET(_xlpm.New1YT,RTData[[#This Row],[1YT]],        _xlpm.Old1YT,IF(ISNUMBER(RTData[[#This Row],[Old1YT]]),RTData[[#This Row],[Old1YT]],VALUE(LEFT(RTData[[#This Row],[Old1YT]],FIND("/",RTData[[#This Row],[Old1YT]],1)-1))),       IF(OR(RTData[[#This Row],[1YT]]=0,_xlpm.Old1YT=0),0,(_xlpm.New1YT-_xlpm.Old1YT)/_xlpm.Old1YT))</f>
        <v>-0.39199999999999996</v>
      </c>
      <c r="AF54" s="105" t="str">
        <f ca="1">TEXT(RTData[[#This Row],[1YT]],"#,#0.00")&amp;" &lt; "&amp;RTData[[#This Row],[Old1YT]]</f>
        <v>11.40 &lt; 18.75</v>
      </c>
    </row>
    <row r="55" spans="1:34" x14ac:dyDescent="0.3">
      <c r="A55" s="57" t="str" cm="1">
        <f t="array" aca="1" ref="A55" ca="1">_xlfn.SINGLE(RTData[suffix])&amp;_FV(RTData[[#This Row],[Company Name]],"Ticker symbol",TRUE)</f>
        <v>MVEALDNE</v>
      </c>
      <c r="B55" s="58">
        <v>1</v>
      </c>
      <c r="C55" t="e" vm="5">
        <v>#VALUE!</v>
      </c>
      <c r="D55" s="61" t="str" cm="1">
        <f t="array" aca="1" ref="D55" ca="1">_FV(RTData[[#This Row],[Company Name]],"Currency")</f>
        <v>EUR</v>
      </c>
      <c r="E55" s="62" cm="1">
        <f t="array" aca="1" ref="E55" ca="1">_FV(RTData[[#This Row],[Company Name]],"Last trade time",TRUE)</f>
        <v>45953.666666666664</v>
      </c>
      <c r="F55" s="68" cm="1">
        <f t="array" aca="1" ref="F55" ca="1">_FV(RTData[[#This Row],[Company Name]],"Previous close",TRUE)</f>
        <v>0.84</v>
      </c>
      <c r="G55" s="68" cm="1">
        <f t="array" aca="1" ref="G55" ca="1">_FV(RTData[[#This Row],[Company Name]],"Open")</f>
        <v>0.84</v>
      </c>
      <c r="H55" s="68" cm="1">
        <f t="array" aca="1" ref="H55" ca="1">_FV(RTData[[#This Row],[Company Name]],"Price")</f>
        <v>0.83799999999999997</v>
      </c>
      <c r="I55" s="68" cm="1">
        <f t="array" aca="1" ref="I55" ca="1">_FV(RTData[[#This Row],[Company Name]],"Low")</f>
        <v>0.81</v>
      </c>
      <c r="J55" s="68" cm="1">
        <f t="array" aca="1" ref="J55" ca="1">_FV(RTData[[#This Row],[Company Name]],"High")</f>
        <v>0.84</v>
      </c>
      <c r="K55" s="63" cm="1">
        <f t="array" aca="1" ref="K55" ca="1">IFERROR(_FV(RTData[[#This Row],[Company Name]],"P/E",TRUE),99)</f>
        <v>0</v>
      </c>
      <c r="L55" s="64" cm="1">
        <f t="array" aca="1" ref="L55" ca="1">_FV(RTData[[#This Row],[Company Name]],"Change")</f>
        <v>-2E-3</v>
      </c>
      <c r="M55" s="65" cm="1">
        <f t="array" aca="1" ref="M55" ca="1">_FV(RTData[[#This Row],[Company Name]],"Change (%)",TRUE)</f>
        <v>-2.3809999999999999E-3</v>
      </c>
      <c r="N55" s="68" cm="1">
        <f t="array" aca="1" ref="N55" ca="1">_FV(RTData[[#This Row],[Company Name]],"52 week low",TRUE)</f>
        <v>0.65</v>
      </c>
      <c r="O55" s="68" cm="1">
        <f t="array" aca="1" ref="O55" ca="1">_FV(RTData[[#This Row],[Company Name]],"52 week high",TRUE)</f>
        <v>1.53</v>
      </c>
      <c r="P55" s="66" cm="1">
        <f t="array" aca="1" ref="P55" ca="1">_FV(RTData[[#This Row],[Company Name]],"Volume")</f>
        <v>2266</v>
      </c>
      <c r="Q55" s="66" cm="1">
        <f t="array" aca="1" ref="Q55" ca="1">_FV(RTData[[#This Row],[Company Name]],"Volume average",TRUE)</f>
        <v>5670</v>
      </c>
      <c r="R55" s="61" cm="1">
        <f t="array" aca="1" ref="R55" ca="1">_FV(RTData[[#This Row],[Company Name]],"Beta")</f>
        <v>1.0339</v>
      </c>
      <c r="S55" s="67" t="s">
        <v>23</v>
      </c>
      <c r="T55" s="67" t="s">
        <v>20</v>
      </c>
      <c r="U55" s="67" t="str" cm="1">
        <f t="array" aca="1" ref="U55" ca="1">_FV(RTData[[#This Row],[Company Name]],"Exchange abbreviation",TRUE)</f>
        <v>XPAR</v>
      </c>
      <c r="V55" s="94">
        <f ca="1">IFERROR(RTData[[#This Row],[Volume]]/RTData[[#This Row],[Volume average]],1)</f>
        <v>0.39964726631393299</v>
      </c>
      <c r="W55" s="94"/>
      <c r="X55" s="108">
        <f ca="1">_xlfn.XLOOKUP(RTData[[#This Row],[Ticker symbol]],[2]Sheet2!$B$2:$B$95,[2]Sheet2!$E$2:$E$95)</f>
        <v>1.5333300000000001</v>
      </c>
      <c r="Y55" s="101" t="str">
        <f>_xlfn.LET(_xlpm.date,[2]Sheet2!F54,IF(_xlpm.date=0,"",_xlpm.date))</f>
        <v/>
      </c>
      <c r="Z55" s="101" t="str">
        <f>_xlfn.LET(_xlpm.date,[2]Sheet2!G54,IF(_xlpm.date=0,"",_xlpm.date))</f>
        <v>--</v>
      </c>
      <c r="AA55" s="102">
        <f>[2]Sheet2!$H54</f>
        <v>0</v>
      </c>
      <c r="AB55" s="103"/>
      <c r="AC55" s="104">
        <v>3.0000000000000001E-3</v>
      </c>
      <c r="AD55" s="90">
        <v>3.87</v>
      </c>
      <c r="AE55" s="105">
        <f ca="1">_xlfn.LET(_xlpm.New1YT,RTData[[#This Row],[1YT]],        _xlpm.Old1YT,IF(ISNUMBER(RTData[[#This Row],[Old1YT]]),RTData[[#This Row],[Old1YT]],VALUE(LEFT(RTData[[#This Row],[Old1YT]],FIND("/",RTData[[#This Row],[Old1YT]],1)-1))),       IF(OR(RTData[[#This Row],[1YT]]=0,_xlpm.Old1YT=0),0,(_xlpm.New1YT-_xlpm.Old1YT)/_xlpm.Old1YT))</f>
        <v>-0.60379069767441851</v>
      </c>
      <c r="AF55" s="105" t="str">
        <f ca="1">TEXT(RTData[[#This Row],[1YT]],"#,#0.00")&amp;" &lt; "&amp;RTData[[#This Row],[Old1YT]]</f>
        <v>1.53 &lt; 3.87</v>
      </c>
      <c r="AG55" s="24"/>
      <c r="AH55" s="51"/>
    </row>
    <row r="56" spans="1:34" x14ac:dyDescent="0.3">
      <c r="A56" s="58" t="str" cm="1">
        <f t="array" aca="1" ref="A56" ca="1">_xlfn.SINGLE(RTData[suffix])&amp;_FV(RTData[[#This Row],[Company Name]],"Ticker symbol",TRUE)</f>
        <v>MVEDDD</v>
      </c>
      <c r="B56" s="58">
        <f ca="1">D99</f>
        <v>0.86065926499698775</v>
      </c>
      <c r="C56" t="e" vm="15">
        <v>#VALUE!</v>
      </c>
      <c r="D56" s="61" t="str" cm="1">
        <f t="array" aca="1" ref="D56" ca="1">_FV(RTData[[#This Row],[Company Name]],"Currency")</f>
        <v>USD</v>
      </c>
      <c r="E56" s="62" cm="1">
        <f t="array" aca="1" ref="E56" ca="1">_FV(RTData[[#This Row],[Company Name]],"Last trade time",TRUE)</f>
        <v>45953.931008935157</v>
      </c>
      <c r="F56" s="61" cm="1">
        <f t="array" aca="1" ref="F56" ca="1">_FV(RTData[[#This Row],[Company Name]],"Previous close",TRUE)</f>
        <v>3.01</v>
      </c>
      <c r="G56" s="61" cm="1">
        <f t="array" aca="1" ref="G56" ca="1">_FV(RTData[[#This Row],[Company Name]],"Open")</f>
        <v>3.08</v>
      </c>
      <c r="H56" s="61" cm="1">
        <f t="array" aca="1" ref="H56" ca="1">_FV(RTData[[#This Row],[Company Name]],"Price")</f>
        <v>3.0750000000000002</v>
      </c>
      <c r="I56" s="61" cm="1">
        <f t="array" aca="1" ref="I56" ca="1">_FV(RTData[[#This Row],[Company Name]],"Low")</f>
        <v>3.01</v>
      </c>
      <c r="J56" s="61" cm="1">
        <f t="array" aca="1" ref="J56" ca="1">_FV(RTData[[#This Row],[Company Name]],"High")</f>
        <v>3.21</v>
      </c>
      <c r="K56" s="63" cm="1">
        <f t="array" ref="K56">IFERROR(_FV(RTData[[#This Row],[Company Name]],"P/E",TRUE),99)</f>
        <v>99</v>
      </c>
      <c r="L56" s="64" cm="1">
        <f t="array" aca="1" ref="L56" ca="1">_FV(RTData[[#This Row],[Company Name]],"Change")</f>
        <v>6.5000000000000002E-2</v>
      </c>
      <c r="M56" s="65" cm="1">
        <f t="array" aca="1" ref="M56" ca="1">_FV(RTData[[#This Row],[Company Name]],"Change (%)",TRUE)</f>
        <v>2.1595E-2</v>
      </c>
      <c r="N56" s="61" cm="1">
        <f t="array" aca="1" ref="N56" ca="1">_FV(RTData[[#This Row],[Company Name]],"52 week low",TRUE)</f>
        <v>1.32</v>
      </c>
      <c r="O56" s="61" cm="1">
        <f t="array" aca="1" ref="O56" ca="1">_FV(RTData[[#This Row],[Company Name]],"52 week high",TRUE)</f>
        <v>4.9991000000000003</v>
      </c>
      <c r="P56" s="66" cm="1">
        <f t="array" aca="1" ref="P56" ca="1">_FV(RTData[[#This Row],[Company Name]],"Volume")</f>
        <v>2828733</v>
      </c>
      <c r="Q56" s="66" cm="1">
        <f t="array" aca="1" ref="Q56" ca="1">_FV(RTData[[#This Row],[Company Name]],"Volume average",TRUE)</f>
        <v>5090282</v>
      </c>
      <c r="R56" s="61" cm="1">
        <f t="array" aca="1" ref="R56" ca="1">_FV(RTData[[#This Row],[Company Name]],"Beta")</f>
        <v>2.1789000000000001</v>
      </c>
      <c r="S56" s="67" t="s">
        <v>23</v>
      </c>
      <c r="T56" s="67" t="s">
        <v>24</v>
      </c>
      <c r="U56" s="67" t="str" cm="1">
        <f t="array" aca="1" ref="U56" ca="1">_FV(RTData[[#This Row],[Company Name]],"Exchange abbreviation",TRUE)</f>
        <v>XNYS</v>
      </c>
      <c r="V56" s="94">
        <f ca="1">IFERROR(RTData[[#This Row],[Volume]]/RTData[[#This Row],[Volume average]],1)</f>
        <v>0.5557124340066032</v>
      </c>
      <c r="W56" s="94"/>
      <c r="X56" s="108">
        <f ca="1">_xlfn.XLOOKUP(RTData[[#This Row],[Ticker symbol]],[2]Sheet2!$B$2:$B$95,[2]Sheet2!$E$2:$E$95)</f>
        <v>3.25</v>
      </c>
      <c r="Y56" s="101" t="str">
        <f>_xlfn.LET(_xlpm.date,[2]Sheet2!F55,IF(_xlpm.date=0,"",_xlpm.date))</f>
        <v/>
      </c>
      <c r="Z56" s="101" t="str">
        <f>_xlfn.LET(_xlpm.date,[2]Sheet2!G55,IF(_xlpm.date=0,"",_xlpm.date))</f>
        <v>Nov 10, 2025</v>
      </c>
      <c r="AA56" s="102">
        <f>[2]Sheet2!$H55</f>
        <v>0</v>
      </c>
      <c r="AB56" s="103">
        <v>1E-4</v>
      </c>
      <c r="AC56" s="104">
        <v>3.0000000000000001E-3</v>
      </c>
      <c r="AD56" s="90">
        <v>3.94</v>
      </c>
      <c r="AE56" s="105">
        <f ca="1">_xlfn.LET(_xlpm.New1YT,RTData[[#This Row],[1YT]],        _xlpm.Old1YT,IF(ISNUMBER(RTData[[#This Row],[Old1YT]]),RTData[[#This Row],[Old1YT]],VALUE(LEFT(RTData[[#This Row],[Old1YT]],FIND("/",RTData[[#This Row],[Old1YT]],1)-1))),       IF(OR(RTData[[#This Row],[1YT]]=0,_xlpm.Old1YT=0),0,(_xlpm.New1YT-_xlpm.Old1YT)/_xlpm.Old1YT))</f>
        <v>-0.17512690355329949</v>
      </c>
      <c r="AF56" s="105" t="str">
        <f ca="1">TEXT(RTData[[#This Row],[1YT]],"#,#0.00")&amp;" &lt; "&amp;RTData[[#This Row],[Old1YT]]</f>
        <v>3.25 &lt; 3.94</v>
      </c>
      <c r="AG56" s="51"/>
    </row>
    <row r="57" spans="1:34" x14ac:dyDescent="0.3">
      <c r="A57" s="58" t="str" cm="1">
        <f t="array" aca="1" ref="A57" ca="1">_xlfn.SINGLE(RTData[suffix])&amp;_FV(RTData[[#This Row],[Company Name]],"Ticker symbol",TRUE)</f>
        <v>MVEDSY</v>
      </c>
      <c r="B57" s="58">
        <v>1</v>
      </c>
      <c r="C57" t="e" vm="17">
        <v>#VALUE!</v>
      </c>
      <c r="D57" s="61" t="str" cm="1">
        <f t="array" aca="1" ref="D57" ca="1">_FV(RTData[[#This Row],[Company Name]],"Currency")</f>
        <v>EUR</v>
      </c>
      <c r="E57" s="62" cm="1">
        <f t="array" aca="1" ref="E57" ca="1">_FV(RTData[[#This Row],[Company Name]],"Last trade time",TRUE)</f>
        <v>45953.666666666664</v>
      </c>
      <c r="F57" s="68" cm="1">
        <f t="array" aca="1" ref="F57" ca="1">_FV(RTData[[#This Row],[Company Name]],"Previous close",TRUE)</f>
        <v>30.12</v>
      </c>
      <c r="G57" s="68" cm="1">
        <f t="array" aca="1" ref="G57" ca="1">_FV(RTData[[#This Row],[Company Name]],"Open")</f>
        <v>26</v>
      </c>
      <c r="H57" s="68" cm="1">
        <f t="array" aca="1" ref="H57" ca="1">_FV(RTData[[#This Row],[Company Name]],"Price")</f>
        <v>26.21</v>
      </c>
      <c r="I57" s="68" cm="1">
        <f t="array" aca="1" ref="I57" ca="1">_FV(RTData[[#This Row],[Company Name]],"Low")</f>
        <v>25.01</v>
      </c>
      <c r="J57" s="68" cm="1">
        <f t="array" aca="1" ref="J57" ca="1">_FV(RTData[[#This Row],[Company Name]],"High")</f>
        <v>26.35</v>
      </c>
      <c r="K57" s="63" cm="1">
        <f t="array" aca="1" ref="K57" ca="1">IFERROR(_FV(RTData[[#This Row],[Company Name]],"P/E",TRUE),99)</f>
        <v>34.608800000000002</v>
      </c>
      <c r="L57" s="64" cm="1">
        <f t="array" aca="1" ref="L57" ca="1">_FV(RTData[[#This Row],[Company Name]],"Change")</f>
        <v>-3.91</v>
      </c>
      <c r="M57" s="65" cm="1">
        <f t="array" aca="1" ref="M57" ca="1">_FV(RTData[[#This Row],[Company Name]],"Change (%)",TRUE)</f>
        <v>-0.12981400000000001</v>
      </c>
      <c r="N57" s="68" cm="1">
        <f t="array" aca="1" ref="N57" ca="1">_FV(RTData[[#This Row],[Company Name]],"52 week low",TRUE)</f>
        <v>25.01</v>
      </c>
      <c r="O57" s="68" cm="1">
        <f t="array" aca="1" ref="O57" ca="1">_FV(RTData[[#This Row],[Company Name]],"52 week high",TRUE)</f>
        <v>41.17</v>
      </c>
      <c r="P57" s="66" cm="1">
        <f t="array" aca="1" ref="P57" ca="1">_FV(RTData[[#This Row],[Company Name]],"Volume")</f>
        <v>7762453</v>
      </c>
      <c r="Q57" s="66" cm="1">
        <f t="array" aca="1" ref="Q57" ca="1">_FV(RTData[[#This Row],[Company Name]],"Volume average",TRUE)</f>
        <v>1473940</v>
      </c>
      <c r="R57" s="61" cm="1">
        <f t="array" aca="1" ref="R57" ca="1">_FV(RTData[[#This Row],[Company Name]],"Beta")</f>
        <v>0.68330000000000002</v>
      </c>
      <c r="S57" s="67" t="s">
        <v>23</v>
      </c>
      <c r="T57" s="67" t="s">
        <v>24</v>
      </c>
      <c r="U57" s="67" t="str" cm="1">
        <f t="array" aca="1" ref="U57" ca="1">_FV(RTData[[#This Row],[Company Name]],"Exchange abbreviation",TRUE)</f>
        <v>XPAR</v>
      </c>
      <c r="V57" s="94">
        <f ca="1">IFERROR(RTData[[#This Row],[Volume]]/RTData[[#This Row],[Volume average]],1)</f>
        <v>5.2664647136247069</v>
      </c>
      <c r="W57" s="94"/>
      <c r="X57" s="108">
        <f ca="1">_xlfn.XLOOKUP(RTData[[#This Row],[Ticker symbol]],[2]Sheet2!$B$2:$B$95,[2]Sheet2!$E$2:$E$95)</f>
        <v>35.352780000000003</v>
      </c>
      <c r="Y57" s="101">
        <f>_xlfn.LET(_xlpm.date,[2]Sheet2!F56,IF(_xlpm.date=0,"",_xlpm.date))</f>
        <v>45803</v>
      </c>
      <c r="Z57" s="101" t="str">
        <f>_xlfn.LET(_xlpm.date,[2]Sheet2!G56,IF(_xlpm.date=0,"",_xlpm.date))</f>
        <v/>
      </c>
      <c r="AA57" s="102">
        <f>AA19</f>
        <v>9.1000000000000004E-3</v>
      </c>
      <c r="AB57" s="103">
        <f>AB19</f>
        <v>0</v>
      </c>
      <c r="AC57" s="104">
        <f>AC19</f>
        <v>3.0000000000000001E-3</v>
      </c>
      <c r="AD57" s="90" t="str">
        <f>AD19</f>
        <v>37.97/38.13/38.23</v>
      </c>
      <c r="AE57" s="105">
        <f ca="1">AE19</f>
        <v>2.9899920990255464</v>
      </c>
      <c r="AF57" s="105" t="str">
        <f ca="1">TEXT(RTData[[#This Row],[1YT]],"#,#0.00")&amp;" &lt; "&amp;RTData[[#This Row],[Old1YT]]</f>
        <v>35.35 &lt; 37.97/38.13/38.23</v>
      </c>
    </row>
    <row r="58" spans="1:34" x14ac:dyDescent="0.3">
      <c r="A58" s="58" t="str" cm="1">
        <f t="array" aca="1" ref="A58" ca="1">_xlfn.SINGLE(RTData[suffix])&amp;_FV(RTData[[#This Row],[Company Name]],"Ticker symbol",TRUE)</f>
        <v>MVEEOAN</v>
      </c>
      <c r="B58" s="58">
        <v>1</v>
      </c>
      <c r="C58" t="e" vm="20">
        <v>#VALUE!</v>
      </c>
      <c r="D58" s="61" t="str" cm="1">
        <f t="array" aca="1" ref="D58" ca="1">_FV(RTData[[#This Row],[Company Name]],"Currency")</f>
        <v>EUR</v>
      </c>
      <c r="E58" s="62" cm="1">
        <f t="array" aca="1" ref="E58" ca="1">_FV(RTData[[#This Row],[Company Name]],"Last trade time",TRUE)</f>
        <v>45953.836805555555</v>
      </c>
      <c r="F58" s="68" cm="1">
        <f t="array" aca="1" ref="F58" ca="1">_FV(RTData[[#This Row],[Company Name]],"Previous close",TRUE)</f>
        <v>16.100000000000001</v>
      </c>
      <c r="G58" s="68" cm="1">
        <f t="array" aca="1" ref="G58" ca="1">_FV(RTData[[#This Row],[Company Name]],"Open")</f>
        <v>16.13</v>
      </c>
      <c r="H58" s="68" cm="1">
        <f t="array" aca="1" ref="H58" ca="1">_FV(RTData[[#This Row],[Company Name]],"Price")</f>
        <v>15.98</v>
      </c>
      <c r="I58" s="68" cm="1">
        <f t="array" aca="1" ref="I58" ca="1">_FV(RTData[[#This Row],[Company Name]],"Low")</f>
        <v>15.97</v>
      </c>
      <c r="J58" s="68" cm="1">
        <f t="array" aca="1" ref="J58" ca="1">_FV(RTData[[#This Row],[Company Name]],"High")</f>
        <v>16.13</v>
      </c>
      <c r="K58" s="63" cm="1">
        <f t="array" aca="1" ref="K58" ca="1">IFERROR(_FV(RTData[[#This Row],[Company Name]],"P/E",TRUE),99)</f>
        <v>13.2066</v>
      </c>
      <c r="L58" s="64" cm="1">
        <f t="array" aca="1" ref="L58" ca="1">_FV(RTData[[#This Row],[Company Name]],"Change")</f>
        <v>-0.12</v>
      </c>
      <c r="M58" s="65" cm="1">
        <f t="array" aca="1" ref="M58" ca="1">_FV(RTData[[#This Row],[Company Name]],"Change (%)",TRUE)</f>
        <v>-7.4529999999999996E-3</v>
      </c>
      <c r="N58" s="68" cm="1">
        <f t="array" aca="1" ref="N58" ca="1">_FV(RTData[[#This Row],[Company Name]],"52 week low",TRUE)</f>
        <v>7.3</v>
      </c>
      <c r="O58" s="68" cm="1">
        <f t="array" aca="1" ref="O58" ca="1">_FV(RTData[[#This Row],[Company Name]],"52 week high",TRUE)</f>
        <v>16.515000000000001</v>
      </c>
      <c r="P58" s="66" cm="1">
        <f t="array" aca="1" ref="P58" ca="1">_FV(RTData[[#This Row],[Company Name]],"Volume")</f>
        <v>6458</v>
      </c>
      <c r="Q58" s="66" cm="1">
        <f t="array" aca="1" ref="Q58" ca="1">_FV(RTData[[#This Row],[Company Name]],"Volume average",TRUE)</f>
        <v>3081430</v>
      </c>
      <c r="R58" s="61" cm="1">
        <f t="array" aca="1" ref="R58" ca="1">_FV(RTData[[#This Row],[Company Name]],"Beta")</f>
        <v>0.72070000000000001</v>
      </c>
      <c r="S58" s="67" t="s">
        <v>23</v>
      </c>
      <c r="T58" s="67" t="s">
        <v>24</v>
      </c>
      <c r="U58" s="67" t="str" cm="1">
        <f t="array" aca="1" ref="U58" ca="1">_FV(RTData[[#This Row],[Company Name]],"Exchange abbreviation",TRUE)</f>
        <v>XFRA</v>
      </c>
      <c r="V58" s="94">
        <f ca="1">IFERROR(RTData[[#This Row],[Volume]]/RTData[[#This Row],[Volume average]],1)</f>
        <v>2.0957802059433446E-3</v>
      </c>
      <c r="W58" s="94"/>
      <c r="X58" s="108">
        <f ca="1">_xlfn.XLOOKUP(RTData[[#This Row],[Ticker symbol]],[2]Sheet2!$B$2:$B$95,[2]Sheet2!$E$2:$E$95)</f>
        <v>16.882349999999999</v>
      </c>
      <c r="Y58" s="101">
        <f>_xlfn.LET(_xlpm.date,[2]Sheet2!F57,IF(_xlpm.date=0,"",_xlpm.date))</f>
        <v>45793</v>
      </c>
      <c r="Z58" s="101" t="str">
        <f>_xlfn.LET(_xlpm.date,[2]Sheet2!G57,IF(_xlpm.date=0,"",_xlpm.date))</f>
        <v/>
      </c>
      <c r="AA58" s="102">
        <f>[2]Sheet2!$H57</f>
        <v>3.4200000000000001E-2</v>
      </c>
      <c r="AB58" s="103"/>
      <c r="AC58" s="104">
        <v>3.0000000000000001E-3</v>
      </c>
      <c r="AD58" s="90">
        <v>14.8</v>
      </c>
      <c r="AE58" s="105">
        <f ca="1">_xlfn.LET(_xlpm.New1YT,RTData[[#This Row],[1YT]],        _xlpm.Old1YT,IF(ISNUMBER(RTData[[#This Row],[Old1YT]]),RTData[[#This Row],[Old1YT]],VALUE(LEFT(RTData[[#This Row],[Old1YT]],FIND("/",RTData[[#This Row],[Old1YT]],1)-1))),       IF(OR(RTData[[#This Row],[1YT]]=0,_xlpm.Old1YT=0),0,(_xlpm.New1YT-_xlpm.Old1YT)/_xlpm.Old1YT))</f>
        <v>0.14069932432432419</v>
      </c>
      <c r="AF58" s="105" t="str">
        <f ca="1">TEXT(RTData[[#This Row],[1YT]],"#,#0.00")&amp;" &lt; "&amp;RTData[[#This Row],[Old1YT]]</f>
        <v>16.88 &lt; 14.8</v>
      </c>
    </row>
    <row r="59" spans="1:34" x14ac:dyDescent="0.3">
      <c r="A59" s="57" t="str" cm="1">
        <f t="array" aca="1" ref="A59" ca="1">_xlfn.SINGLE(RTData[suffix])&amp;_FV(RTData[[#This Row],[Company Name]],"Ticker symbol",TRUE)</f>
        <v>MVEENI</v>
      </c>
      <c r="B59" s="58">
        <v>1</v>
      </c>
      <c r="C59" t="e" vm="54">
        <v>#VALUE!</v>
      </c>
      <c r="D59" s="61" t="str" cm="1">
        <f t="array" aca="1" ref="D59" ca="1">_FV(RTData[[#This Row],[Company Name]],"Currency")</f>
        <v>EUR</v>
      </c>
      <c r="E59" s="62" cm="1">
        <f t="array" aca="1" ref="E59" ca="1">_FV(RTData[[#This Row],[Company Name]],"Last trade time",TRUE)</f>
        <v>45953.666666666664</v>
      </c>
      <c r="F59" s="68" cm="1">
        <f t="array" aca="1" ref="F59" ca="1">_FV(RTData[[#This Row],[Company Name]],"Previous close",TRUE)</f>
        <v>15.125999999999999</v>
      </c>
      <c r="G59" s="68" cm="1">
        <f t="array" aca="1" ref="G59" ca="1">_FV(RTData[[#This Row],[Company Name]],"Open")</f>
        <v>15.35</v>
      </c>
      <c r="H59" s="68" cm="1">
        <f t="array" aca="1" ref="H59" ca="1">_FV(RTData[[#This Row],[Company Name]],"Price")</f>
        <v>15.586</v>
      </c>
      <c r="I59" s="68" cm="1">
        <f t="array" aca="1" ref="I59" ca="1">_FV(RTData[[#This Row],[Company Name]],"Low")</f>
        <v>15.327999999999999</v>
      </c>
      <c r="J59" s="68" cm="1">
        <f t="array" aca="1" ref="J59" ca="1">_FV(RTData[[#This Row],[Company Name]],"High")</f>
        <v>15.63</v>
      </c>
      <c r="K59" s="63" cm="1">
        <f t="array" aca="1" ref="K59" ca="1">IFERROR(_FV(RTData[[#This Row],[Company Name]],"P/E",TRUE),99)</f>
        <v>18.898099999999999</v>
      </c>
      <c r="L59" s="64" cm="1">
        <f t="array" aca="1" ref="L59" ca="1">_FV(RTData[[#This Row],[Company Name]],"Change")</f>
        <v>0.46</v>
      </c>
      <c r="M59" s="65" cm="1">
        <f t="array" aca="1" ref="M59" ca="1">_FV(RTData[[#This Row],[Company Name]],"Change (%)",TRUE)</f>
        <v>3.0411000000000001E-2</v>
      </c>
      <c r="N59" s="68" cm="1">
        <f t="array" aca="1" ref="N59" ca="1">_FV(RTData[[#This Row],[Company Name]],"52 week low",TRUE)</f>
        <v>11.01</v>
      </c>
      <c r="O59" s="68" cm="1">
        <f t="array" aca="1" ref="O59" ca="1">_FV(RTData[[#This Row],[Company Name]],"52 week high",TRUE)</f>
        <v>15.63</v>
      </c>
      <c r="P59" s="66" cm="1">
        <f t="array" aca="1" ref="P59" ca="1">_FV(RTData[[#This Row],[Company Name]],"Volume")</f>
        <v>30583218</v>
      </c>
      <c r="Q59" s="66" cm="1">
        <f t="array" aca="1" ref="Q59" ca="1">_FV(RTData[[#This Row],[Company Name]],"Volume average",TRUE)</f>
        <v>10904760</v>
      </c>
      <c r="R59" s="61" cm="1">
        <f t="array" aca="1" ref="R59" ca="1">_FV(RTData[[#This Row],[Company Name]],"Beta")</f>
        <v>1.0833999999999999</v>
      </c>
      <c r="S59" s="67" t="s">
        <v>23</v>
      </c>
      <c r="T59" s="67" t="s">
        <v>24</v>
      </c>
      <c r="U59" s="67" t="str" cm="1">
        <f t="array" aca="1" ref="U59" ca="1">_FV(RTData[[#This Row],[Company Name]],"Exchange abbreviation",TRUE)</f>
        <v>XMIL</v>
      </c>
      <c r="V59" s="94">
        <f ca="1">IFERROR(RTData[[#This Row],[Volume]]/RTData[[#This Row],[Volume average]],1)</f>
        <v>2.8045750663013216</v>
      </c>
      <c r="W59" s="94"/>
      <c r="X59" s="108">
        <f ca="1">_xlfn.XLOOKUP(RTData[[#This Row],[Ticker symbol]],[2]Sheet2!$B$2:$B$95,[2]Sheet2!$E$2:$E$95)</f>
        <v>15.586360000000001</v>
      </c>
      <c r="Y59" s="101">
        <f>_xlfn.LET(_xlpm.date,[2]Sheet2!F58,IF(_xlpm.date=0,"",_xlpm.date))</f>
        <v>45985</v>
      </c>
      <c r="Z59" s="101" t="str">
        <f>_xlfn.LET(_xlpm.date,[2]Sheet2!G58,IF(_xlpm.date=0,"",_xlpm.date))</f>
        <v/>
      </c>
      <c r="AA59" s="102">
        <f t="shared" ref="AA59:AD59" si="0">AA75</f>
        <v>6.9500000000000006E-2</v>
      </c>
      <c r="AB59" s="103">
        <f t="shared" si="0"/>
        <v>0</v>
      </c>
      <c r="AC59" s="104">
        <f t="shared" si="0"/>
        <v>3.0000000000000001E-3</v>
      </c>
      <c r="AD59" s="90" t="str">
        <f t="shared" si="0"/>
        <v>14.71/14.81/16.46</v>
      </c>
      <c r="AE59" s="105">
        <f ca="1">_xlfn.LET(_xlpm.New1YT,RTData[[#This Row],[1YT]],        _xlpm.Old1YT,IF(ISNUMBER(RTData[[#This Row],[Old1YT]]),RTData[[#This Row],[Old1YT]],VALUE(LEFT(RTData[[#This Row],[Old1YT]],FIND("/",RTData[[#This Row],[Old1YT]],1)-1))),       IF(OR(RTData[[#This Row],[1YT]]=0,_xlpm.Old1YT=0),0,(_xlpm.New1YT-_xlpm.Old1YT)/_xlpm.Old1YT))</f>
        <v>5.9575798776342621E-2</v>
      </c>
      <c r="AF59" s="105" t="str">
        <f ca="1">TEXT(RTData[[#This Row],[1YT]],"#,#0.00")&amp;" &lt; "&amp;RTData[[#This Row],[Old1YT]]</f>
        <v>15.59 &lt; 14.71/14.81/16.46</v>
      </c>
    </row>
    <row r="60" spans="1:34" x14ac:dyDescent="0.3">
      <c r="A60" s="58" t="str" cm="1">
        <f t="array" aca="1" ref="A60" ca="1">_xlfn.SINGLE(RTData[suffix])&amp;_FV(RTData[[#This Row],[Company Name]],"Ticker symbol",TRUE)</f>
        <v>MVEEPIX</v>
      </c>
      <c r="B60" s="58">
        <f ca="1">D99</f>
        <v>0.86065926499698775</v>
      </c>
      <c r="C60" t="e" vm="21">
        <v>#VALUE!</v>
      </c>
      <c r="D60" s="61" t="str" cm="1">
        <f t="array" aca="1" ref="D60" ca="1">_FV(RTData[[#This Row],[Company Name]],"Currency")</f>
        <v>USD</v>
      </c>
      <c r="E60" s="62" cm="1">
        <f t="array" aca="1" ref="E60" ca="1">_FV(RTData[[#This Row],[Company Name]],"Last trade time",TRUE)</f>
        <v>45938.992447279685</v>
      </c>
      <c r="F60" s="61" cm="1">
        <f t="array" aca="1" ref="F60" ca="1">_FV(RTData[[#This Row],[Company Name]],"Previous close",TRUE)</f>
        <v>0.20499999999999999</v>
      </c>
      <c r="G60" s="61" cm="1">
        <f t="array" aca="1" ref="G60" ca="1">_FV(RTData[[#This Row],[Company Name]],"Open")</f>
        <v>0.2</v>
      </c>
      <c r="H60" s="61" cm="1">
        <f t="array" aca="1" ref="H60" ca="1">_FV(RTData[[#This Row],[Company Name]],"Price")</f>
        <v>0.20119999999999999</v>
      </c>
      <c r="I60" s="61" cm="1">
        <f t="array" aca="1" ref="I60" ca="1">_FV(RTData[[#This Row],[Company Name]],"Low")</f>
        <v>0.18990000000000001</v>
      </c>
      <c r="J60" s="61" cm="1">
        <f t="array" aca="1" ref="J60" ca="1">_FV(RTData[[#This Row],[Company Name]],"High")</f>
        <v>0.20699999999999999</v>
      </c>
      <c r="K60" s="63" cm="1">
        <f t="array" aca="1" ref="K60" ca="1">IFERROR(_FV(RTData[[#This Row],[Company Name]],"P/E",TRUE),99)</f>
        <v>0</v>
      </c>
      <c r="L60" s="64" cm="1">
        <f t="array" aca="1" ref="L60" ca="1">_FV(RTData[[#This Row],[Company Name]],"Change")</f>
        <v>0</v>
      </c>
      <c r="M60" s="65" cm="1">
        <f t="array" aca="1" ref="M60" ca="1">_FV(RTData[[#This Row],[Company Name]],"Change (%)",TRUE)</f>
        <v>0</v>
      </c>
      <c r="N60" s="61" cm="1">
        <f t="array" aca="1" ref="N60" ca="1">_FV(RTData[[#This Row],[Company Name]],"52 week low",TRUE)</f>
        <v>0.17330000000000001</v>
      </c>
      <c r="O60" s="61" cm="1">
        <f t="array" aca="1" ref="O60" ca="1">_FV(RTData[[#This Row],[Company Name]],"52 week high",TRUE)</f>
        <v>0.82499999999999996</v>
      </c>
      <c r="P60" s="66" cm="1">
        <f t="array" aca="1" ref="P60" ca="1">_FV(RTData[[#This Row],[Company Name]],"Volume")</f>
        <v>5945141</v>
      </c>
      <c r="Q60" s="66" cm="1">
        <f t="array" aca="1" ref="Q60" ca="1">_FV(RTData[[#This Row],[Company Name]],"Volume average",TRUE)</f>
        <v>3209641</v>
      </c>
      <c r="R60" s="61" cm="1">
        <f t="array" aca="1" ref="R60" ca="1">_FV(RTData[[#This Row],[Company Name]],"Beta")</f>
        <v>1.5513999999999999</v>
      </c>
      <c r="S60" s="67" t="s">
        <v>23</v>
      </c>
      <c r="T60" s="67" t="s">
        <v>24</v>
      </c>
      <c r="U60" s="67" t="str" cm="1">
        <f t="array" aca="1" ref="U60" ca="1">_FV(RTData[[#This Row],[Company Name]],"Exchange abbreviation",TRUE)</f>
        <v>XNAS</v>
      </c>
      <c r="V60" s="94">
        <f ca="1">IFERROR(RTData[[#This Row],[Volume]]/RTData[[#This Row],[Volume average]],1)</f>
        <v>1.8522760022071003</v>
      </c>
      <c r="W60" s="94"/>
      <c r="X60" s="108">
        <f ca="1">_xlfn.XLOOKUP(RTData[[#This Row],[Ticker symbol]],[2]Sheet2!$B$2:$B$95,[2]Sheet2!$E$2:$E$95)</f>
        <v>0</v>
      </c>
      <c r="Y60" s="101">
        <f>_xlfn.LET(_xlpm.date,[2]Sheet2!F59,IF(_xlpm.date=0,"",_xlpm.date))</f>
        <v>45894</v>
      </c>
      <c r="Z60" s="101" t="str">
        <f>_xlfn.LET(_xlpm.date,[2]Sheet2!G59,IF(_xlpm.date=0,"",_xlpm.date))</f>
        <v>Dec 16, 2025</v>
      </c>
      <c r="AA60" s="102">
        <f>[2]Sheet2!$H59</f>
        <v>0</v>
      </c>
      <c r="AB60" s="103">
        <v>1E-4</v>
      </c>
      <c r="AC60" s="104">
        <v>3.0000000000000001E-3</v>
      </c>
      <c r="AD60" s="90">
        <v>9.32</v>
      </c>
      <c r="AE60" s="105">
        <f ca="1">_xlfn.LET(_xlpm.New1YT,RTData[[#This Row],[1YT]],        _xlpm.Old1YT,IF(ISNUMBER(RTData[[#This Row],[Old1YT]]),RTData[[#This Row],[Old1YT]],VALUE(LEFT(RTData[[#This Row],[Old1YT]],FIND("/",RTData[[#This Row],[Old1YT]],1)-1))),       IF(OR(RTData[[#This Row],[1YT]]=0,_xlpm.Old1YT=0),0,(_xlpm.New1YT-_xlpm.Old1YT)/_xlpm.Old1YT))</f>
        <v>0</v>
      </c>
      <c r="AF60" s="105" t="str">
        <f ca="1">TEXT(RTData[[#This Row],[1YT]],"#,#0.00")&amp;" &lt; "&amp;RTData[[#This Row],[Old1YT]]</f>
        <v>0.00 &lt; 9.32</v>
      </c>
    </row>
    <row r="61" spans="1:34" x14ac:dyDescent="0.3">
      <c r="A61" s="58" t="str" cm="1">
        <f t="array" aca="1" ref="A61" ca="1">_xlfn.SINGLE(RTData[suffix])&amp;_FV(RTData[[#This Row],[Company Name]],"Ticker symbol",TRUE)</f>
        <v>MVEGLE</v>
      </c>
      <c r="B61" s="58">
        <v>1</v>
      </c>
      <c r="C61" t="e" vm="55">
        <v>#VALUE!</v>
      </c>
      <c r="D61" s="61" t="str" cm="1">
        <f t="array" aca="1" ref="D61" ca="1">_FV(RTData[[#This Row],[Company Name]],"Currency")</f>
        <v>EUR</v>
      </c>
      <c r="E61" s="62" cm="1">
        <f t="array" aca="1" ref="E61" ca="1">_FV(RTData[[#This Row],[Company Name]],"Last trade time",TRUE)</f>
        <v>45953.666666666664</v>
      </c>
      <c r="F61" s="68" cm="1">
        <f t="array" aca="1" ref="F61" ca="1">_FV(RTData[[#This Row],[Company Name]],"Previous close",TRUE)</f>
        <v>52.88</v>
      </c>
      <c r="G61" s="68" cm="1">
        <f t="array" aca="1" ref="G61" ca="1">_FV(RTData[[#This Row],[Company Name]],"Open")</f>
        <v>53.22</v>
      </c>
      <c r="H61" s="68" cm="1">
        <f t="array" aca="1" ref="H61" ca="1">_FV(RTData[[#This Row],[Company Name]],"Price")</f>
        <v>53.58</v>
      </c>
      <c r="I61" s="68" cm="1">
        <f t="array" aca="1" ref="I61" ca="1">_FV(RTData[[#This Row],[Company Name]],"Low")</f>
        <v>52.8</v>
      </c>
      <c r="J61" s="68" cm="1">
        <f t="array" aca="1" ref="J61" ca="1">_FV(RTData[[#This Row],[Company Name]],"High")</f>
        <v>54</v>
      </c>
      <c r="K61" s="63" cm="1">
        <f t="array" aca="1" ref="K61" ca="1">IFERROR(_FV(RTData[[#This Row],[Company Name]],"P/E",TRUE),99)</f>
        <v>8.8566000000000003</v>
      </c>
      <c r="L61" s="64" cm="1">
        <f t="array" aca="1" ref="L61" ca="1">_FV(RTData[[#This Row],[Company Name]],"Change")</f>
        <v>0.7</v>
      </c>
      <c r="M61" s="65" cm="1">
        <f t="array" aca="1" ref="M61" ca="1">_FV(RTData[[#This Row],[Company Name]],"Change (%)",TRUE)</f>
        <v>1.3238000000000002E-2</v>
      </c>
      <c r="N61" s="68" cm="1">
        <f t="array" aca="1" ref="N61" ca="1">_FV(RTData[[#This Row],[Company Name]],"52 week low",TRUE)</f>
        <v>23.35</v>
      </c>
      <c r="O61" s="68" cm="1">
        <f t="array" aca="1" ref="O61" ca="1">_FV(RTData[[#This Row],[Company Name]],"52 week high",TRUE)</f>
        <v>59.42</v>
      </c>
      <c r="P61" s="66" cm="1">
        <f t="array" aca="1" ref="P61" ca="1">_FV(RTData[[#This Row],[Company Name]],"Volume")</f>
        <v>2134406</v>
      </c>
      <c r="Q61" s="66" cm="1">
        <f t="array" aca="1" ref="Q61" ca="1">_FV(RTData[[#This Row],[Company Name]],"Volume average",TRUE)</f>
        <v>2120970</v>
      </c>
      <c r="R61" s="61" cm="1">
        <f t="array" aca="1" ref="R61" ca="1">_FV(RTData[[#This Row],[Company Name]],"Beta")</f>
        <v>1.5591999999999999</v>
      </c>
      <c r="S61" s="67" t="s">
        <v>23</v>
      </c>
      <c r="T61" s="67" t="s">
        <v>24</v>
      </c>
      <c r="U61" s="67" t="str" cm="1">
        <f t="array" aca="1" ref="U61" ca="1">_FV(RTData[[#This Row],[Company Name]],"Exchange abbreviation",TRUE)</f>
        <v>XPAR</v>
      </c>
      <c r="V61" s="94">
        <f ca="1">IFERROR(RTData[[#This Row],[Volume]]/RTData[[#This Row],[Volume average]],1)</f>
        <v>1.0063348373621503</v>
      </c>
      <c r="W61" s="94"/>
      <c r="X61" s="108">
        <f ca="1">_xlfn.XLOOKUP(RTData[[#This Row],[Ticker symbol]],[2]Sheet2!$B$2:$B$95,[2]Sheet2!$E$2:$E$95)</f>
        <v>63.157220000000002</v>
      </c>
      <c r="Y61" s="101">
        <f>_xlfn.LET(_xlpm.date,[2]Sheet2!F60,IF(_xlpm.date=0,"",_xlpm.date))</f>
        <v>45937</v>
      </c>
      <c r="Z61" s="101" t="str">
        <f>_xlfn.LET(_xlpm.date,[2]Sheet2!G60,IF(_xlpm.date=0,"",_xlpm.date))</f>
        <v>Oct 30, 2025</v>
      </c>
      <c r="AA61" s="102">
        <f t="shared" ref="AA61:AD61" si="1">AA78</f>
        <v>3.1600002000000002E-2</v>
      </c>
      <c r="AB61" s="103">
        <f t="shared" si="1"/>
        <v>0</v>
      </c>
      <c r="AC61" s="104">
        <f t="shared" si="1"/>
        <v>3.0000000000000001E-3</v>
      </c>
      <c r="AD61" s="90" t="str">
        <f t="shared" si="1"/>
        <v>59.77/51.92/30.4</v>
      </c>
      <c r="AE61" s="105">
        <f ca="1">_xlfn.LET(_xlpm.New1YT,RTData[[#This Row],[1YT]],        _xlpm.Old1YT,IF(ISNUMBER(RTData[[#This Row],[Old1YT]]),RTData[[#This Row],[Old1YT]],VALUE(LEFT(RTData[[#This Row],[Old1YT]],FIND("/",RTData[[#This Row],[Old1YT]],1)-1))),       IF(OR(RTData[[#This Row],[1YT]]=0,_xlpm.Old1YT=0),0,(_xlpm.New1YT-_xlpm.Old1YT)/_xlpm.Old1YT))</f>
        <v>5.6670905136356017E-2</v>
      </c>
      <c r="AF61" s="105" t="str">
        <f ca="1">TEXT(RTData[[#This Row],[1YT]],"#,#0.00")&amp;" &lt; "&amp;RTData[[#This Row],[Old1YT]]</f>
        <v>63.16 &lt; 59.77/51.92/30.4</v>
      </c>
    </row>
    <row r="62" spans="1:34" x14ac:dyDescent="0.3">
      <c r="A62" s="58" t="str" cm="1">
        <f t="array" aca="1" ref="A62" ca="1">_xlfn.SINGLE(RTData[suffix])&amp;_FV(RTData[[#This Row],[Company Name]],"Ticker symbol",TRUE)</f>
        <v>MVEORA</v>
      </c>
      <c r="B62" s="58">
        <v>1</v>
      </c>
      <c r="C62" t="e" vm="56">
        <v>#VALUE!</v>
      </c>
      <c r="D62" s="61" t="str" cm="1">
        <f t="array" aca="1" ref="D62" ca="1">_FV(RTData[[#This Row],[Company Name]],"Currency")</f>
        <v>EUR</v>
      </c>
      <c r="E62" s="62" cm="1">
        <f t="array" aca="1" ref="E62" ca="1">_FV(RTData[[#This Row],[Company Name]],"Last trade time",TRUE)</f>
        <v>45953.666666666664</v>
      </c>
      <c r="F62" s="68" cm="1">
        <f t="array" aca="1" ref="F62" ca="1">_FV(RTData[[#This Row],[Company Name]],"Previous close",TRUE)</f>
        <v>14.07</v>
      </c>
      <c r="G62" s="68" cm="1">
        <f t="array" aca="1" ref="G62" ca="1">_FV(RTData[[#This Row],[Company Name]],"Open")</f>
        <v>14.1</v>
      </c>
      <c r="H62" s="68" cm="1">
        <f t="array" aca="1" ref="H62" ca="1">_FV(RTData[[#This Row],[Company Name]],"Price")</f>
        <v>14.15</v>
      </c>
      <c r="I62" s="68" cm="1">
        <f t="array" aca="1" ref="I62" ca="1">_FV(RTData[[#This Row],[Company Name]],"Low")</f>
        <v>13.994999999999999</v>
      </c>
      <c r="J62" s="68" cm="1">
        <f t="array" aca="1" ref="J62" ca="1">_FV(RTData[[#This Row],[Company Name]],"High")</f>
        <v>14.29</v>
      </c>
      <c r="K62" s="63" cm="1">
        <f t="array" aca="1" ref="K62" ca="1">IFERROR(_FV(RTData[[#This Row],[Company Name]],"P/E",TRUE),99)</f>
        <v>44.440899999999999</v>
      </c>
      <c r="L62" s="64" cm="1">
        <f t="array" aca="1" ref="L62" ca="1">_FV(RTData[[#This Row],[Company Name]],"Change")</f>
        <v>0.08</v>
      </c>
      <c r="M62" s="65" cm="1">
        <f t="array" aca="1" ref="M62" ca="1">_FV(RTData[[#This Row],[Company Name]],"Change (%)",TRUE)</f>
        <v>5.6860000000000001E-3</v>
      </c>
      <c r="N62" s="68" cm="1">
        <f t="array" aca="1" ref="N62" ca="1">_FV(RTData[[#This Row],[Company Name]],"52 week low",TRUE)</f>
        <v>9.3699999999999992</v>
      </c>
      <c r="O62" s="68" cm="1">
        <f t="array" aca="1" ref="O62" ca="1">_FV(RTData[[#This Row],[Company Name]],"52 week high",TRUE)</f>
        <v>14.56</v>
      </c>
      <c r="P62" s="66" cm="1">
        <f t="array" aca="1" ref="P62" ca="1">_FV(RTData[[#This Row],[Company Name]],"Volume")</f>
        <v>4437686</v>
      </c>
      <c r="Q62" s="66" cm="1">
        <f t="array" aca="1" ref="Q62" ca="1">_FV(RTData[[#This Row],[Company Name]],"Volume average",TRUE)</f>
        <v>4007920</v>
      </c>
      <c r="R62" s="61" cm="1">
        <f t="array" aca="1" ref="R62" ca="1">_FV(RTData[[#This Row],[Company Name]],"Beta")</f>
        <v>0.30930000000000002</v>
      </c>
      <c r="S62" s="67" t="s">
        <v>23</v>
      </c>
      <c r="T62" s="67" t="s">
        <v>24</v>
      </c>
      <c r="U62" s="67" t="str" cm="1">
        <f t="array" aca="1" ref="U62" ca="1">_FV(RTData[[#This Row],[Company Name]],"Exchange abbreviation",TRUE)</f>
        <v>XPAR</v>
      </c>
      <c r="V62" s="94">
        <f ca="1">IFERROR(RTData[[#This Row],[Volume]]/RTData[[#This Row],[Volume average]],1)</f>
        <v>1.1072291862113017</v>
      </c>
      <c r="W62" s="94"/>
      <c r="X62" s="108">
        <f ca="1">_xlfn.XLOOKUP(RTData[[#This Row],[Ticker symbol]],[2]Sheet2!$B$2:$B$95,[2]Sheet2!$E$2:$E$95)</f>
        <v>15.28889</v>
      </c>
      <c r="Y62" s="101">
        <f>_xlfn.LET(_xlpm.date,[2]Sheet2!F61,IF(_xlpm.date=0,"",_xlpm.date))</f>
        <v>45993</v>
      </c>
      <c r="Z62" s="101" t="str">
        <f>_xlfn.LET(_xlpm.date,[2]Sheet2!G61,IF(_xlpm.date=0,"",_xlpm.date))</f>
        <v/>
      </c>
      <c r="AA62" s="102">
        <f t="shared" ref="AA62:AD62" si="2">AA86</f>
        <v>5.5199999999999999E-2</v>
      </c>
      <c r="AB62" s="103">
        <f t="shared" si="2"/>
        <v>0</v>
      </c>
      <c r="AC62" s="104">
        <f t="shared" si="2"/>
        <v>3.0000000000000001E-3</v>
      </c>
      <c r="AD62" s="90" t="str">
        <f t="shared" si="2"/>
        <v>14.83/14/12.94</v>
      </c>
      <c r="AE62" s="105">
        <f ca="1">_xlfn.LET(_xlpm.New1YT,RTData[[#This Row],[1YT]],        _xlpm.Old1YT,IF(ISNUMBER(RTData[[#This Row],[Old1YT]]),RTData[[#This Row],[Old1YT]],VALUE(LEFT(RTData[[#This Row],[Old1YT]],FIND("/",RTData[[#This Row],[Old1YT]],1)-1))),       IF(OR(RTData[[#This Row],[1YT]]=0,_xlpm.Old1YT=0),0,(_xlpm.New1YT-_xlpm.Old1YT)/_xlpm.Old1YT))</f>
        <v>3.0943358057990575E-2</v>
      </c>
      <c r="AF62" s="105" t="str">
        <f ca="1">TEXT(RTData[[#This Row],[1YT]],"#,#0.00")&amp;" &lt; "&amp;RTData[[#This Row],[Old1YT]]</f>
        <v>15.29 &lt; 14.83/14/12.94</v>
      </c>
    </row>
    <row r="63" spans="1:34" x14ac:dyDescent="0.3">
      <c r="A63" s="58" t="str" cm="1">
        <f t="array" aca="1" ref="A63" ca="1">_xlfn.SINGLE(RTData[suffix])&amp;_FV(RTData[[#This Row],[Company Name]],"Ticker symbol",TRUE)</f>
        <v>MVERWE</v>
      </c>
      <c r="B63" s="58">
        <v>1</v>
      </c>
      <c r="C63" t="e" vm="40">
        <v>#VALUE!</v>
      </c>
      <c r="D63" s="61" t="str" cm="1">
        <f t="array" aca="1" ref="D63" ca="1">_FV(RTData[[#This Row],[Company Name]],"Currency")</f>
        <v>EUR</v>
      </c>
      <c r="E63" s="62" cm="1">
        <f t="array" aca="1" ref="E63" ca="1">_FV(RTData[[#This Row],[Company Name]],"Last trade time",TRUE)</f>
        <v>45953.836805555555</v>
      </c>
      <c r="F63" s="68" cm="1">
        <f t="array" aca="1" ref="F63" ca="1">_FV(RTData[[#This Row],[Company Name]],"Previous close",TRUE)</f>
        <v>40.22</v>
      </c>
      <c r="G63" s="68" cm="1">
        <f t="array" aca="1" ref="G63" ca="1">_FV(RTData[[#This Row],[Company Name]],"Open")</f>
        <v>39.78</v>
      </c>
      <c r="H63" s="68" cm="1">
        <f t="array" aca="1" ref="H63" ca="1">_FV(RTData[[#This Row],[Company Name]],"Price")</f>
        <v>40</v>
      </c>
      <c r="I63" s="68" cm="1">
        <f t="array" aca="1" ref="I63" ca="1">_FV(RTData[[#This Row],[Company Name]],"Low")</f>
        <v>39.78</v>
      </c>
      <c r="J63" s="68" cm="1">
        <f t="array" aca="1" ref="J63" ca="1">_FV(RTData[[#This Row],[Company Name]],"High")</f>
        <v>40.119999999999997</v>
      </c>
      <c r="K63" s="63" cm="1">
        <f t="array" aca="1" ref="K63" ca="1">IFERROR(_FV(RTData[[#This Row],[Company Name]],"P/E",TRUE),99)</f>
        <v>11.4613</v>
      </c>
      <c r="L63" s="64" cm="1">
        <f t="array" aca="1" ref="L63" ca="1">_FV(RTData[[#This Row],[Company Name]],"Change")</f>
        <v>-0.22</v>
      </c>
      <c r="M63" s="65" cm="1">
        <f t="array" aca="1" ref="M63" ca="1">_FV(RTData[[#This Row],[Company Name]],"Change (%)",TRUE)</f>
        <v>-5.47E-3</v>
      </c>
      <c r="N63" s="68" cm="1">
        <f t="array" aca="1" ref="N63" ca="1">_FV(RTData[[#This Row],[Company Name]],"52 week low",TRUE)</f>
        <v>14.231</v>
      </c>
      <c r="O63" s="68" cm="1">
        <f t="array" aca="1" ref="O63" ca="1">_FV(RTData[[#This Row],[Company Name]],"52 week high",TRUE)</f>
        <v>44.03</v>
      </c>
      <c r="P63" s="66" cm="1">
        <f t="array" aca="1" ref="P63" ca="1">_FV(RTData[[#This Row],[Company Name]],"Volume")</f>
        <v>2249</v>
      </c>
      <c r="Q63" s="66" cm="1">
        <f t="array" aca="1" ref="Q63" ca="1">_FV(RTData[[#This Row],[Company Name]],"Volume average",TRUE)</f>
        <v>1718010</v>
      </c>
      <c r="R63" s="61" cm="1">
        <f t="array" aca="1" ref="R63" ca="1">_FV(RTData[[#This Row],[Company Name]],"Beta")</f>
        <v>0.51759999999999995</v>
      </c>
      <c r="S63" s="67" t="s">
        <v>23</v>
      </c>
      <c r="T63" s="67" t="s">
        <v>24</v>
      </c>
      <c r="U63" s="67" t="str" cm="1">
        <f t="array" aca="1" ref="U63" ca="1">_FV(RTData[[#This Row],[Company Name]],"Exchange abbreviation",TRUE)</f>
        <v>XFRA</v>
      </c>
      <c r="V63" s="94">
        <f ca="1">IFERROR(RTData[[#This Row],[Volume]]/RTData[[#This Row],[Volume average]],1)</f>
        <v>1.3090727062124202E-3</v>
      </c>
      <c r="W63" s="94"/>
      <c r="X63" s="108">
        <f ca="1">_xlfn.XLOOKUP(RTData[[#This Row],[Ticker symbol]],[2]Sheet2!$B$2:$B$95,[2]Sheet2!$E$2:$E$95)</f>
        <v>43.982349999999997</v>
      </c>
      <c r="Y63" s="101">
        <f>_xlfn.LET(_xlpm.date,[2]Sheet2!F62,IF(_xlpm.date=0,"",_xlpm.date))</f>
        <v>45779</v>
      </c>
      <c r="Z63" s="101" t="str">
        <f>_xlfn.LET(_xlpm.date,[2]Sheet2!G62,IF(_xlpm.date=0,"",_xlpm.date))</f>
        <v/>
      </c>
      <c r="AA63" s="102">
        <f>[2]Sheet2!$H62</f>
        <v>2.7199999999999998E-2</v>
      </c>
      <c r="AB63" s="103"/>
      <c r="AC63" s="104">
        <v>3.0000000000000001E-3</v>
      </c>
      <c r="AD63" s="90">
        <v>44.4</v>
      </c>
      <c r="AE63" s="105">
        <f ca="1">_xlfn.LET(_xlpm.New1YT,RTData[[#This Row],[1YT]],        _xlpm.Old1YT,IF(ISNUMBER(RTData[[#This Row],[Old1YT]]),RTData[[#This Row],[Old1YT]],VALUE(LEFT(RTData[[#This Row],[Old1YT]],FIND("/",RTData[[#This Row],[Old1YT]],1)-1))),       IF(OR(RTData[[#This Row],[1YT]]=0,_xlpm.Old1YT=0),0,(_xlpm.New1YT-_xlpm.Old1YT)/_xlpm.Old1YT))</f>
        <v>-9.4065315315315732E-3</v>
      </c>
      <c r="AF63" s="105" t="str">
        <f ca="1">TEXT(RTData[[#This Row],[1YT]],"#,#0.00")&amp;" &lt; "&amp;RTData[[#This Row],[Old1YT]]</f>
        <v>43.98 &lt; 44.4</v>
      </c>
    </row>
    <row r="64" spans="1:34" x14ac:dyDescent="0.3">
      <c r="A64" s="58" t="str" cm="1">
        <f t="array" aca="1" ref="A64" ca="1">_xlfn.SINGLE(RTData[suffix])&amp;_FV(RTData[[#This Row],[Company Name]],"Ticker symbol",TRUE)</f>
        <v>MVESAP</v>
      </c>
      <c r="B64" s="58">
        <v>1</v>
      </c>
      <c r="C64" t="e" vm="41">
        <v>#VALUE!</v>
      </c>
      <c r="D64" s="61" t="str" cm="1">
        <f t="array" aca="1" ref="D64" ca="1">_FV(RTData[[#This Row],[Company Name]],"Currency")</f>
        <v>EUR</v>
      </c>
      <c r="E64" s="62" cm="1">
        <f t="array" aca="1" ref="E64" ca="1">_FV(RTData[[#This Row],[Company Name]],"Last trade time",TRUE)</f>
        <v>45953.896145833336</v>
      </c>
      <c r="F64" s="68" cm="1">
        <f t="array" aca="1" ref="F64" ca="1">_FV(RTData[[#This Row],[Company Name]],"Previous close",TRUE)</f>
        <v>236.85</v>
      </c>
      <c r="G64" s="68" cm="1">
        <f t="array" aca="1" ref="G64" ca="1">_FV(RTData[[#This Row],[Company Name]],"Open")</f>
        <v>239.4</v>
      </c>
      <c r="H64" s="68" cm="1">
        <f t="array" aca="1" ref="H64" ca="1">_FV(RTData[[#This Row],[Company Name]],"Price")</f>
        <v>242</v>
      </c>
      <c r="I64" s="68" cm="1">
        <f t="array" aca="1" ref="I64" ca="1">_FV(RTData[[#This Row],[Company Name]],"Low")</f>
        <v>229.7</v>
      </c>
      <c r="J64" s="68" cm="1">
        <f t="array" aca="1" ref="J64" ca="1">_FV(RTData[[#This Row],[Company Name]],"High")</f>
        <v>244.3</v>
      </c>
      <c r="K64" s="63" cm="1">
        <f t="array" aca="1" ref="K64" ca="1">IFERROR(_FV(RTData[[#This Row],[Company Name]],"P/E",TRUE),99)</f>
        <v>39.863</v>
      </c>
      <c r="L64" s="64" cm="1">
        <f t="array" aca="1" ref="L64" ca="1">_FV(RTData[[#This Row],[Company Name]],"Change")</f>
        <v>5.15</v>
      </c>
      <c r="M64" s="65" cm="1">
        <f t="array" aca="1" ref="M64" ca="1">_FV(RTData[[#This Row],[Company Name]],"Change (%)",TRUE)</f>
        <v>2.1743999999999999E-2</v>
      </c>
      <c r="N64" s="68" cm="1">
        <f t="array" aca="1" ref="N64" ca="1">_FV(RTData[[#This Row],[Company Name]],"52 week low",TRUE)</f>
        <v>209.7</v>
      </c>
      <c r="O64" s="68" cm="1">
        <f t="array" aca="1" ref="O64" ca="1">_FV(RTData[[#This Row],[Company Name]],"52 week high",TRUE)</f>
        <v>283.5</v>
      </c>
      <c r="P64" s="66" cm="1">
        <f t="array" aca="1" ref="P64" ca="1">_FV(RTData[[#This Row],[Company Name]],"Volume")</f>
        <v>3172728</v>
      </c>
      <c r="Q64" s="66" cm="1">
        <f t="array" aca="1" ref="Q64" ca="1">_FV(RTData[[#This Row],[Company Name]],"Volume average",TRUE)</f>
        <v>1190530</v>
      </c>
      <c r="R64" s="68" cm="1">
        <f t="array" aca="1" ref="R64" ca="1">_FV(RTData[[#This Row],[Company Name]],"Beta")</f>
        <v>0.99260000000000004</v>
      </c>
      <c r="S64" s="67" t="s">
        <v>23</v>
      </c>
      <c r="T64" s="67" t="s">
        <v>24</v>
      </c>
      <c r="U64" s="67" t="str" cm="1">
        <f t="array" aca="1" ref="U64" ca="1">_FV(RTData[[#This Row],[Company Name]],"Exchange abbreviation",TRUE)</f>
        <v>XETR</v>
      </c>
      <c r="V64" s="94">
        <f ca="1">IFERROR(RTData[[#This Row],[Volume]]/RTData[[#This Row],[Volume average]],1)</f>
        <v>2.6649710633079384</v>
      </c>
      <c r="W64" s="94"/>
      <c r="X64" s="108">
        <f ca="1">_xlfn.XLOOKUP(RTData[[#This Row],[Ticker symbol]],[2]Sheet2!$B$2:$B$95,[2]Sheet2!$E$2:$E$95)</f>
        <v>287.60270000000003</v>
      </c>
      <c r="Y64" s="101">
        <f>_xlfn.LET(_xlpm.date,[2]Sheet2!F63,IF(_xlpm.date=0,"",_xlpm.date))</f>
        <v>45791</v>
      </c>
      <c r="Z64" s="101" t="str">
        <f>_xlfn.LET(_xlpm.date,[2]Sheet2!G63,IF(_xlpm.date=0,"",_xlpm.date))</f>
        <v/>
      </c>
      <c r="AA64" s="102">
        <f>[2]Sheet2!$H63</f>
        <v>1.0199999E-2</v>
      </c>
      <c r="AB64" s="103"/>
      <c r="AC64" s="104">
        <v>3.0000000000000001E-3</v>
      </c>
      <c r="AD64" s="90">
        <v>312.72000000000003</v>
      </c>
      <c r="AE64" s="105">
        <f ca="1">_xlfn.LET(_xlpm.New1YT,RTData[[#This Row],[1YT]],        _xlpm.Old1YT,IF(ISNUMBER(RTData[[#This Row],[Old1YT]]),RTData[[#This Row],[Old1YT]],VALUE(LEFT(RTData[[#This Row],[Old1YT]],FIND("/",RTData[[#This Row],[Old1YT]],1)-1))),       IF(OR(RTData[[#This Row],[1YT]]=0,_xlpm.Old1YT=0),0,(_xlpm.New1YT-_xlpm.Old1YT)/_xlpm.Old1YT))</f>
        <v>-8.0318815553850079E-2</v>
      </c>
      <c r="AF64" s="105" t="str">
        <f ca="1">TEXT(RTData[[#This Row],[1YT]],"#,#0.00")&amp;" &lt; "&amp;RTData[[#This Row],[Old1YT]]</f>
        <v>287.60 &lt; 312.72</v>
      </c>
    </row>
    <row r="65" spans="1:32" x14ac:dyDescent="0.3">
      <c r="A65" s="58" t="str" cm="1">
        <f t="array" aca="1" ref="A65" ca="1">_xlfn.SINGLE(RTData[suffix])&amp;_FV(RTData[[#This Row],[Company Name]],"Ticker symbol",TRUE)</f>
        <v>MVEUN0</v>
      </c>
      <c r="B65" s="58">
        <v>1</v>
      </c>
      <c r="C65" t="e" vm="46">
        <v>#VALUE!</v>
      </c>
      <c r="D65" s="61" t="str" cm="1">
        <f t="array" aca="1" ref="D65" ca="1">_FV(RTData[[#This Row],[Company Name]],"Currency")</f>
        <v>EUR</v>
      </c>
      <c r="E65" s="62" cm="1">
        <f t="array" aca="1" ref="E65" ca="1">_FV(RTData[[#This Row],[Company Name]],"Last trade time",TRUE)</f>
        <v>45953.836805555555</v>
      </c>
      <c r="F65" s="68" cm="1">
        <f t="array" aca="1" ref="F65" ca="1">_FV(RTData[[#This Row],[Company Name]],"Previous close",TRUE)</f>
        <v>31.8</v>
      </c>
      <c r="G65" s="68" cm="1">
        <f t="array" aca="1" ref="G65" ca="1">_FV(RTData[[#This Row],[Company Name]],"Open")</f>
        <v>31.3</v>
      </c>
      <c r="H65" s="68" cm="1">
        <f t="array" aca="1" ref="H65" ca="1">_FV(RTData[[#This Row],[Company Name]],"Price")</f>
        <v>30.95</v>
      </c>
      <c r="I65" s="68" cm="1">
        <f t="array" aca="1" ref="I65" ca="1">_FV(RTData[[#This Row],[Company Name]],"Low")</f>
        <v>30.9</v>
      </c>
      <c r="J65" s="68" cm="1">
        <f t="array" aca="1" ref="J65" ca="1">_FV(RTData[[#This Row],[Company Name]],"High")</f>
        <v>31.3</v>
      </c>
      <c r="K65" s="63" cm="1">
        <f t="array" ref="K65">IFERROR(_FV(RTData[[#This Row],[Company Name]],"P/E",TRUE),99)</f>
        <v>99</v>
      </c>
      <c r="L65" s="64" cm="1">
        <f t="array" aca="1" ref="L65" ca="1">_FV(RTData[[#This Row],[Company Name]],"Change")</f>
        <v>-0.85</v>
      </c>
      <c r="M65" s="65" cm="1">
        <f t="array" aca="1" ref="M65" ca="1">_FV(RTData[[#This Row],[Company Name]],"Change (%)",TRUE)</f>
        <v>-2.673E-2</v>
      </c>
      <c r="N65" s="68" cm="1">
        <f t="array" aca="1" ref="N65" ca="1">_FV(RTData[[#This Row],[Company Name]],"52 week low",TRUE)</f>
        <v>2.1</v>
      </c>
      <c r="O65" s="68" cm="1">
        <f t="array" aca="1" ref="O65" ca="1">_FV(RTData[[#This Row],[Company Name]],"52 week high",TRUE)</f>
        <v>73.5</v>
      </c>
      <c r="P65" s="66" cm="1">
        <f t="array" aca="1" ref="P65" ca="1">_FV(RTData[[#This Row],[Company Name]],"Volume")</f>
        <v>118</v>
      </c>
      <c r="Q65" s="66" cm="1">
        <f t="array" aca="1" ref="Q65" ca="1">_FV(RTData[[#This Row],[Company Name]],"Volume average",TRUE)</f>
        <v>4760</v>
      </c>
      <c r="R65" s="61" cm="1">
        <f t="array" aca="1" ref="R65" ca="1">_FV(RTData[[#This Row],[Company Name]],"Beta")</f>
        <v>1.0701000000000001</v>
      </c>
      <c r="S65" s="67" t="s">
        <v>23</v>
      </c>
      <c r="T65" s="67" t="s">
        <v>24</v>
      </c>
      <c r="U65" s="67" t="str" cm="1">
        <f t="array" aca="1" ref="U65" ca="1">_FV(RTData[[#This Row],[Company Name]],"Exchange abbreviation",TRUE)</f>
        <v>XFRA</v>
      </c>
      <c r="V65" s="94">
        <f ca="1">IFERROR(RTData[[#This Row],[Volume]]/RTData[[#This Row],[Volume average]],1)</f>
        <v>2.4789915966386553E-2</v>
      </c>
      <c r="W65" s="94"/>
      <c r="X65" s="108">
        <f ca="1">_xlfn.XLOOKUP(RTData[[#This Row],[Ticker symbol]],[2]Sheet2!$B$2:$B$95,[2]Sheet2!$E$2:$E$95)</f>
        <v>0</v>
      </c>
      <c r="Y65" s="101" t="str">
        <f>_xlfn.LET(_xlpm.date,[2]Sheet2!F64,IF(_xlpm.date=0,"",_xlpm.date))</f>
        <v/>
      </c>
      <c r="Z65" s="101" t="str">
        <f>_xlfn.LET(_xlpm.date,[2]Sheet2!G64,IF(_xlpm.date=0,"",_xlpm.date))</f>
        <v/>
      </c>
      <c r="AA65" s="102">
        <f>[2]Sheet2!$H64</f>
        <v>0</v>
      </c>
      <c r="AB65" s="103">
        <f t="shared" ref="AB65:AC65" si="3">AB48</f>
        <v>0</v>
      </c>
      <c r="AC65" s="104">
        <f t="shared" si="3"/>
        <v>3.0000000000000001E-3</v>
      </c>
      <c r="AD65" s="90">
        <v>45.9</v>
      </c>
      <c r="AE65" s="105">
        <f ca="1">_xlfn.LET(_xlpm.New1YT,RTData[[#This Row],[1YT]],        _xlpm.Old1YT,IF(ISNUMBER(RTData[[#This Row],[Old1YT]]),RTData[[#This Row],[Old1YT]],VALUE(LEFT(RTData[[#This Row],[Old1YT]],FIND("/",RTData[[#This Row],[Old1YT]],1)-1))),       IF(OR(RTData[[#This Row],[1YT]]=0,_xlpm.Old1YT=0),0,(_xlpm.New1YT-_xlpm.Old1YT)/_xlpm.Old1YT))</f>
        <v>0</v>
      </c>
      <c r="AF65" s="105" t="str">
        <f ca="1">TEXT(RTData[[#This Row],[1YT]],"#,#0.00")&amp;" &lt; "&amp;RTData[[#This Row],[Old1YT]]</f>
        <v>0.00 &lt; 45.9</v>
      </c>
    </row>
    <row r="66" spans="1:32" x14ac:dyDescent="0.3">
      <c r="A66" s="40" t="str" cm="1">
        <f t="array" aca="1" ref="A66" ca="1">_xlfn.SINGLE(RTData[suffix])&amp;_FV(RTData[[#This Row],[Company Name]],"Ticker symbol",TRUE)</f>
        <v>SAFAAPL</v>
      </c>
      <c r="B66" s="40">
        <f ca="1">D99</f>
        <v>0.86065926499698775</v>
      </c>
      <c r="C66" t="e" vm="1">
        <v>#VALUE!</v>
      </c>
      <c r="D66" s="17" t="str" cm="1">
        <f t="array" aca="1" ref="D66" ca="1">_FV(RTData[[#This Row],[Company Name]],"Currency")</f>
        <v>USD</v>
      </c>
      <c r="E66" s="18" cm="1">
        <f t="array" aca="1" ref="E66" ca="1">_FV(RTData[[#This Row],[Company Name]],"Last trade time",TRUE)</f>
        <v>45953.935132731247</v>
      </c>
      <c r="F66" s="19" cm="1">
        <f t="array" aca="1" ref="F66" ca="1">_FV(RTData[[#This Row],[Company Name]],"Previous close",TRUE)</f>
        <v>258.45</v>
      </c>
      <c r="G66" s="19" cm="1">
        <f t="array" aca="1" ref="G66" ca="1">_FV(RTData[[#This Row],[Company Name]],"Open")</f>
        <v>259.94</v>
      </c>
      <c r="H66" s="19" cm="1">
        <f t="array" aca="1" ref="H66" ca="1">_FV(RTData[[#This Row],[Company Name]],"Price")</f>
        <v>259.58</v>
      </c>
      <c r="I66" s="19" cm="1">
        <f t="array" aca="1" ref="I66" ca="1">_FV(RTData[[#This Row],[Company Name]],"Low")</f>
        <v>258.01010000000002</v>
      </c>
      <c r="J66" s="19" cm="1">
        <f t="array" aca="1" ref="J66" ca="1">_FV(RTData[[#This Row],[Company Name]],"High")</f>
        <v>260.62</v>
      </c>
      <c r="K66" s="20" cm="1">
        <f t="array" aca="1" ref="K66" ca="1">IFERROR(_FV(RTData[[#This Row],[Company Name]],"P/E",TRUE),99)</f>
        <v>35.802700000000002</v>
      </c>
      <c r="L66" s="21" cm="1">
        <f t="array" aca="1" ref="L66" ca="1">_FV(RTData[[#This Row],[Company Name]],"Change")</f>
        <v>1.1299999999999999</v>
      </c>
      <c r="M66" s="22" cm="1">
        <f t="array" aca="1" ref="M66" ca="1">_FV(RTData[[#This Row],[Company Name]],"Change (%)",TRUE)</f>
        <v>4.372E-3</v>
      </c>
      <c r="N66" s="19" cm="1">
        <f t="array" aca="1" ref="N66" ca="1">_FV(RTData[[#This Row],[Company Name]],"52 week low",TRUE)</f>
        <v>169.21010000000001</v>
      </c>
      <c r="O66" s="19" cm="1">
        <f t="array" aca="1" ref="O66" ca="1">_FV(RTData[[#This Row],[Company Name]],"52 week high",TRUE)</f>
        <v>265.29000000000002</v>
      </c>
      <c r="P66" s="23" cm="1">
        <f t="array" aca="1" ref="P66" ca="1">_FV(RTData[[#This Row],[Company Name]],"Volume")</f>
        <v>32648320</v>
      </c>
      <c r="Q66" s="23" cm="1">
        <f t="array" aca="1" ref="Q66" ca="1">_FV(RTData[[#This Row],[Company Name]],"Volume average",TRUE)</f>
        <v>53110715</v>
      </c>
      <c r="R66" s="19" cm="1">
        <f t="array" aca="1" ref="R66" ca="1">_FV(RTData[[#This Row],[Company Name]],"Beta")</f>
        <v>1.0826</v>
      </c>
      <c r="S66" t="s">
        <v>25</v>
      </c>
      <c r="T66" t="s">
        <v>26</v>
      </c>
      <c r="U66" t="str" cm="1">
        <f t="array" aca="1" ref="U66" ca="1">_FV(RTData[[#This Row],[Company Name]],"Exchange abbreviation",TRUE)</f>
        <v>XNAS</v>
      </c>
      <c r="V66" s="24">
        <f ca="1">IFERROR(RTData[[#This Row],[Volume]]/RTData[[#This Row],[Volume average]],1)</f>
        <v>0.61472190686945183</v>
      </c>
      <c r="W66" s="24"/>
      <c r="X66" s="108">
        <f ca="1">_xlfn.XLOOKUP(RTData[[#This Row],[Ticker symbol]],[2]Sheet2!$B$2:$B$95,[2]Sheet2!$E$2:$E$95)</f>
        <v>248.17128</v>
      </c>
      <c r="Y66" s="101">
        <f>_xlfn.LET(_xlpm.date,[2]Sheet2!F65,IF(_xlpm.date=0,"",_xlpm.date))</f>
        <v>45880</v>
      </c>
      <c r="Z66" s="101" t="str">
        <f>_xlfn.LET(_xlpm.date,[2]Sheet2!G65,IF(_xlpm.date=0,"",_xlpm.date))</f>
        <v>Oct 30, 2025</v>
      </c>
      <c r="AA66" s="102">
        <f>[2]Sheet2!$H65</f>
        <v>4.1999999999999997E-3</v>
      </c>
      <c r="AB66" s="103">
        <v>1E-4</v>
      </c>
      <c r="AC66" s="104">
        <v>3.0000000000000001E-3</v>
      </c>
      <c r="AD66" s="90">
        <v>207.58</v>
      </c>
      <c r="AE66" s="105">
        <f ca="1">_xlfn.LET(_xlpm.New1YT,RTData[[#This Row],[1YT]],        _xlpm.Old1YT,IF(ISNUMBER(RTData[[#This Row],[Old1YT]]),RTData[[#This Row],[Old1YT]],VALUE(LEFT(RTData[[#This Row],[Old1YT]],FIND("/",RTData[[#This Row],[Old1YT]],1)-1))),       IF(OR(RTData[[#This Row],[1YT]]=0,_xlpm.Old1YT=0),0,(_xlpm.New1YT-_xlpm.Old1YT)/_xlpm.Old1YT))</f>
        <v>0.19554523557182762</v>
      </c>
      <c r="AF66" s="105" t="str">
        <f ca="1">TEXT(RTData[[#This Row],[1YT]],"#,#0.00")&amp;" &lt; "&amp;RTData[[#This Row],[Old1YT]]</f>
        <v>248.17 &lt; 207.58</v>
      </c>
    </row>
    <row r="67" spans="1:32" x14ac:dyDescent="0.3">
      <c r="A67" s="40" t="str" cm="1">
        <f t="array" aca="1" ref="A67" ca="1">_xlfn.SINGLE(RTData[suffix])&amp;_FV(RTData[[#This Row],[Company Name]],"Ticker symbol",TRUE)</f>
        <v>SAFAMZN</v>
      </c>
      <c r="B67" s="40">
        <f ca="1">D99</f>
        <v>0.86065926499698775</v>
      </c>
      <c r="C67" t="e" vm="4">
        <v>#VALUE!</v>
      </c>
      <c r="D67" s="17" t="str" cm="1">
        <f t="array" aca="1" ref="D67" ca="1">_FV(RTData[[#This Row],[Company Name]],"Currency")</f>
        <v>USD</v>
      </c>
      <c r="E67" s="18" cm="1">
        <f t="array" aca="1" ref="E67" ca="1">_FV(RTData[[#This Row],[Company Name]],"Last trade time",TRUE)</f>
        <v>45953.935426620315</v>
      </c>
      <c r="F67" s="19" cm="1">
        <f t="array" aca="1" ref="F67" ca="1">_FV(RTData[[#This Row],[Company Name]],"Previous close",TRUE)</f>
        <v>217.95</v>
      </c>
      <c r="G67" s="19" cm="1">
        <f t="array" aca="1" ref="G67" ca="1">_FV(RTData[[#This Row],[Company Name]],"Open")</f>
        <v>219</v>
      </c>
      <c r="H67" s="19" cm="1">
        <f t="array" aca="1" ref="H67" ca="1">_FV(RTData[[#This Row],[Company Name]],"Price")</f>
        <v>221.09</v>
      </c>
      <c r="I67" s="19" cm="1">
        <f t="array" aca="1" ref="I67" ca="1">_FV(RTData[[#This Row],[Company Name]],"Low")</f>
        <v>218.18</v>
      </c>
      <c r="J67" s="19" cm="1">
        <f t="array" aca="1" ref="J67" ca="1">_FV(RTData[[#This Row],[Company Name]],"High")</f>
        <v>221.3</v>
      </c>
      <c r="K67" s="20" cm="1">
        <f t="array" aca="1" ref="K67" ca="1">IFERROR(_FV(RTData[[#This Row],[Company Name]],"P/E",TRUE),99)</f>
        <v>33.737699999999997</v>
      </c>
      <c r="L67" s="21" cm="1">
        <f t="array" aca="1" ref="L67" ca="1">_FV(RTData[[#This Row],[Company Name]],"Change")</f>
        <v>3.14</v>
      </c>
      <c r="M67" s="22" cm="1">
        <f t="array" aca="1" ref="M67" ca="1">_FV(RTData[[#This Row],[Company Name]],"Change (%)",TRUE)</f>
        <v>1.4407000000000001E-2</v>
      </c>
      <c r="N67" s="19" cm="1">
        <f t="array" aca="1" ref="N67" ca="1">_FV(RTData[[#This Row],[Company Name]],"52 week low",TRUE)</f>
        <v>161.38</v>
      </c>
      <c r="O67" s="19" cm="1">
        <f t="array" aca="1" ref="O67" ca="1">_FV(RTData[[#This Row],[Company Name]],"52 week high",TRUE)</f>
        <v>242.52</v>
      </c>
      <c r="P67" s="23" cm="1">
        <f t="array" aca="1" ref="P67" ca="1">_FV(RTData[[#This Row],[Company Name]],"Volume")</f>
        <v>31481995</v>
      </c>
      <c r="Q67" s="23" cm="1">
        <f t="array" aca="1" ref="Q67" ca="1">_FV(RTData[[#This Row],[Company Name]],"Volume average",TRUE)</f>
        <v>48377656</v>
      </c>
      <c r="R67" s="19" cm="1">
        <f t="array" aca="1" ref="R67" ca="1">_FV(RTData[[#This Row],[Company Name]],"Beta")</f>
        <v>1.2831999999999999</v>
      </c>
      <c r="S67" t="s">
        <v>25</v>
      </c>
      <c r="T67" t="s">
        <v>26</v>
      </c>
      <c r="U67" t="str" cm="1">
        <f t="array" aca="1" ref="U67" ca="1">_FV(RTData[[#This Row],[Company Name]],"Exchange abbreviation",TRUE)</f>
        <v>XNAS</v>
      </c>
      <c r="V67" s="24">
        <f ca="1">IFERROR(RTData[[#This Row],[Volume]]/RTData[[#This Row],[Volume average]],1)</f>
        <v>0.65075486501454305</v>
      </c>
      <c r="W67" s="24"/>
      <c r="X67" s="108">
        <f ca="1">_xlfn.XLOOKUP(RTData[[#This Row],[Ticker symbol]],[2]Sheet2!$B$2:$B$95,[2]Sheet2!$E$2:$E$95)</f>
        <v>266.56450000000001</v>
      </c>
      <c r="Y67" s="101" t="str">
        <f>_xlfn.LET(_xlpm.date,[2]Sheet2!F66,IF(_xlpm.date=0,"",_xlpm.date))</f>
        <v/>
      </c>
      <c r="Z67" s="101" t="str">
        <f>_xlfn.LET(_xlpm.date,[2]Sheet2!G66,IF(_xlpm.date=0,"",_xlpm.date))</f>
        <v>Oct 30, 2025</v>
      </c>
      <c r="AA67" s="102">
        <f>[2]Sheet2!$H66</f>
        <v>0</v>
      </c>
      <c r="AB67" s="103">
        <v>1E-4</v>
      </c>
      <c r="AC67" s="104">
        <v>3.0000000000000001E-3</v>
      </c>
      <c r="AD67" s="90">
        <v>227.1</v>
      </c>
      <c r="AE67" s="105">
        <f ca="1">_xlfn.LET(_xlpm.New1YT,RTData[[#This Row],[1YT]],        _xlpm.Old1YT,IF(ISNUMBER(RTData[[#This Row],[Old1YT]]),RTData[[#This Row],[Old1YT]],VALUE(LEFT(RTData[[#This Row],[Old1YT]],FIND("/",RTData[[#This Row],[Old1YT]],1)-1))),       IF(OR(RTData[[#This Row],[1YT]]=0,_xlpm.Old1YT=0),0,(_xlpm.New1YT-_xlpm.Old1YT)/_xlpm.Old1YT))</f>
        <v>0.17377586966094238</v>
      </c>
      <c r="AF67" s="105" t="str">
        <f ca="1">TEXT(RTData[[#This Row],[1YT]],"#,#0.00")&amp;" &lt; "&amp;RTData[[#This Row],[Old1YT]]</f>
        <v>266.56 &lt; 227.1</v>
      </c>
    </row>
    <row r="68" spans="1:32" x14ac:dyDescent="0.3">
      <c r="A68" s="40" t="str" cm="1">
        <f t="array" aca="1" ref="A68" ca="1">_xlfn.SINGLE(RTData[suffix])&amp;_FV(RTData[[#This Row],[Company Name]],"Ticker symbol",TRUE)</f>
        <v>SAFASML</v>
      </c>
      <c r="B68" s="40">
        <v>1</v>
      </c>
      <c r="C68" t="e" vm="6">
        <v>#VALUE!</v>
      </c>
      <c r="D68" s="17" t="str" cm="1">
        <f t="array" aca="1" ref="D68" ca="1">_FV(RTData[[#This Row],[Company Name]],"Currency")</f>
        <v>EUR</v>
      </c>
      <c r="E68" s="18" cm="1">
        <f t="array" aca="1" ref="E68" ca="1">_FV(RTData[[#This Row],[Company Name]],"Last trade time",TRUE)</f>
        <v>45953.666666666664</v>
      </c>
      <c r="F68" s="28" cm="1">
        <f t="array" aca="1" ref="F68" ca="1">_FV(RTData[[#This Row],[Company Name]],"Previous close",TRUE)</f>
        <v>870.1</v>
      </c>
      <c r="G68" s="28" cm="1">
        <f t="array" aca="1" ref="G68" ca="1">_FV(RTData[[#This Row],[Company Name]],"Open")</f>
        <v>872</v>
      </c>
      <c r="H68" s="28" cm="1">
        <f t="array" aca="1" ref="H68" ca="1">_FV(RTData[[#This Row],[Company Name]],"Price")</f>
        <v>887.7</v>
      </c>
      <c r="I68" s="28" cm="1">
        <f t="array" aca="1" ref="I68" ca="1">_FV(RTData[[#This Row],[Company Name]],"Low")</f>
        <v>854.1</v>
      </c>
      <c r="J68" s="28" cm="1">
        <f t="array" aca="1" ref="J68" ca="1">_FV(RTData[[#This Row],[Company Name]],"High")</f>
        <v>891.2</v>
      </c>
      <c r="K68" s="20" cm="1">
        <f t="array" aca="1" ref="K68" ca="1">IFERROR(_FV(RTData[[#This Row],[Company Name]],"P/E",TRUE),99)</f>
        <v>33.408700000000003</v>
      </c>
      <c r="L68" s="21" cm="1">
        <f t="array" aca="1" ref="L68" ca="1">_FV(RTData[[#This Row],[Company Name]],"Change")</f>
        <v>17.600000000000001</v>
      </c>
      <c r="M68" s="22" cm="1">
        <f t="array" aca="1" ref="M68" ca="1">_FV(RTData[[#This Row],[Company Name]],"Change (%)",TRUE)</f>
        <v>2.0228000000000003E-2</v>
      </c>
      <c r="N68" s="28" cm="1">
        <f t="array" aca="1" ref="N68" ca="1">_FV(RTData[[#This Row],[Company Name]],"52 week low",TRUE)</f>
        <v>508.4</v>
      </c>
      <c r="O68" s="28" cm="1">
        <f t="array" aca="1" ref="O68" ca="1">_FV(RTData[[#This Row],[Company Name]],"52 week high",TRUE)</f>
        <v>905.1</v>
      </c>
      <c r="P68" s="23" cm="1">
        <f t="array" aca="1" ref="P68" ca="1">_FV(RTData[[#This Row],[Company Name]],"Volume")</f>
        <v>746164</v>
      </c>
      <c r="Q68" s="23" cm="1">
        <f t="array" aca="1" ref="Q68" ca="1">_FV(RTData[[#This Row],[Company Name]],"Volume average",TRUE)</f>
        <v>794970</v>
      </c>
      <c r="R68" s="19" cm="1">
        <f t="array" aca="1" ref="R68" ca="1">_FV(RTData[[#This Row],[Company Name]],"Beta")</f>
        <v>1.9639</v>
      </c>
      <c r="S68" t="s">
        <v>25</v>
      </c>
      <c r="T68" t="s">
        <v>26</v>
      </c>
      <c r="U68" t="str" cm="1">
        <f t="array" aca="1" ref="U68" ca="1">_FV(RTData[[#This Row],[Company Name]],"Exchange abbreviation",TRUE)</f>
        <v>XAMS</v>
      </c>
      <c r="V68" s="24">
        <f ca="1">IFERROR(RTData[[#This Row],[Volume]]/RTData[[#This Row],[Volume average]],1)</f>
        <v>0.93860648829515581</v>
      </c>
      <c r="W68" s="24"/>
      <c r="X68" s="108">
        <f ca="1">_xlfn.XLOOKUP(RTData[[#This Row],[Ticker symbol]],[2]Sheet2!$B$2:$B$95,[2]Sheet2!$E$2:$E$95)</f>
        <v>873.90326000000005</v>
      </c>
      <c r="Y68" s="101">
        <f>_xlfn.LET(_xlpm.date,[2]Sheet2!F67,IF(_xlpm.date=0,"",_xlpm.date))</f>
        <v>45866</v>
      </c>
      <c r="Z68" s="101" t="str">
        <f>_xlfn.LET(_xlpm.date,[2]Sheet2!G67,IF(_xlpm.date=0,"",_xlpm.date))</f>
        <v/>
      </c>
      <c r="AA68" s="102">
        <f>[2]Sheet2!$H67</f>
        <v>8.0000000000000002E-3</v>
      </c>
      <c r="AB68" s="103">
        <v>1E-4</v>
      </c>
      <c r="AC68" s="104">
        <v>3.0000000000000001E-3</v>
      </c>
      <c r="AD68" s="90">
        <v>1053.3</v>
      </c>
      <c r="AE68" s="105">
        <f ca="1">_xlfn.LET(_xlpm.New1YT,RTData[[#This Row],[1YT]],        _xlpm.Old1YT,IF(ISNUMBER(RTData[[#This Row],[Old1YT]]),RTData[[#This Row],[Old1YT]],VALUE(LEFT(RTData[[#This Row],[Old1YT]],FIND("/",RTData[[#This Row],[Old1YT]],1)-1))),       IF(OR(RTData[[#This Row],[1YT]]=0,_xlpm.Old1YT=0),0,(_xlpm.New1YT-_xlpm.Old1YT)/_xlpm.Old1YT))</f>
        <v>-0.17031875059337312</v>
      </c>
      <c r="AF68" s="105" t="str">
        <f ca="1">TEXT(RTData[[#This Row],[1YT]],"#,#0.00")&amp;" &lt; "&amp;RTData[[#This Row],[Old1YT]]</f>
        <v>873.90 &lt; 1053.3</v>
      </c>
    </row>
    <row r="69" spans="1:32" ht="22" customHeight="1" x14ac:dyDescent="0.3">
      <c r="A69" s="40" t="str" cm="1">
        <f t="array" aca="1" ref="A69" ca="1">_xlfn.SINGLE(RTData[suffix])&amp;_FV(RTData[[#This Row],[Company Name]],"Ticker symbol",TRUE)</f>
        <v>SAFDDD</v>
      </c>
      <c r="B69" s="40">
        <f ca="1">D99</f>
        <v>0.86065926499698775</v>
      </c>
      <c r="C69" t="e" vm="15">
        <v>#VALUE!</v>
      </c>
      <c r="D69" s="17" t="str" cm="1">
        <f t="array" aca="1" ref="D69" ca="1">_FV(RTData[[#This Row],[Company Name]],"Currency")</f>
        <v>USD</v>
      </c>
      <c r="E69" s="18" cm="1">
        <f t="array" aca="1" ref="E69" ca="1">_FV(RTData[[#This Row],[Company Name]],"Last trade time",TRUE)</f>
        <v>45953.931008935157</v>
      </c>
      <c r="F69" s="19" cm="1">
        <f t="array" aca="1" ref="F69" ca="1">_FV(RTData[[#This Row],[Company Name]],"Previous close",TRUE)</f>
        <v>3.01</v>
      </c>
      <c r="G69" s="19" cm="1">
        <f t="array" aca="1" ref="G69" ca="1">_FV(RTData[[#This Row],[Company Name]],"Open")</f>
        <v>3.08</v>
      </c>
      <c r="H69" s="19" cm="1">
        <f t="array" aca="1" ref="H69" ca="1">_FV(RTData[[#This Row],[Company Name]],"Price")</f>
        <v>3.0750000000000002</v>
      </c>
      <c r="I69" s="19" cm="1">
        <f t="array" aca="1" ref="I69" ca="1">_FV(RTData[[#This Row],[Company Name]],"Low")</f>
        <v>3.01</v>
      </c>
      <c r="J69" s="19" cm="1">
        <f t="array" aca="1" ref="J69" ca="1">_FV(RTData[[#This Row],[Company Name]],"High")</f>
        <v>3.21</v>
      </c>
      <c r="K69" s="20" cm="1">
        <f t="array" ref="K69">IFERROR(_FV(RTData[[#This Row],[Company Name]],"P/E",TRUE),99)</f>
        <v>99</v>
      </c>
      <c r="L69" s="21" cm="1">
        <f t="array" aca="1" ref="L69" ca="1">_FV(RTData[[#This Row],[Company Name]],"Change")</f>
        <v>6.5000000000000002E-2</v>
      </c>
      <c r="M69" s="22" cm="1">
        <f t="array" aca="1" ref="M69" ca="1">_FV(RTData[[#This Row],[Company Name]],"Change (%)",TRUE)</f>
        <v>2.1595E-2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2828733</v>
      </c>
      <c r="Q69" s="23" cm="1">
        <f t="array" aca="1" ref="Q69" ca="1">_FV(RTData[[#This Row],[Company Name]],"Volume average",TRUE)</f>
        <v>5090282</v>
      </c>
      <c r="R69" s="19" cm="1">
        <f t="array" aca="1" ref="R69" ca="1">_FV(RTData[[#This Row],[Company Name]],"Beta")</f>
        <v>2.1789000000000001</v>
      </c>
      <c r="S69" t="s">
        <v>25</v>
      </c>
      <c r="T69" t="s">
        <v>26</v>
      </c>
      <c r="U69" t="str" cm="1">
        <f t="array" aca="1" ref="U69" ca="1">_FV(RTData[[#This Row],[Company Name]],"Exchange abbreviation",TRUE)</f>
        <v>XNYS</v>
      </c>
      <c r="V69" s="24">
        <f ca="1">IFERROR(RTData[[#This Row],[Volume]]/RTData[[#This Row],[Volume average]],1)</f>
        <v>0.5557124340066032</v>
      </c>
      <c r="W69" s="24"/>
      <c r="X69" s="108">
        <f ca="1">_xlfn.XLOOKUP(RTData[[#This Row],[Ticker symbol]],[2]Sheet2!$B$2:$B$95,[2]Sheet2!$E$2:$E$95)</f>
        <v>3.25</v>
      </c>
      <c r="Y69" s="101" t="str">
        <f>_xlfn.LET(_xlpm.date,[2]Sheet2!F68,IF(_xlpm.date=0,"",_xlpm.date))</f>
        <v/>
      </c>
      <c r="Z69" s="101" t="str">
        <f>_xlfn.LET(_xlpm.date,[2]Sheet2!G68,IF(_xlpm.date=0,"",_xlpm.date))</f>
        <v>Nov 10, 2025</v>
      </c>
      <c r="AA69" s="102">
        <f>[2]Sheet2!$H68</f>
        <v>0</v>
      </c>
      <c r="AB69" s="103">
        <v>1E-4</v>
      </c>
      <c r="AC69" s="104">
        <v>3.0000000000000001E-3</v>
      </c>
      <c r="AD69" s="90">
        <v>5.45</v>
      </c>
      <c r="AE69" s="105">
        <f ca="1">_xlfn.LET(_xlpm.New1YT,RTData[[#This Row],[1YT]],        _xlpm.Old1YT,IF(ISNUMBER(RTData[[#This Row],[Old1YT]]),RTData[[#This Row],[Old1YT]],VALUE(LEFT(RTData[[#This Row],[Old1YT]],FIND("/",RTData[[#This Row],[Old1YT]],1)-1))),       IF(OR(RTData[[#This Row],[1YT]]=0,_xlpm.Old1YT=0),0,(_xlpm.New1YT-_xlpm.Old1YT)/_xlpm.Old1YT))</f>
        <v>-0.40366972477064222</v>
      </c>
      <c r="AF69" s="105" t="str">
        <f ca="1">TEXT(RTData[[#This Row],[1YT]],"#,#0.00")&amp;" &lt; "&amp;RTData[[#This Row],[Old1YT]]</f>
        <v>3.25 &lt; 5.45</v>
      </c>
    </row>
    <row r="70" spans="1:32" x14ac:dyDescent="0.3">
      <c r="A70" s="40" t="str" cm="1">
        <f t="array" aca="1" ref="A70" ca="1">_xlfn.SINGLE(RTData[suffix])&amp;_FV(RTData[[#This Row],[Company Name]],"Ticker symbol",TRUE)</f>
        <v>SAFDIS</v>
      </c>
      <c r="B70" s="40">
        <f ca="1">D99</f>
        <v>0.86065926499698775</v>
      </c>
      <c r="C70" t="e" vm="16">
        <v>#VALUE!</v>
      </c>
      <c r="D70" s="17" t="str" cm="1">
        <f t="array" aca="1" ref="D70" ca="1">_FV(RTData[[#This Row],[Company Name]],"Currency")</f>
        <v>USD</v>
      </c>
      <c r="E70" s="18" cm="1">
        <f t="array" aca="1" ref="E70" ca="1">_FV(RTData[[#This Row],[Company Name]],"Last trade time",TRUE)</f>
        <v>45953.933630231251</v>
      </c>
      <c r="F70" s="19" cm="1">
        <f t="array" aca="1" ref="F70" ca="1">_FV(RTData[[#This Row],[Company Name]],"Previous close",TRUE)</f>
        <v>113.08</v>
      </c>
      <c r="G70" s="19" cm="1">
        <f t="array" aca="1" ref="G70" ca="1">_FV(RTData[[#This Row],[Company Name]],"Open")</f>
        <v>113.17</v>
      </c>
      <c r="H70" s="19" cm="1">
        <f t="array" aca="1" ref="H70" ca="1">_FV(RTData[[#This Row],[Company Name]],"Price")</f>
        <v>113.02</v>
      </c>
      <c r="I70" s="19" cm="1">
        <f t="array" aca="1" ref="I70" ca="1">_FV(RTData[[#This Row],[Company Name]],"Low")</f>
        <v>111.90009999999999</v>
      </c>
      <c r="J70" s="19" cm="1">
        <f t="array" aca="1" ref="J70" ca="1">_FV(RTData[[#This Row],[Company Name]],"High")</f>
        <v>113.83</v>
      </c>
      <c r="K70" s="20" cm="1">
        <f t="array" aca="1" ref="K70" ca="1">IFERROR(_FV(RTData[[#This Row],[Company Name]],"P/E",TRUE),99)</f>
        <v>17.7287</v>
      </c>
      <c r="L70" s="21" cm="1">
        <f t="array" aca="1" ref="L70" ca="1">_FV(RTData[[#This Row],[Company Name]],"Change")</f>
        <v>-0.06</v>
      </c>
      <c r="M70" s="22" cm="1">
        <f t="array" aca="1" ref="M70" ca="1">_FV(RTData[[#This Row],[Company Name]],"Change (%)",TRUE)</f>
        <v>-5.306E-4</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6943706</v>
      </c>
      <c r="Q70" s="23" cm="1">
        <f t="array" aca="1" ref="Q70" ca="1">_FV(RTData[[#This Row],[Company Name]],"Volume average",TRUE)</f>
        <v>9017926</v>
      </c>
      <c r="R70" s="19" cm="1">
        <f t="array" aca="1" ref="R70" ca="1">_FV(RTData[[#This Row],[Company Name]],"Beta")</f>
        <v>1.5536000000000001</v>
      </c>
      <c r="S70" t="s">
        <v>25</v>
      </c>
      <c r="T70" t="s">
        <v>26</v>
      </c>
      <c r="U70" t="str" cm="1">
        <f t="array" aca="1" ref="U70" ca="1">_FV(RTData[[#This Row],[Company Name]],"Exchange abbreviation",TRUE)</f>
        <v>XNYS</v>
      </c>
      <c r="V70" s="24">
        <f ca="1">IFERROR(RTData[[#This Row],[Volume]]/RTData[[#This Row],[Volume average]],1)</f>
        <v>0.7699892414286833</v>
      </c>
      <c r="W70" s="24"/>
      <c r="X70" s="108">
        <f ca="1">_xlfn.XLOOKUP(RTData[[#This Row],[Ticker symbol]],[2]Sheet2!$B$2:$B$95,[2]Sheet2!$E$2:$E$95)</f>
        <v>133.96896000000001</v>
      </c>
      <c r="Y70" s="101">
        <f>_xlfn.LET(_xlpm.date,[2]Sheet2!F69,IF(_xlpm.date=0,"",_xlpm.date))</f>
        <v>45832</v>
      </c>
      <c r="Z70" s="101" t="str">
        <f>_xlfn.LET(_xlpm.date,[2]Sheet2!G69,IF(_xlpm.date=0,"",_xlpm.date))</f>
        <v/>
      </c>
      <c r="AA70" s="102">
        <f>[2]Sheet2!$H69</f>
        <v>9.1999999999999998E-3</v>
      </c>
      <c r="AB70" s="103">
        <v>1E-4</v>
      </c>
      <c r="AC70" s="104">
        <v>3.0000000000000001E-3</v>
      </c>
      <c r="AD70" s="90">
        <v>124.75</v>
      </c>
      <c r="AE70" s="105">
        <f ca="1">_xlfn.LET(_xlpm.New1YT,RTData[[#This Row],[1YT]],        _xlpm.Old1YT,IF(ISNUMBER(RTData[[#This Row],[Old1YT]]),RTData[[#This Row],[Old1YT]],VALUE(LEFT(RTData[[#This Row],[Old1YT]],FIND("/",RTData[[#This Row],[Old1YT]],1)-1))),       IF(OR(RTData[[#This Row],[1YT]]=0,_xlpm.Old1YT=0),0,(_xlpm.New1YT-_xlpm.Old1YT)/_xlpm.Old1YT))</f>
        <v>7.3899478957915904E-2</v>
      </c>
      <c r="AF70" s="105" t="str">
        <f ca="1">TEXT(RTData[[#This Row],[1YT]],"#,#0.00")&amp;" &lt; "&amp;RTData[[#This Row],[Old1YT]]</f>
        <v>133.97 &lt; 124.75</v>
      </c>
    </row>
    <row r="71" spans="1:32" x14ac:dyDescent="0.3">
      <c r="A71" s="40" t="str" cm="1">
        <f t="array" aca="1" ref="A71" ca="1">_xlfn.SINGLE(RTData[suffix])&amp;_FV(RTData[[#This Row],[Company Name]],"Ticker symbol",TRUE)</f>
        <v>SAFGM</v>
      </c>
      <c r="B71" s="40">
        <f ca="1">D99</f>
        <v>0.86065926499698775</v>
      </c>
      <c r="C71" t="e" vm="22">
        <v>#VALUE!</v>
      </c>
      <c r="D71" s="17" t="str" cm="1">
        <f t="array" aca="1" ref="D71" ca="1">_FV(RTData[[#This Row],[Company Name]],"Currency")</f>
        <v>USD</v>
      </c>
      <c r="E71" s="18" cm="1">
        <f t="array" aca="1" ref="E71" ca="1">_FV(RTData[[#This Row],[Company Name]],"Last trade time",TRUE)</f>
        <v>45953.935127013283</v>
      </c>
      <c r="F71" s="19" cm="1">
        <f t="array" aca="1" ref="F71" ca="1">_FV(RTData[[#This Row],[Company Name]],"Previous close",TRUE)</f>
        <v>67.31</v>
      </c>
      <c r="G71" s="19" cm="1">
        <f t="array" aca="1" ref="G71" ca="1">_FV(RTData[[#This Row],[Company Name]],"Open")</f>
        <v>67.97</v>
      </c>
      <c r="H71" s="19" cm="1">
        <f t="array" aca="1" ref="H71" ca="1">_FV(RTData[[#This Row],[Company Name]],"Price")</f>
        <v>66.834999999999994</v>
      </c>
      <c r="I71" s="19" cm="1">
        <f t="array" aca="1" ref="I71" ca="1">_FV(RTData[[#This Row],[Company Name]],"Low")</f>
        <v>66.569999999999993</v>
      </c>
      <c r="J71" s="19" cm="1">
        <f t="array" aca="1" ref="J71" ca="1">_FV(RTData[[#This Row],[Company Name]],"High")</f>
        <v>68.48</v>
      </c>
      <c r="K71" s="20" cm="1">
        <f t="array" aca="1" ref="K71" ca="1">IFERROR(_FV(RTData[[#This Row],[Company Name]],"P/E",TRUE),99)</f>
        <v>12.946300000000001</v>
      </c>
      <c r="L71" s="21" cm="1">
        <f t="array" aca="1" ref="L71" ca="1">_FV(RTData[[#This Row],[Company Name]],"Change")</f>
        <v>-0.47499999999999998</v>
      </c>
      <c r="M71" s="22" cm="1">
        <f t="array" aca="1" ref="M71" ca="1">_FV(RTData[[#This Row],[Company Name]],"Change (%)",TRUE)</f>
        <v>-7.0569999999999999E-3</v>
      </c>
      <c r="N71" s="19" cm="1">
        <f t="array" aca="1" ref="N71" ca="1">_FV(RTData[[#This Row],[Company Name]],"52 week low",TRUE)</f>
        <v>41.6</v>
      </c>
      <c r="O71" s="19" cm="1">
        <f t="array" aca="1" ref="O71" ca="1">_FV(RTData[[#This Row],[Company Name]],"52 week high",TRUE)</f>
        <v>68.48</v>
      </c>
      <c r="P71" s="23" cm="1">
        <f t="array" aca="1" ref="P71" ca="1">_FV(RTData[[#This Row],[Company Name]],"Volume")</f>
        <v>12643966</v>
      </c>
      <c r="Q71" s="23" cm="1">
        <f t="array" aca="1" ref="Q71" ca="1">_FV(RTData[[#This Row],[Company Name]],"Volume average",TRUE)</f>
        <v>10036558</v>
      </c>
      <c r="R71" s="19" cm="1">
        <f t="array" aca="1" ref="R71" ca="1">_FV(RTData[[#This Row],[Company Name]],"Beta")</f>
        <v>1.4006000000000001</v>
      </c>
      <c r="S71" t="s">
        <v>25</v>
      </c>
      <c r="T71" t="s">
        <v>26</v>
      </c>
      <c r="U71" t="str" cm="1">
        <f t="array" aca="1" ref="U71" ca="1">_FV(RTData[[#This Row],[Company Name]],"Exchange abbreviation",TRUE)</f>
        <v>XNYS</v>
      </c>
      <c r="V71" s="24">
        <f ca="1">IFERROR(RTData[[#This Row],[Volume]]/RTData[[#This Row],[Volume average]],1)</f>
        <v>1.2597910558579943</v>
      </c>
      <c r="W71" s="24"/>
      <c r="X71" s="108">
        <f ca="1">_xlfn.XLOOKUP(RTData[[#This Row],[Ticker symbol]],[2]Sheet2!$B$2:$B$95,[2]Sheet2!$E$2:$E$95)</f>
        <v>63.8</v>
      </c>
      <c r="Y71" s="101">
        <f>_xlfn.LET(_xlpm.date,[2]Sheet2!F70,IF(_xlpm.date=0,"",_xlpm.date))</f>
        <v>45905</v>
      </c>
      <c r="Z71" s="101" t="str">
        <f>_xlfn.LET(_xlpm.date,[2]Sheet2!G70,IF(_xlpm.date=0,"",_xlpm.date))</f>
        <v>Oct 21, 2025</v>
      </c>
      <c r="AA71" s="102">
        <f>[2]Sheet2!$H70</f>
        <v>1.0800000000000001E-2</v>
      </c>
      <c r="AB71" s="103">
        <v>1E-4</v>
      </c>
      <c r="AC71" s="104">
        <v>3.0000000000000001E-3</v>
      </c>
      <c r="AD71" s="90">
        <v>54.06</v>
      </c>
      <c r="AE71" s="105">
        <f ca="1">_xlfn.LET(_xlpm.New1YT,RTData[[#This Row],[1YT]],        _xlpm.Old1YT,IF(ISNUMBER(RTData[[#This Row],[Old1YT]]),RTData[[#This Row],[Old1YT]],VALUE(LEFT(RTData[[#This Row],[Old1YT]],FIND("/",RTData[[#This Row],[Old1YT]],1)-1))),       IF(OR(RTData[[#This Row],[1YT]]=0,_xlpm.Old1YT=0),0,(_xlpm.New1YT-_xlpm.Old1YT)/_xlpm.Old1YT))</f>
        <v>0.1801701812800591</v>
      </c>
      <c r="AF71" s="105" t="str">
        <f ca="1">TEXT(RTData[[#This Row],[1YT]],"#,#0.00")&amp;" &lt; "&amp;RTData[[#This Row],[Old1YT]]</f>
        <v>63.80 &lt; 54.06</v>
      </c>
    </row>
    <row r="72" spans="1:32" x14ac:dyDescent="0.3">
      <c r="A72" s="40" t="str" cm="1">
        <f t="array" aca="1" ref="A72" ca="1">_xlfn.SINGLE(RTData[suffix])&amp;_FV(RTData[[#This Row],[Company Name]],"Ticker symbol",TRUE)</f>
        <v>SAFIAG</v>
      </c>
      <c r="B72" s="40">
        <f ca="1">D101/100</f>
        <v>1.1475786091347258E-2</v>
      </c>
      <c r="C72" t="e" vm="25">
        <v>#VALUE!</v>
      </c>
      <c r="D72" s="17" t="str" cm="1">
        <f t="array" aca="1" ref="D72" ca="1">_FV(RTData[[#This Row],[Company Name]],"Currency")</f>
        <v>GBp</v>
      </c>
      <c r="E72" s="18" cm="1">
        <f t="array" aca="1" ref="E72" ca="1">_FV(RTData[[#This Row],[Company Name]],"Last trade time",TRUE)</f>
        <v>45953.638413425782</v>
      </c>
      <c r="F72" s="19" cm="1">
        <f t="array" aca="1" ref="F72" ca="1">_FV(RTData[[#This Row],[Company Name]],"Previous close",TRUE)</f>
        <v>402.6</v>
      </c>
      <c r="G72" s="19" cm="1">
        <f t="array" aca="1" ref="G72" ca="1">_FV(RTData[[#This Row],[Company Name]],"Open")</f>
        <v>400.5</v>
      </c>
      <c r="H72" s="19" cm="1">
        <f t="array" aca="1" ref="H72" ca="1">_FV(RTData[[#This Row],[Company Name]],"Price")</f>
        <v>403.5</v>
      </c>
      <c r="I72" s="19" cm="1">
        <f t="array" aca="1" ref="I72" ca="1">_FV(RTData[[#This Row],[Company Name]],"Low")</f>
        <v>398.9</v>
      </c>
      <c r="J72" s="19" cm="1">
        <f t="array" aca="1" ref="J72" ca="1">_FV(RTData[[#This Row],[Company Name]],"High")</f>
        <v>406.2</v>
      </c>
      <c r="K72" s="20" cm="1">
        <f t="array" aca="1" ref="K72" ca="1">IFERROR(_FV(RTData[[#This Row],[Company Name]],"P/E",TRUE),99)</f>
        <v>7.2526999999999999</v>
      </c>
      <c r="L72" s="21" cm="1">
        <f t="array" aca="1" ref="L72" ca="1">_FV(RTData[[#This Row],[Company Name]],"Change")</f>
        <v>0.9</v>
      </c>
      <c r="M72" s="22" cm="1">
        <f t="array" aca="1" ref="M72" ca="1">_FV(RTData[[#This Row],[Company Name]],"Change (%)",TRUE)</f>
        <v>2.235E-3</v>
      </c>
      <c r="N72" s="19" cm="1">
        <f t="array" aca="1" ref="N72" ca="1">_FV(RTData[[#This Row],[Company Name]],"52 week low",TRUE)</f>
        <v>207.2</v>
      </c>
      <c r="O72" s="19" cm="1">
        <f t="array" aca="1" ref="O72" ca="1">_FV(RTData[[#This Row],[Company Name]],"52 week high",TRUE)</f>
        <v>416</v>
      </c>
      <c r="P72" s="23" cm="1">
        <f t="array" aca="1" ref="P72" ca="1">_FV(RTData[[#This Row],[Company Name]],"Volume")</f>
        <v>9874009</v>
      </c>
      <c r="Q72" s="23" cm="1">
        <f t="array" aca="1" ref="Q72" ca="1">_FV(RTData[[#This Row],[Company Name]],"Volume average",TRUE)</f>
        <v>13633200</v>
      </c>
      <c r="R72" s="19" cm="1">
        <f t="array" aca="1" ref="R72" ca="1">_FV(RTData[[#This Row],[Company Name]],"Beta")</f>
        <v>2.8881999999999999</v>
      </c>
      <c r="S72" t="s">
        <v>25</v>
      </c>
      <c r="T72" t="s">
        <v>26</v>
      </c>
      <c r="U72" t="str" cm="1">
        <f t="array" aca="1" ref="U72" ca="1">_FV(RTData[[#This Row],[Company Name]],"Exchange abbreviation",TRUE)</f>
        <v>XLON</v>
      </c>
      <c r="V72" s="24">
        <f ca="1">IFERROR(RTData[[#This Row],[Volume]]/RTData[[#This Row],[Volume average]],1)</f>
        <v>0.72426202212246571</v>
      </c>
      <c r="W72" s="24"/>
      <c r="X72" s="108">
        <f ca="1">_xlfn.XLOOKUP(RTData[[#This Row],[Ticker symbol]],[2]Sheet2!$B$2:$B$95,[2]Sheet2!$E$2:$E$95)</f>
        <v>438.45612</v>
      </c>
      <c r="Y72" s="101">
        <f>_xlfn.LET(_xlpm.date,[2]Sheet2!F71,IF(_xlpm.date=0,"",_xlpm.date))</f>
        <v>45834</v>
      </c>
      <c r="Z72" s="101" t="str">
        <f>_xlfn.LET(_xlpm.date,[2]Sheet2!G71,IF(_xlpm.date=0,"",_xlpm.date))</f>
        <v/>
      </c>
      <c r="AA72" s="102">
        <f>[2]Sheet2!$H71</f>
        <v>1.8800000000000001E-2</v>
      </c>
      <c r="AB72" s="103">
        <v>1E-4</v>
      </c>
      <c r="AC72" s="104">
        <v>3.0000000000000001E-3</v>
      </c>
      <c r="AD72" s="90">
        <v>293.75</v>
      </c>
      <c r="AE72" s="105">
        <f ca="1">_xlfn.LET(_xlpm.New1YT,RTData[[#This Row],[1YT]],        _xlpm.Old1YT,IF(ISNUMBER(RTData[[#This Row],[Old1YT]]),RTData[[#This Row],[Old1YT]],VALUE(LEFT(RTData[[#This Row],[Old1YT]],FIND("/",RTData[[#This Row],[Old1YT]],1)-1))),       IF(OR(RTData[[#This Row],[1YT]]=0,_xlpm.Old1YT=0),0,(_xlpm.New1YT-_xlpm.Old1YT)/_xlpm.Old1YT))</f>
        <v>0.49261657872340425</v>
      </c>
      <c r="AF72" s="105" t="str">
        <f ca="1">TEXT(RTData[[#This Row],[1YT]],"#,#0.00")&amp;" &lt; "&amp;RTData[[#This Row],[Old1YT]]</f>
        <v>438.46 &lt; 293.75</v>
      </c>
    </row>
    <row r="73" spans="1:32" x14ac:dyDescent="0.3">
      <c r="A73" s="40" t="str" cm="1">
        <f t="array" aca="1" ref="A73" ca="1">_xlfn.SINGLE(RTData[suffix])&amp;_FV(RTData[[#This Row],[Company Name]],"Ticker symbol",TRUE)</f>
        <v>SAFMRNA</v>
      </c>
      <c r="B73" s="40">
        <f ca="1">D99</f>
        <v>0.86065926499698775</v>
      </c>
      <c r="C73" t="e" vm="29">
        <v>#VALUE!</v>
      </c>
      <c r="D73" s="17" t="str" cm="1">
        <f t="array" aca="1" ref="D73" ca="1">_FV(RTData[[#This Row],[Company Name]],"Currency")</f>
        <v>USD</v>
      </c>
      <c r="E73" s="18" cm="1">
        <f t="array" aca="1" ref="E73" ca="1">_FV(RTData[[#This Row],[Company Name]],"Last trade time",TRUE)</f>
        <v>45953.935325763283</v>
      </c>
      <c r="F73" s="19" cm="1">
        <f t="array" aca="1" ref="F73" ca="1">_FV(RTData[[#This Row],[Company Name]],"Previous close",TRUE)</f>
        <v>26.85</v>
      </c>
      <c r="G73" s="19" cm="1">
        <f t="array" aca="1" ref="G73" ca="1">_FV(RTData[[#This Row],[Company Name]],"Open")</f>
        <v>25.82</v>
      </c>
      <c r="H73" s="19" cm="1">
        <f t="array" aca="1" ref="H73" ca="1">_FV(RTData[[#This Row],[Company Name]],"Price")</f>
        <v>26.25</v>
      </c>
      <c r="I73" s="19" cm="1">
        <f t="array" aca="1" ref="I73" ca="1">_FV(RTData[[#This Row],[Company Name]],"Low")</f>
        <v>25.57</v>
      </c>
      <c r="J73" s="19" cm="1">
        <f t="array" aca="1" ref="J73" ca="1">_FV(RTData[[#This Row],[Company Name]],"High")</f>
        <v>26.67</v>
      </c>
      <c r="K73" s="20" cm="1">
        <f t="array" aca="1" ref="K73" ca="1">IFERROR(_FV(RTData[[#This Row],[Company Name]],"P/E",TRUE),99)</f>
        <v>0</v>
      </c>
      <c r="L73" s="21" cm="1">
        <f t="array" aca="1" ref="L73" ca="1">_FV(RTData[[#This Row],[Company Name]],"Change")</f>
        <v>-0.6</v>
      </c>
      <c r="M73" s="22" cm="1">
        <f t="array" aca="1" ref="M73" ca="1">_FV(RTData[[#This Row],[Company Name]],"Change (%)",TRUE)</f>
        <v>-2.2345999999999998E-2</v>
      </c>
      <c r="N73" s="19" cm="1">
        <f t="array" aca="1" ref="N73" ca="1">_FV(RTData[[#This Row],[Company Name]],"52 week low",TRUE)</f>
        <v>23.15</v>
      </c>
      <c r="O73" s="19" cm="1">
        <f t="array" aca="1" ref="O73" ca="1">_FV(RTData[[#This Row],[Company Name]],"52 week high",TRUE)</f>
        <v>57.69</v>
      </c>
      <c r="P73" s="23" cm="1">
        <f t="array" aca="1" ref="P73" ca="1">_FV(RTData[[#This Row],[Company Name]],"Volume")</f>
        <v>8717204</v>
      </c>
      <c r="Q73" s="23" cm="1">
        <f t="array" aca="1" ref="Q73" ca="1">_FV(RTData[[#This Row],[Company Name]],"Volume average",TRUE)</f>
        <v>9899919</v>
      </c>
      <c r="R73" s="19" cm="1">
        <f t="array" aca="1" ref="R73" ca="1">_FV(RTData[[#This Row],[Company Name]],"Beta")</f>
        <v>2.0123000000000002</v>
      </c>
      <c r="S73" t="s">
        <v>25</v>
      </c>
      <c r="T73" t="s">
        <v>26</v>
      </c>
      <c r="U73" t="str" cm="1">
        <f t="array" aca="1" ref="U73" ca="1">_FV(RTData[[#This Row],[Company Name]],"Exchange abbreviation",TRUE)</f>
        <v>XNAS</v>
      </c>
      <c r="V73" s="24">
        <f ca="1">IFERROR(RTData[[#This Row],[Volume]]/RTData[[#This Row],[Volume average]],1)</f>
        <v>0.88053286092542782</v>
      </c>
      <c r="W73" s="24"/>
      <c r="X73" s="108">
        <f ca="1">_xlfn.XLOOKUP(RTData[[#This Row],[Ticker symbol]],[2]Sheet2!$B$2:$B$95,[2]Sheet2!$E$2:$E$95)</f>
        <v>44.3</v>
      </c>
      <c r="Y73" s="101" t="str">
        <f>_xlfn.LET(_xlpm.date,[2]Sheet2!F72,IF(_xlpm.date=0,"",_xlpm.date))</f>
        <v/>
      </c>
      <c r="Z73" s="101" t="str">
        <f>_xlfn.LET(_xlpm.date,[2]Sheet2!G72,IF(_xlpm.date=0,"",_xlpm.date))</f>
        <v>Nov 6, 2025</v>
      </c>
      <c r="AA73" s="102">
        <f>[2]Sheet2!$H72</f>
        <v>0</v>
      </c>
      <c r="AB73" s="103">
        <v>1E-4</v>
      </c>
      <c r="AC73" s="104">
        <v>3.0000000000000001E-3</v>
      </c>
      <c r="AD73" s="90">
        <v>99.83</v>
      </c>
      <c r="AE73" s="105">
        <f ca="1">_xlfn.LET(_xlpm.New1YT,RTData[[#This Row],[1YT]],        _xlpm.Old1YT,IF(ISNUMBER(RTData[[#This Row],[Old1YT]]),RTData[[#This Row],[Old1YT]],VALUE(LEFT(RTData[[#This Row],[Old1YT]],FIND("/",RTData[[#This Row],[Old1YT]],1)-1))),       IF(OR(RTData[[#This Row],[1YT]]=0,_xlpm.Old1YT=0),0,(_xlpm.New1YT-_xlpm.Old1YT)/_xlpm.Old1YT))</f>
        <v>-0.5562456175498347</v>
      </c>
      <c r="AF73" s="105" t="str">
        <f ca="1">TEXT(RTData[[#This Row],[1YT]],"#,#0.00")&amp;" &lt; "&amp;RTData[[#This Row],[Old1YT]]</f>
        <v>44.30 &lt; 99.83</v>
      </c>
    </row>
    <row r="74" spans="1:32" x14ac:dyDescent="0.3">
      <c r="A74" s="40" t="str" cm="1">
        <f t="array" aca="1" ref="A74" ca="1">_xlfn.SINGLE(RTData[suffix])&amp;_FV(RTData[[#This Row],[Company Name]],"Ticker symbol",TRUE)</f>
        <v>BLNK</v>
      </c>
      <c r="B74" s="40">
        <f ca="1">D99</f>
        <v>0.86065926499698775</v>
      </c>
      <c r="C74" t="e" vm="57">
        <v>#VALUE!</v>
      </c>
      <c r="D74" s="17" t="str" cm="1">
        <f t="array" aca="1" ref="D74" ca="1">_FV(RTData[[#This Row],[Company Name]],"Currency")</f>
        <v>USD</v>
      </c>
      <c r="E74" s="18" cm="1">
        <f t="array" aca="1" ref="E74" ca="1">_FV(RTData[[#This Row],[Company Name]],"Last trade time",TRUE)</f>
        <v>45953.930495022658</v>
      </c>
      <c r="F74" s="19" cm="1">
        <f t="array" aca="1" ref="F74" ca="1">_FV(RTData[[#This Row],[Company Name]],"Previous close",TRUE)</f>
        <v>1.79</v>
      </c>
      <c r="G74" s="19" cm="1">
        <f t="array" aca="1" ref="G74" ca="1">_FV(RTData[[#This Row],[Company Name]],"Open")</f>
        <v>1.8</v>
      </c>
      <c r="H74" s="19" cm="1">
        <f t="array" aca="1" ref="H74" ca="1">_FV(RTData[[#This Row],[Company Name]],"Price")</f>
        <v>1.79</v>
      </c>
      <c r="I74" s="19" cm="1">
        <f t="array" aca="1" ref="I74" ca="1">_FV(RTData[[#This Row],[Company Name]],"Low")</f>
        <v>1.7649999999999999</v>
      </c>
      <c r="J74" s="19" cm="1">
        <f t="array" aca="1" ref="J74" ca="1">_FV(RTData[[#This Row],[Company Name]],"High")</f>
        <v>1.82</v>
      </c>
      <c r="K74" s="20" cm="1">
        <f t="array" aca="1" ref="K74" ca="1">IFERROR(_FV(RTData[[#This Row],[Company Name]],"P/E",TRUE),99)</f>
        <v>0</v>
      </c>
      <c r="L74" s="21" cm="1">
        <f t="array" aca="1" ref="L74" ca="1">_FV(RTData[[#This Row],[Company Name]],"Change")</f>
        <v>0</v>
      </c>
      <c r="M74" s="22" cm="1">
        <f t="array" aca="1" ref="M74" ca="1">_FV(RTData[[#This Row],[Company Name]],"Change (%)",TRUE)</f>
        <v>0</v>
      </c>
      <c r="N74" s="19" cm="1">
        <f t="array" aca="1" ref="N74" ca="1">_FV(RTData[[#This Row],[Company Name]],"52 week low",TRUE)</f>
        <v>0.63009999999999999</v>
      </c>
      <c r="O74" s="19" cm="1">
        <f t="array" aca="1" ref="O74" ca="1">_FV(RTData[[#This Row],[Company Name]],"52 week high",TRUE)</f>
        <v>2.6499000000000001</v>
      </c>
      <c r="P74" s="23" cm="1">
        <f t="array" aca="1" ref="P74" ca="1">_FV(RTData[[#This Row],[Company Name]],"Volume")</f>
        <v>1774442</v>
      </c>
      <c r="Q74" s="23" cm="1">
        <f t="array" aca="1" ref="Q74" ca="1">_FV(RTData[[#This Row],[Company Name]],"Volume average",TRUE)</f>
        <v>6746790</v>
      </c>
      <c r="R74" s="19" cm="1">
        <f t="array" aca="1" ref="R74" ca="1">_FV(RTData[[#This Row],[Company Name]],"Beta")</f>
        <v>3.4971999999999999</v>
      </c>
      <c r="T74" t="s">
        <v>26</v>
      </c>
      <c r="U74" t="str" cm="1">
        <f t="array" aca="1" ref="U74" ca="1">_FV(RTData[[#This Row],[Company Name]],"Exchange abbreviation",TRUE)</f>
        <v>XNAS</v>
      </c>
      <c r="V74" s="24">
        <f ca="1">IFERROR(RTData[[#This Row],[Volume]]/RTData[[#This Row],[Volume average]],1)</f>
        <v>0.26300536996112223</v>
      </c>
      <c r="W74" s="24"/>
      <c r="X74" s="108">
        <f ca="1">_xlfn.XLOOKUP(RTData[[#This Row],[Ticker symbol]],[2]Sheet2!$B$2:$B$95,[2]Sheet2!$E$2:$E$95)</f>
        <v>2.4</v>
      </c>
      <c r="Y74" s="101" t="str">
        <f>_xlfn.LET(_xlpm.date,[2]Sheet2!F73,IF(_xlpm.date=0,"",_xlpm.date))</f>
        <v/>
      </c>
      <c r="Z74" s="101" t="str">
        <f>_xlfn.LET(_xlpm.date,[2]Sheet2!G73,IF(_xlpm.date=0,"",_xlpm.date))</f>
        <v>Nov 6, 2025</v>
      </c>
      <c r="AA74" s="102">
        <f>[2]Sheet2!$H73</f>
        <v>0</v>
      </c>
      <c r="AB74" s="103">
        <v>1E-4</v>
      </c>
      <c r="AC74" s="104">
        <v>3.0000000000000001E-3</v>
      </c>
      <c r="AD74" s="90" t="s">
        <v>61</v>
      </c>
      <c r="AE74" s="105">
        <f ca="1">_xlfn.LET(_xlpm.New1YT,RTData[[#This Row],[1YT]],        _xlpm.Old1YT,IF(ISNUMBER(RTData[[#This Row],[Old1YT]]),RTData[[#This Row],[Old1YT]],VALUE(LEFT(RTData[[#This Row],[Old1YT]],FIND("/",RTData[[#This Row],[Old1YT]],1)-1))),       IF(OR(RTData[[#This Row],[1YT]]=0,_xlpm.Old1YT=0),0,(_xlpm.New1YT-_xlpm.Old1YT)/_xlpm.Old1YT))</f>
        <v>6.6666666666666624E-2</v>
      </c>
      <c r="AF74" s="105" t="str">
        <f ca="1">TEXT(RTData[[#This Row],[1YT]],"#,#0.00")&amp;" &lt; "&amp;RTData[[#This Row],[Old1YT]]</f>
        <v>2.40 &lt; 2.25/3.94</v>
      </c>
    </row>
    <row r="75" spans="1:32" ht="22" customHeight="1" x14ac:dyDescent="0.3">
      <c r="A75" s="40" t="str" cm="1">
        <f t="array" aca="1" ref="A75" ca="1">_xlfn.SINGLE(RTData[suffix])&amp;_FV(RTData[[#This Row],[Company Name]],"Ticker symbol",TRUE)</f>
        <v>ENI</v>
      </c>
      <c r="B75" s="40">
        <v>1</v>
      </c>
      <c r="C75" t="e" vm="54">
        <v>#VALUE!</v>
      </c>
      <c r="D75" s="17" t="str" cm="1">
        <f t="array" aca="1" ref="D75" ca="1">_FV(RTData[[#This Row],[Company Name]],"Currency")</f>
        <v>EUR</v>
      </c>
      <c r="E75" s="18" cm="1">
        <f t="array" aca="1" ref="E75" ca="1">_FV(RTData[[#This Row],[Company Name]],"Last trade time",TRUE)</f>
        <v>45953.666666666664</v>
      </c>
      <c r="F75" s="28" cm="1">
        <f t="array" aca="1" ref="F75" ca="1">_FV(RTData[[#This Row],[Company Name]],"Previous close",TRUE)</f>
        <v>15.125999999999999</v>
      </c>
      <c r="G75" s="28" cm="1">
        <f t="array" aca="1" ref="G75" ca="1">_FV(RTData[[#This Row],[Company Name]],"Open")</f>
        <v>15.35</v>
      </c>
      <c r="H75" s="28" cm="1">
        <f t="array" aca="1" ref="H75" ca="1">_FV(RTData[[#This Row],[Company Name]],"Price")</f>
        <v>15.586</v>
      </c>
      <c r="I75" s="28" cm="1">
        <f t="array" aca="1" ref="I75" ca="1">_FV(RTData[[#This Row],[Company Name]],"Low")</f>
        <v>15.327999999999999</v>
      </c>
      <c r="J75" s="28" cm="1">
        <f t="array" aca="1" ref="J75" ca="1">_FV(RTData[[#This Row],[Company Name]],"High")</f>
        <v>15.63</v>
      </c>
      <c r="K75" s="20" cm="1">
        <f t="array" aca="1" ref="K75" ca="1">IFERROR(_FV(RTData[[#This Row],[Company Name]],"P/E",TRUE),99)</f>
        <v>18.898099999999999</v>
      </c>
      <c r="L75" s="21" cm="1">
        <f t="array" aca="1" ref="L75" ca="1">_FV(RTData[[#This Row],[Company Name]],"Change")</f>
        <v>0.46</v>
      </c>
      <c r="M75" s="22" cm="1">
        <f t="array" aca="1" ref="M75" ca="1">_FV(RTData[[#This Row],[Company Name]],"Change (%)",TRUE)</f>
        <v>3.0411000000000001E-2</v>
      </c>
      <c r="N75" s="28" cm="1">
        <f t="array" aca="1" ref="N75" ca="1">_FV(RTData[[#This Row],[Company Name]],"52 week low",TRUE)</f>
        <v>11.01</v>
      </c>
      <c r="O75" s="28" cm="1">
        <f t="array" aca="1" ref="O75" ca="1">_FV(RTData[[#This Row],[Company Name]],"52 week high",TRUE)</f>
        <v>15.63</v>
      </c>
      <c r="P75" s="23" cm="1">
        <f t="array" aca="1" ref="P75" ca="1">_FV(RTData[[#This Row],[Company Name]],"Volume")</f>
        <v>30583218</v>
      </c>
      <c r="Q75" s="23" cm="1">
        <f t="array" aca="1" ref="Q75" ca="1">_FV(RTData[[#This Row],[Company Name]],"Volume average",TRUE)</f>
        <v>10904760</v>
      </c>
      <c r="R75" s="19" cm="1">
        <f t="array" aca="1" ref="R75" ca="1">_FV(RTData[[#This Row],[Company Name]],"Beta")</f>
        <v>1.0833999999999999</v>
      </c>
      <c r="T75" t="s">
        <v>26</v>
      </c>
      <c r="U75" t="str" cm="1">
        <f t="array" aca="1" ref="U75" ca="1">_FV(RTData[[#This Row],[Company Name]],"Exchange abbreviation",TRUE)</f>
        <v>XMIL</v>
      </c>
      <c r="V75" s="24">
        <f ca="1">IFERROR(RTData[[#This Row],[Volume]]/RTData[[#This Row],[Volume average]],1)</f>
        <v>2.8045750663013216</v>
      </c>
      <c r="W75" s="24"/>
      <c r="X75" s="108">
        <f ca="1">_xlfn.XLOOKUP(RTData[[#This Row],[Ticker symbol]],[2]Sheet2!$B$2:$B$95,[2]Sheet2!$E$2:$E$95)</f>
        <v>15.586360000000001</v>
      </c>
      <c r="Y75" s="101">
        <f>_xlfn.LET(_xlpm.date,[2]Sheet2!F74,IF(_xlpm.date=0,"",_xlpm.date))</f>
        <v>45985</v>
      </c>
      <c r="Z75" s="101" t="str">
        <f>_xlfn.LET(_xlpm.date,[2]Sheet2!G74,IF(_xlpm.date=0,"",_xlpm.date))</f>
        <v/>
      </c>
      <c r="AA75" s="102">
        <f>[2]Sheet2!$H74</f>
        <v>6.9500000000000006E-2</v>
      </c>
      <c r="AB75" s="103"/>
      <c r="AC75" s="104">
        <v>3.0000000000000001E-3</v>
      </c>
      <c r="AD75" s="90" t="s">
        <v>68</v>
      </c>
      <c r="AE75" s="105">
        <f ca="1">_xlfn.LET(_xlpm.New1YT,RTData[[#This Row],[1YT]],        _xlpm.Old1YT,IF(ISNUMBER(RTData[[#This Row],[Old1YT]]),RTData[[#This Row],[Old1YT]],VALUE(LEFT(RTData[[#This Row],[Old1YT]],FIND("/",RTData[[#This Row],[Old1YT]],1)-1))),       IF(OR(RTData[[#This Row],[1YT]]=0,_xlpm.Old1YT=0),0,(_xlpm.New1YT-_xlpm.Old1YT)/_xlpm.Old1YT))</f>
        <v>5.9575798776342621E-2</v>
      </c>
      <c r="AF75" s="105" t="str">
        <f ca="1">TEXT(RTData[[#This Row],[1YT]],"#,#0.00")&amp;" &lt; "&amp;RTData[[#This Row],[Old1YT]]</f>
        <v>15.59 &lt; 14.71/14.81/16.46</v>
      </c>
    </row>
    <row r="76" spans="1:32" ht="22" customHeight="1" x14ac:dyDescent="0.3">
      <c r="A76" s="40" t="str" cm="1">
        <f t="array" aca="1" ref="A76" ca="1">_xlfn.SINGLE(RTData[suffix])&amp;_FV(RTData[[#This Row],[Company Name]],"Ticker symbol",TRUE)</f>
        <v>EZJ</v>
      </c>
      <c r="B76" s="15">
        <f ca="1">D101/100</f>
        <v>1.1475786091347258E-2</v>
      </c>
      <c r="C76" t="e" vm="58">
        <v>#VALUE!</v>
      </c>
      <c r="D76" s="17" t="str" cm="1">
        <f t="array" aca="1" ref="D76" ca="1">_FV(RTData[[#This Row],[Company Name]],"Currency")</f>
        <v>GBp</v>
      </c>
      <c r="E76" s="18" cm="1">
        <f t="array" aca="1" ref="E76" ca="1">_FV(RTData[[#This Row],[Company Name]],"Last trade time",TRUE)</f>
        <v>45953.67224537037</v>
      </c>
      <c r="F76" s="19" cm="1">
        <f t="array" aca="1" ref="F76" ca="1">_FV(RTData[[#This Row],[Company Name]],"Previous close",TRUE)</f>
        <v>493.3</v>
      </c>
      <c r="G76" s="19" cm="1">
        <f t="array" aca="1" ref="G76" ca="1">_FV(RTData[[#This Row],[Company Name]],"Open")</f>
        <v>487.6</v>
      </c>
      <c r="H76" s="19" cm="1">
        <f t="array" aca="1" ref="H76" ca="1">_FV(RTData[[#This Row],[Company Name]],"Price")</f>
        <v>479.5</v>
      </c>
      <c r="I76" s="19" cm="1">
        <f t="array" aca="1" ref="I76" ca="1">_FV(RTData[[#This Row],[Company Name]],"Low")</f>
        <v>479.5</v>
      </c>
      <c r="J76" s="19" cm="1">
        <f t="array" aca="1" ref="J76" ca="1">_FV(RTData[[#This Row],[Company Name]],"High")</f>
        <v>490.4</v>
      </c>
      <c r="K76" s="20" cm="1">
        <f t="array" aca="1" ref="K76" ca="1">IFERROR(_FV(RTData[[#This Row],[Company Name]],"P/E",TRUE),99)</f>
        <v>8.9220000000000006</v>
      </c>
      <c r="L76" s="21" cm="1">
        <f t="array" aca="1" ref="L76" ca="1">_FV(RTData[[#This Row],[Company Name]],"Change")</f>
        <v>-13.8</v>
      </c>
      <c r="M76" s="22" cm="1">
        <f t="array" aca="1" ref="M76" ca="1">_FV(RTData[[#This Row],[Company Name]],"Change (%)",TRUE)</f>
        <v>-2.7975E-2</v>
      </c>
      <c r="N76" s="19" cm="1">
        <f t="array" aca="1" ref="N76" ca="1">_FV(RTData[[#This Row],[Company Name]],"52 week low",TRUE)</f>
        <v>401.05</v>
      </c>
      <c r="O76" s="19" cm="1">
        <f t="array" aca="1" ref="O76" ca="1">_FV(RTData[[#This Row],[Company Name]],"52 week high",TRUE)</f>
        <v>594</v>
      </c>
      <c r="P76" s="23" cm="1">
        <f t="array" aca="1" ref="P76" ca="1">_FV(RTData[[#This Row],[Company Name]],"Volume")</f>
        <v>2637704</v>
      </c>
      <c r="Q76" s="23" cm="1">
        <f t="array" aca="1" ref="Q76" ca="1">_FV(RTData[[#This Row],[Company Name]],"Volume average",TRUE)</f>
        <v>4945150</v>
      </c>
      <c r="R76" s="19" cm="1">
        <f t="array" aca="1" ref="R76" ca="1">_FV(RTData[[#This Row],[Company Name]],"Beta")</f>
        <v>2.8776999999999999</v>
      </c>
      <c r="T76" t="s">
        <v>26</v>
      </c>
      <c r="U76" t="str" cm="1">
        <f t="array" aca="1" ref="U76" ca="1">_FV(RTData[[#This Row],[Company Name]],"Exchange abbreviation",TRUE)</f>
        <v>XLON</v>
      </c>
      <c r="V76" s="24">
        <f ca="1">IFERROR(RTData[[#This Row],[Volume]]/RTData[[#This Row],[Volume average]],1)</f>
        <v>0.53339211146274634</v>
      </c>
      <c r="W76" s="24"/>
      <c r="X76" s="108">
        <f ca="1">_xlfn.XLOOKUP(RTData[[#This Row],[Ticker symbol]],[2]Sheet2!$B$2:$B$95,[2]Sheet2!$E$2:$E$95)</f>
        <v>643.68399999999997</v>
      </c>
      <c r="Y76" s="101">
        <f>_xlfn.LET(_xlpm.date,[2]Sheet2!F75,IF(_xlpm.date=0,"",_xlpm.date))</f>
        <v>45708</v>
      </c>
      <c r="Z76" s="101" t="str">
        <f>_xlfn.LET(_xlpm.date,[2]Sheet2!G75,IF(_xlpm.date=0,"",_xlpm.date))</f>
        <v/>
      </c>
      <c r="AA76" s="102">
        <f>[2]Sheet2!$H75</f>
        <v>2.6099998999999999E-2</v>
      </c>
      <c r="AB76" s="103"/>
      <c r="AC76" s="104">
        <v>3.0000000000000001E-3</v>
      </c>
      <c r="AD76" s="90" t="s">
        <v>69</v>
      </c>
      <c r="AE76" s="105">
        <f ca="1">_xlfn.LET(_xlpm.New1YT,RTData[[#This Row],[1YT]],        _xlpm.Old1YT,IF(ISNUMBER(RTData[[#This Row],[Old1YT]]),RTData[[#This Row],[Old1YT]],VALUE(LEFT(RTData[[#This Row],[Old1YT]],FIND("/",RTData[[#This Row],[Old1YT]],1)-1))),       IF(OR(RTData[[#This Row],[1YT]]=0,_xlpm.Old1YT=0),0,(_xlpm.New1YT-_xlpm.Old1YT)/_xlpm.Old1YT))</f>
        <v>-7.6904102909753164E-2</v>
      </c>
      <c r="AF76" s="105" t="str">
        <f ca="1">TEXT(RTData[[#This Row],[1YT]],"#,#0.00")&amp;" &lt; "&amp;RTData[[#This Row],[Old1YT]]</f>
        <v>643.68 &lt; 697.31/682.94</v>
      </c>
    </row>
    <row r="77" spans="1:32" ht="22" customHeight="1" x14ac:dyDescent="0.3">
      <c r="A77" s="40" t="str" cm="1">
        <f t="array" aca="1" ref="A77" ca="1">_xlfn.SINGLE(RTData[suffix])&amp;_FV(RTData[[#This Row],[Company Name]],"Ticker symbol",TRUE)</f>
        <v>F</v>
      </c>
      <c r="B77" s="40">
        <f ca="1">D99</f>
        <v>0.86065926499698775</v>
      </c>
      <c r="C77" t="e" vm="59">
        <v>#VALUE!</v>
      </c>
      <c r="D77" s="17" t="str" cm="1">
        <f t="array" aca="1" ref="D77" ca="1">_FV(RTData[[#This Row],[Company Name]],"Currency")</f>
        <v>USD</v>
      </c>
      <c r="E77" s="18" cm="1">
        <f t="array" aca="1" ref="E77" ca="1">_FV(RTData[[#This Row],[Company Name]],"Last trade time",TRUE)</f>
        <v>45953.935139062502</v>
      </c>
      <c r="F77" s="19" cm="1">
        <f t="array" aca="1" ref="F77" ca="1">_FV(RTData[[#This Row],[Company Name]],"Previous close",TRUE)</f>
        <v>12.43</v>
      </c>
      <c r="G77" s="19" cm="1">
        <f t="array" aca="1" ref="G77" ca="1">_FV(RTData[[#This Row],[Company Name]],"Open")</f>
        <v>12.47</v>
      </c>
      <c r="H77" s="19" cm="1">
        <f t="array" aca="1" ref="H77" ca="1">_FV(RTData[[#This Row],[Company Name]],"Price")</f>
        <v>12.31</v>
      </c>
      <c r="I77" s="19" cm="1">
        <f t="array" aca="1" ref="I77" ca="1">_FV(RTData[[#This Row],[Company Name]],"Low")</f>
        <v>12.19</v>
      </c>
      <c r="J77" s="19" cm="1">
        <f t="array" aca="1" ref="J77" ca="1">_FV(RTData[[#This Row],[Company Name]],"High")</f>
        <v>12.49</v>
      </c>
      <c r="K77" s="20" cm="1">
        <f t="array" aca="1" ref="K77" ca="1">IFERROR(_FV(RTData[[#This Row],[Company Name]],"P/E",TRUE),99)</f>
        <v>15.7417</v>
      </c>
      <c r="L77" s="21" cm="1">
        <f t="array" aca="1" ref="L77" ca="1">_FV(RTData[[#This Row],[Company Name]],"Change")</f>
        <v>-0.12</v>
      </c>
      <c r="M77" s="22" cm="1">
        <f t="array" aca="1" ref="M77" ca="1">_FV(RTData[[#This Row],[Company Name]],"Change (%)",TRUE)</f>
        <v>-9.6540000000000011E-3</v>
      </c>
      <c r="N77" s="19" cm="1">
        <f t="array" aca="1" ref="N77" ca="1">_FV(RTData[[#This Row],[Company Name]],"52 week low",TRUE)</f>
        <v>8.4405999999999999</v>
      </c>
      <c r="O77" s="19" cm="1">
        <f t="array" aca="1" ref="O77" ca="1">_FV(RTData[[#This Row],[Company Name]],"52 week high",TRUE)</f>
        <v>12.8</v>
      </c>
      <c r="P77" s="23" cm="1">
        <f t="array" aca="1" ref="P77" ca="1">_FV(RTData[[#This Row],[Company Name]],"Volume")</f>
        <v>479244632</v>
      </c>
      <c r="Q77" s="23" cm="1">
        <f t="array" aca="1" ref="Q77" ca="1">_FV(RTData[[#This Row],[Company Name]],"Volume average",TRUE)</f>
        <v>105043755</v>
      </c>
      <c r="R77" s="19" cm="1">
        <f t="array" aca="1" ref="R77" ca="1">_FV(RTData[[#This Row],[Company Name]],"Beta")</f>
        <v>1.6001000000000001</v>
      </c>
      <c r="T77" t="s">
        <v>26</v>
      </c>
      <c r="U77" t="str" cm="1">
        <f t="array" aca="1" ref="U77" ca="1">_FV(RTData[[#This Row],[Company Name]],"Exchange abbreviation",TRUE)</f>
        <v>XNYS</v>
      </c>
      <c r="V77" s="24">
        <f ca="1">IFERROR(RTData[[#This Row],[Volume]]/RTData[[#This Row],[Volume average]],1)</f>
        <v>4.5623334009718137</v>
      </c>
      <c r="W77" s="24"/>
      <c r="X77" s="108">
        <f ca="1">_xlfn.XLOOKUP(RTData[[#This Row],[Ticker symbol]],[2]Sheet2!$B$2:$B$95,[2]Sheet2!$E$2:$E$95)</f>
        <v>11.475</v>
      </c>
      <c r="Y77" s="101">
        <f>_xlfn.LET(_xlpm.date,[2]Sheet2!F76,IF(_xlpm.date=0,"",_xlpm.date))</f>
        <v>45880</v>
      </c>
      <c r="Z77" s="101" t="str">
        <f>_xlfn.LET(_xlpm.date,[2]Sheet2!G76,IF(_xlpm.date=0,"",_xlpm.date))</f>
        <v>Oct 23, 2025</v>
      </c>
      <c r="AA77" s="102">
        <f>[2]Sheet2!$H76</f>
        <v>5.2600003999999999E-2</v>
      </c>
      <c r="AB77" s="103">
        <v>1E-4</v>
      </c>
      <c r="AC77" s="104">
        <v>3.0000000000000001E-3</v>
      </c>
      <c r="AD77" s="90" t="s">
        <v>70</v>
      </c>
      <c r="AE77" s="105">
        <f ca="1">_xlfn.LET(_xlpm.New1YT,RTData[[#This Row],[1YT]],        _xlpm.Old1YT,IF(ISNUMBER(RTData[[#This Row],[Old1YT]]),RTData[[#This Row],[Old1YT]],VALUE(LEFT(RTData[[#This Row],[Old1YT]],FIND("/",RTData[[#This Row],[Old1YT]],1)-1))),       IF(OR(RTData[[#This Row],[1YT]]=0,_xlpm.Old1YT=0),0,(_xlpm.New1YT-_xlpm.Old1YT)/_xlpm.Old1YT))</f>
        <v>0.10655737704918038</v>
      </c>
      <c r="AF77" s="105" t="str">
        <f ca="1">TEXT(RTData[[#This Row],[1YT]],"#,#0.00")&amp;" &lt; "&amp;RTData[[#This Row],[Old1YT]]</f>
        <v>11.48 &lt; 10.37/12.18</v>
      </c>
    </row>
    <row r="78" spans="1:32" ht="22" customHeight="1" x14ac:dyDescent="0.3">
      <c r="A78" s="40" t="str" cm="1">
        <f t="array" aca="1" ref="A78" ca="1">_xlfn.SINGLE(RTData[suffix])&amp;_FV(RTData[[#This Row],[Company Name]],"Ticker symbol",TRUE)</f>
        <v>GLE</v>
      </c>
      <c r="B78" s="40">
        <v>1</v>
      </c>
      <c r="C78" t="e" vm="55">
        <v>#VALUE!</v>
      </c>
      <c r="D78" s="17" t="str" cm="1">
        <f t="array" aca="1" ref="D78" ca="1">_FV(RTData[[#This Row],[Company Name]],"Currency")</f>
        <v>EUR</v>
      </c>
      <c r="E78" s="18" cm="1">
        <f t="array" aca="1" ref="E78" ca="1">_FV(RTData[[#This Row],[Company Name]],"Last trade time",TRUE)</f>
        <v>45953.666666666664</v>
      </c>
      <c r="F78" s="28" cm="1">
        <f t="array" aca="1" ref="F78" ca="1">_FV(RTData[[#This Row],[Company Name]],"Previous close",TRUE)</f>
        <v>52.88</v>
      </c>
      <c r="G78" s="28" cm="1">
        <f t="array" aca="1" ref="G78" ca="1">_FV(RTData[[#This Row],[Company Name]],"Open")</f>
        <v>53.22</v>
      </c>
      <c r="H78" s="28" cm="1">
        <f t="array" aca="1" ref="H78" ca="1">_FV(RTData[[#This Row],[Company Name]],"Price")</f>
        <v>53.58</v>
      </c>
      <c r="I78" s="28" cm="1">
        <f t="array" aca="1" ref="I78" ca="1">_FV(RTData[[#This Row],[Company Name]],"Low")</f>
        <v>52.8</v>
      </c>
      <c r="J78" s="28" cm="1">
        <f t="array" aca="1" ref="J78" ca="1">_FV(RTData[[#This Row],[Company Name]],"High")</f>
        <v>54</v>
      </c>
      <c r="K78" s="20" cm="1">
        <f t="array" aca="1" ref="K78" ca="1">IFERROR(_FV(RTData[[#This Row],[Company Name]],"P/E",TRUE),99)</f>
        <v>8.8566000000000003</v>
      </c>
      <c r="L78" s="21" cm="1">
        <f t="array" aca="1" ref="L78" ca="1">_FV(RTData[[#This Row],[Company Name]],"Change")</f>
        <v>0.7</v>
      </c>
      <c r="M78" s="22" cm="1">
        <f t="array" aca="1" ref="M78" ca="1">_FV(RTData[[#This Row],[Company Name]],"Change (%)",TRUE)</f>
        <v>1.3238000000000002E-2</v>
      </c>
      <c r="N78" s="28" cm="1">
        <f t="array" aca="1" ref="N78" ca="1">_FV(RTData[[#This Row],[Company Name]],"52 week low",TRUE)</f>
        <v>23.35</v>
      </c>
      <c r="O78" s="28" cm="1">
        <f t="array" aca="1" ref="O78" ca="1">_FV(RTData[[#This Row],[Company Name]],"52 week high",TRUE)</f>
        <v>59.42</v>
      </c>
      <c r="P78" s="23" cm="1">
        <f t="array" aca="1" ref="P78" ca="1">_FV(RTData[[#This Row],[Company Name]],"Volume")</f>
        <v>2134406</v>
      </c>
      <c r="Q78" s="23" cm="1">
        <f t="array" aca="1" ref="Q78" ca="1">_FV(RTData[[#This Row],[Company Name]],"Volume average",TRUE)</f>
        <v>2120970</v>
      </c>
      <c r="R78" s="19" cm="1">
        <f t="array" aca="1" ref="R78" ca="1">_FV(RTData[[#This Row],[Company Name]],"Beta")</f>
        <v>1.5591999999999999</v>
      </c>
      <c r="T78" t="s">
        <v>26</v>
      </c>
      <c r="U78" t="str" cm="1">
        <f t="array" aca="1" ref="U78" ca="1">_FV(RTData[[#This Row],[Company Name]],"Exchange abbreviation",TRUE)</f>
        <v>XPAR</v>
      </c>
      <c r="V78" s="24">
        <f ca="1">IFERROR(RTData[[#This Row],[Volume]]/RTData[[#This Row],[Volume average]],1)</f>
        <v>1.0063348373621503</v>
      </c>
      <c r="W78" s="24"/>
      <c r="X78" s="108">
        <f ca="1">_xlfn.XLOOKUP(RTData[[#This Row],[Ticker symbol]],[2]Sheet2!$B$2:$B$95,[2]Sheet2!$E$2:$E$95)</f>
        <v>63.157220000000002</v>
      </c>
      <c r="Y78" s="101">
        <f>_xlfn.LET(_xlpm.date,[2]Sheet2!F77,IF(_xlpm.date=0,"",_xlpm.date))</f>
        <v>45937</v>
      </c>
      <c r="Z78" s="101" t="str">
        <f>_xlfn.LET(_xlpm.date,[2]Sheet2!G77,IF(_xlpm.date=0,"",_xlpm.date))</f>
        <v>Oct 30, 2025</v>
      </c>
      <c r="AA78" s="102">
        <f>[2]Sheet2!$H77</f>
        <v>3.1600002000000002E-2</v>
      </c>
      <c r="AB78" s="103"/>
      <c r="AC78" s="104">
        <v>3.0000000000000001E-3</v>
      </c>
      <c r="AD78" s="90" t="s">
        <v>71</v>
      </c>
      <c r="AE78" s="105">
        <f ca="1">_xlfn.LET(_xlpm.New1YT,RTData[[#This Row],[1YT]],        _xlpm.Old1YT,IF(ISNUMBER(RTData[[#This Row],[Old1YT]]),RTData[[#This Row],[Old1YT]],VALUE(LEFT(RTData[[#This Row],[Old1YT]],FIND("/",RTData[[#This Row],[Old1YT]],1)-1))),       IF(OR(RTData[[#This Row],[1YT]]=0,_xlpm.Old1YT=0),0,(_xlpm.New1YT-_xlpm.Old1YT)/_xlpm.Old1YT))</f>
        <v>5.6670905136356017E-2</v>
      </c>
      <c r="AF78" s="105" t="str">
        <f ca="1">TEXT(RTData[[#This Row],[1YT]],"#,#0.00")&amp;" &lt; "&amp;RTData[[#This Row],[Old1YT]]</f>
        <v>63.16 &lt; 59.77/51.92/30.4</v>
      </c>
    </row>
    <row r="79" spans="1:32" ht="22" customHeight="1" x14ac:dyDescent="0.3">
      <c r="A79" s="40" t="str" cm="1">
        <f t="array" aca="1" ref="A79" ca="1">_xlfn.SINGLE(RTData[suffix])&amp;_FV(RTData[[#This Row],[Company Name]],"Ticker symbol",TRUE)</f>
        <v>GNRC</v>
      </c>
      <c r="B79" s="40">
        <f ca="1">D99</f>
        <v>0.86065926499698775</v>
      </c>
      <c r="C79" t="e" vm="60">
        <v>#VALUE!</v>
      </c>
      <c r="D79" s="17" t="str" cm="1">
        <f t="array" aca="1" ref="D79" ca="1">_FV(RTData[[#This Row],[Company Name]],"Currency")</f>
        <v>USD</v>
      </c>
      <c r="E79" s="18" cm="1">
        <f t="array" aca="1" ref="E79" ca="1">_FV(RTData[[#This Row],[Company Name]],"Last trade time",TRUE)</f>
        <v>45953.919108680471</v>
      </c>
      <c r="F79" s="19" cm="1">
        <f t="array" aca="1" ref="F79" ca="1">_FV(RTData[[#This Row],[Company Name]],"Previous close",TRUE)</f>
        <v>183.09</v>
      </c>
      <c r="G79" s="19" cm="1">
        <f t="array" aca="1" ref="G79" ca="1">_FV(RTData[[#This Row],[Company Name]],"Open")</f>
        <v>183.1</v>
      </c>
      <c r="H79" s="19" cm="1">
        <f t="array" aca="1" ref="H79" ca="1">_FV(RTData[[#This Row],[Company Name]],"Price")</f>
        <v>189.04</v>
      </c>
      <c r="I79" s="19" cm="1">
        <f t="array" aca="1" ref="I79" ca="1">_FV(RTData[[#This Row],[Company Name]],"Low")</f>
        <v>181.69499999999999</v>
      </c>
      <c r="J79" s="19" cm="1">
        <f t="array" aca="1" ref="J79" ca="1">_FV(RTData[[#This Row],[Company Name]],"High")</f>
        <v>191.11</v>
      </c>
      <c r="K79" s="20" cm="1">
        <f t="array" aca="1" ref="K79" ca="1">IFERROR(_FV(RTData[[#This Row],[Company Name]],"P/E",TRUE),99)</f>
        <v>31.390499999999999</v>
      </c>
      <c r="L79" s="21" cm="1">
        <f t="array" aca="1" ref="L79" ca="1">_FV(RTData[[#This Row],[Company Name]],"Change")</f>
        <v>5.95</v>
      </c>
      <c r="M79" s="22" cm="1">
        <f t="array" aca="1" ref="M79" ca="1">_FV(RTData[[#This Row],[Company Name]],"Change (%)",TRUE)</f>
        <v>3.2497999999999999E-2</v>
      </c>
      <c r="N79" s="19" cm="1">
        <f t="array" aca="1" ref="N79" ca="1">_FV(RTData[[#This Row],[Company Name]],"52 week low",TRUE)</f>
        <v>99.5</v>
      </c>
      <c r="O79" s="19" cm="1">
        <f t="array" aca="1" ref="O79" ca="1">_FV(RTData[[#This Row],[Company Name]],"52 week high",TRUE)</f>
        <v>203.2499</v>
      </c>
      <c r="P79" s="23" cm="1">
        <f t="array" aca="1" ref="P79" ca="1">_FV(RTData[[#This Row],[Company Name]],"Volume")</f>
        <v>807232</v>
      </c>
      <c r="Q79" s="23" cm="1">
        <f t="array" aca="1" ref="Q79" ca="1">_FV(RTData[[#This Row],[Company Name]],"Volume average",TRUE)</f>
        <v>1080915</v>
      </c>
      <c r="R79" s="19" cm="1">
        <f t="array" aca="1" ref="R79" ca="1">_FV(RTData[[#This Row],[Company Name]],"Beta")</f>
        <v>1.6833</v>
      </c>
      <c r="T79" t="s">
        <v>26</v>
      </c>
      <c r="U79" t="str" cm="1">
        <f t="array" aca="1" ref="U79" ca="1">_FV(RTData[[#This Row],[Company Name]],"Exchange abbreviation",TRUE)</f>
        <v>XNYS</v>
      </c>
      <c r="V79" s="24">
        <f ca="1">IFERROR(RTData[[#This Row],[Volume]]/RTData[[#This Row],[Volume average]],1)</f>
        <v>0.74680432781486061</v>
      </c>
      <c r="W79" s="24"/>
      <c r="X79" s="108">
        <f ca="1">_xlfn.XLOOKUP(RTData[[#This Row],[Ticker symbol]],[2]Sheet2!$B$2:$B$95,[2]Sheet2!$E$2:$E$95)</f>
        <v>203.375</v>
      </c>
      <c r="Y79" s="101">
        <f>_xlfn.LET(_xlpm.date,[2]Sheet2!F78,IF(_xlpm.date=0,"",_xlpm.date))</f>
        <v>41435</v>
      </c>
      <c r="Z79" s="101" t="str">
        <f>_xlfn.LET(_xlpm.date,[2]Sheet2!G78,IF(_xlpm.date=0,"",_xlpm.date))</f>
        <v>Oct 30, 2025</v>
      </c>
      <c r="AA79" s="102">
        <f>[2]Sheet2!$H78</f>
        <v>0</v>
      </c>
      <c r="AB79" s="103">
        <v>1E-4</v>
      </c>
      <c r="AC79" s="104">
        <v>3.0000000000000001E-3</v>
      </c>
      <c r="AD79" s="90">
        <v>157.18</v>
      </c>
      <c r="AE79" s="105">
        <f ca="1">_xlfn.LET(_xlpm.New1YT,RTData[[#This Row],[1YT]],        _xlpm.Old1YT,IF(ISNUMBER(RTData[[#This Row],[Old1YT]]),RTData[[#This Row],[Old1YT]],VALUE(LEFT(RTData[[#This Row],[Old1YT]],FIND("/",RTData[[#This Row],[Old1YT]],1)-1))),       IF(OR(RTData[[#This Row],[1YT]]=0,_xlpm.Old1YT=0),0,(_xlpm.New1YT-_xlpm.Old1YT)/_xlpm.Old1YT))</f>
        <v>0.29389871484921742</v>
      </c>
      <c r="AF79" s="105" t="str">
        <f ca="1">TEXT(RTData[[#This Row],[1YT]],"#,#0.00")&amp;" &lt; "&amp;RTData[[#This Row],[Old1YT]]</f>
        <v>203.38 &lt; 157.18</v>
      </c>
    </row>
    <row r="80" spans="1:32" ht="22" customHeight="1" x14ac:dyDescent="0.3">
      <c r="A80" s="40" t="str" cm="1">
        <f t="array" aca="1" ref="A80" ca="1">_xlfn.SINGLE(RTData[suffix])&amp;_FV(RTData[[#This Row],[Company Name]],"Ticker symbol",TRUE)</f>
        <v>GS</v>
      </c>
      <c r="B80" s="40">
        <f ca="1">D99</f>
        <v>0.86065926499698775</v>
      </c>
      <c r="C80" t="e" vm="61">
        <v>#VALUE!</v>
      </c>
      <c r="D80" s="17" t="str" cm="1">
        <f t="array" aca="1" ref="D80" ca="1">_FV(RTData[[#This Row],[Company Name]],"Currency")</f>
        <v>USD</v>
      </c>
      <c r="E80" s="18" cm="1">
        <f t="array" aca="1" ref="E80" ca="1">_FV(RTData[[#This Row],[Company Name]],"Last trade time",TRUE)</f>
        <v>45953.935210625001</v>
      </c>
      <c r="F80" s="19" cm="1">
        <f t="array" aca="1" ref="F80" ca="1">_FV(RTData[[#This Row],[Company Name]],"Previous close",TRUE)</f>
        <v>744.6</v>
      </c>
      <c r="G80" s="19" cm="1">
        <f t="array" aca="1" ref="G80" ca="1">_FV(RTData[[#This Row],[Company Name]],"Open")</f>
        <v>749.34</v>
      </c>
      <c r="H80" s="19" cm="1">
        <f t="array" aca="1" ref="H80" ca="1">_FV(RTData[[#This Row],[Company Name]],"Price")</f>
        <v>751.01</v>
      </c>
      <c r="I80" s="19" cm="1">
        <f t="array" aca="1" ref="I80" ca="1">_FV(RTData[[#This Row],[Company Name]],"Low")</f>
        <v>744.66</v>
      </c>
      <c r="J80" s="19" cm="1">
        <f t="array" aca="1" ref="J80" ca="1">_FV(RTData[[#This Row],[Company Name]],"High")</f>
        <v>755</v>
      </c>
      <c r="K80" s="20" cm="1">
        <f t="array" aca="1" ref="K80" ca="1">IFERROR(_FV(RTData[[#This Row],[Company Name]],"P/E",TRUE),99)</f>
        <v>15.1258</v>
      </c>
      <c r="L80" s="21" cm="1">
        <f t="array" aca="1" ref="L80" ca="1">_FV(RTData[[#This Row],[Company Name]],"Change")</f>
        <v>6.41</v>
      </c>
      <c r="M80" s="22" cm="1">
        <f t="array" aca="1" ref="M80" ca="1">_FV(RTData[[#This Row],[Company Name]],"Change (%)",TRUE)</f>
        <v>8.6090000000000003E-3</v>
      </c>
      <c r="N80" s="19" cm="1">
        <f t="array" aca="1" ref="N80" ca="1">_FV(RTData[[#This Row],[Company Name]],"52 week low",TRUE)</f>
        <v>439.38</v>
      </c>
      <c r="O80" s="19" cm="1">
        <f t="array" aca="1" ref="O80" ca="1">_FV(RTData[[#This Row],[Company Name]],"52 week high",TRUE)</f>
        <v>825.25</v>
      </c>
      <c r="P80" s="23" cm="1">
        <f t="array" aca="1" ref="P80" ca="1">_FV(RTData[[#This Row],[Company Name]],"Volume")</f>
        <v>1613606</v>
      </c>
      <c r="Q80" s="23" cm="1">
        <f t="array" aca="1" ref="Q80" ca="1">_FV(RTData[[#This Row],[Company Name]],"Volume average",TRUE)</f>
        <v>2098861</v>
      </c>
      <c r="R80" s="19" cm="1">
        <f t="array" aca="1" ref="R80" ca="1">_FV(RTData[[#This Row],[Company Name]],"Beta")</f>
        <v>1.4088000000000001</v>
      </c>
      <c r="T80" t="s">
        <v>26</v>
      </c>
      <c r="U80" t="str" cm="1">
        <f t="array" aca="1" ref="U80" ca="1">_FV(RTData[[#This Row],[Company Name]],"Exchange abbreviation",TRUE)</f>
        <v>XNYS</v>
      </c>
      <c r="V80" s="24">
        <f ca="1">IFERROR(RTData[[#This Row],[Volume]]/RTData[[#This Row],[Volume average]],1)</f>
        <v>0.76880079242979882</v>
      </c>
      <c r="W80" s="24"/>
      <c r="X80" s="108">
        <f ca="1">_xlfn.XLOOKUP(RTData[[#This Row],[Ticker symbol]],[2]Sheet2!$B$2:$B$95,[2]Sheet2!$E$2:$E$95)</f>
        <v>764.68420000000003</v>
      </c>
      <c r="Y80" s="101">
        <f>_xlfn.LET(_xlpm.date,[2]Sheet2!F79,IF(_xlpm.date=0,"",_xlpm.date))</f>
        <v>45898</v>
      </c>
      <c r="Z80" s="101" t="str">
        <f>_xlfn.LET(_xlpm.date,[2]Sheet2!G79,IF(_xlpm.date=0,"",_xlpm.date))</f>
        <v>Oct 14, 2025</v>
      </c>
      <c r="AA80" s="102">
        <f>[2]Sheet2!$H79</f>
        <v>2.0899999999999998E-2</v>
      </c>
      <c r="AB80" s="103">
        <v>1E-4</v>
      </c>
      <c r="AC80" s="104">
        <v>3.0000000000000001E-3</v>
      </c>
      <c r="AD80" s="90">
        <v>453.91</v>
      </c>
      <c r="AE80" s="105">
        <f ca="1">_xlfn.LET(_xlpm.New1YT,RTData[[#This Row],[1YT]],        _xlpm.Old1YT,IF(ISNUMBER(RTData[[#This Row],[Old1YT]]),RTData[[#This Row],[Old1YT]],VALUE(LEFT(RTData[[#This Row],[Old1YT]],FIND("/",RTData[[#This Row],[Old1YT]],1)-1))),       IF(OR(RTData[[#This Row],[1YT]]=0,_xlpm.Old1YT=0),0,(_xlpm.New1YT-_xlpm.Old1YT)/_xlpm.Old1YT))</f>
        <v>0.68466039523253508</v>
      </c>
      <c r="AF80" s="105" t="str">
        <f ca="1">TEXT(RTData[[#This Row],[1YT]],"#,#0.00")&amp;" &lt; "&amp;RTData[[#This Row],[Old1YT]]</f>
        <v>764.68 &lt; 453.91</v>
      </c>
    </row>
    <row r="81" spans="1:33" x14ac:dyDescent="0.3">
      <c r="A81" s="40" t="str" cm="1">
        <f t="array" aca="1" ref="A81" ca="1">_xlfn.SINGLE(RTData[suffix])&amp;_FV(RTData[[#This Row],[Company Name]],"Ticker symbol",TRUE)</f>
        <v>LAZR</v>
      </c>
      <c r="B81" s="40">
        <f ca="1">D99</f>
        <v>0.86065926499698775</v>
      </c>
      <c r="C81" t="e" vm="62">
        <v>#VALUE!</v>
      </c>
      <c r="D81" s="17" t="str" cm="1">
        <f t="array" aca="1" ref="D81" ca="1">_FV(RTData[[#This Row],[Company Name]],"Currency")</f>
        <v>USD</v>
      </c>
      <c r="E81" s="18" cm="1">
        <f t="array" aca="1" ref="E81" ca="1">_FV(RTData[[#This Row],[Company Name]],"Last trade time",TRUE)</f>
        <v>45953.93083954844</v>
      </c>
      <c r="F81" s="19" cm="1">
        <f t="array" aca="1" ref="F81" ca="1">_FV(RTData[[#This Row],[Company Name]],"Previous close",TRUE)</f>
        <v>1.72</v>
      </c>
      <c r="G81" s="19" cm="1">
        <f t="array" aca="1" ref="G81" ca="1">_FV(RTData[[#This Row],[Company Name]],"Open")</f>
        <v>1.72</v>
      </c>
      <c r="H81" s="19" cm="1">
        <f t="array" aca="1" ref="H81" ca="1">_FV(RTData[[#This Row],[Company Name]],"Price")</f>
        <v>1.69</v>
      </c>
      <c r="I81" s="19" cm="1">
        <f t="array" aca="1" ref="I81" ca="1">_FV(RTData[[#This Row],[Company Name]],"Low")</f>
        <v>1.67</v>
      </c>
      <c r="J81" s="19" cm="1">
        <f t="array" aca="1" ref="J81" ca="1">_FV(RTData[[#This Row],[Company Name]],"High")</f>
        <v>1.8</v>
      </c>
      <c r="K81" s="20" cm="1">
        <f t="array" aca="1" ref="K81" ca="1">IFERROR(_FV(RTData[[#This Row],[Company Name]],"P/E",TRUE),99)</f>
        <v>0</v>
      </c>
      <c r="L81" s="21" cm="1">
        <f t="array" aca="1" ref="L81" ca="1">_FV(RTData[[#This Row],[Company Name]],"Change")</f>
        <v>-0.03</v>
      </c>
      <c r="M81" s="22" cm="1">
        <f t="array" aca="1" ref="M81" ca="1">_FV(RTData[[#This Row],[Company Name]],"Change (%)",TRUE)</f>
        <v>-1.7441999999999999E-2</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5381387</v>
      </c>
      <c r="Q81" s="23" cm="1">
        <f t="array" aca="1" ref="Q81" ca="1">_FV(RTData[[#This Row],[Company Name]],"Volume average",TRUE)</f>
        <v>6597236</v>
      </c>
      <c r="R81" s="19" cm="1">
        <f t="array" aca="1" ref="R81" ca="1">_FV(RTData[[#This Row],[Company Name]],"Beta")</f>
        <v>2.0550000000000002</v>
      </c>
      <c r="T81" t="s">
        <v>26</v>
      </c>
      <c r="U81" t="str" cm="1">
        <f t="array" aca="1" ref="U81" ca="1">_FV(RTData[[#This Row],[Company Name]],"Exchange abbreviation",TRUE)</f>
        <v>XNAS</v>
      </c>
      <c r="V81" s="24">
        <f ca="1">IFERROR(RTData[[#This Row],[Volume]]/RTData[[#This Row],[Volume average]],1)</f>
        <v>0.81570327331021664</v>
      </c>
      <c r="W81" s="24"/>
      <c r="X81" s="108">
        <f ca="1">_xlfn.XLOOKUP(RTData[[#This Row],[Ticker symbol]],[2]Sheet2!$B$2:$B$95,[2]Sheet2!$E$2:$E$95)</f>
        <v>2.6666699999999999</v>
      </c>
      <c r="Y81" s="101" t="str">
        <f>_xlfn.LET(_xlpm.date,[2]Sheet2!F80,IF(_xlpm.date=0,"",_xlpm.date))</f>
        <v/>
      </c>
      <c r="Z81" s="101" t="str">
        <f>_xlfn.LET(_xlpm.date,[2]Sheet2!G80,IF(_xlpm.date=0,"",_xlpm.date))</f>
        <v>Nov 14, 2025</v>
      </c>
      <c r="AA81" s="102">
        <f>[2]Sheet2!$H80</f>
        <v>0</v>
      </c>
      <c r="AB81" s="103">
        <v>1E-4</v>
      </c>
      <c r="AC81" s="104">
        <v>3.0000000000000001E-3</v>
      </c>
      <c r="AD81" s="90" t="s">
        <v>55</v>
      </c>
      <c r="AE81" s="105">
        <f ca="1">_xlfn.LET(_xlpm.New1YT,RTData[[#This Row],[1YT]],        _xlpm.Old1YT,IF(ISNUMBER(RTData[[#This Row],[Old1YT]]),RTData[[#This Row],[Old1YT]],VALUE(LEFT(RTData[[#This Row],[Old1YT]],FIND("/",RTData[[#This Row],[Old1YT]],1)-1))),       IF(OR(RTData[[#This Row],[1YT]]=0,_xlpm.Old1YT=0),0,(_xlpm.New1YT-_xlpm.Old1YT)/_xlpm.Old1YT))</f>
        <v>-0.38271527777777786</v>
      </c>
      <c r="AF81" s="105" t="str">
        <f ca="1">TEXT(RTData[[#This Row],[1YT]],"#,#0.00")&amp;" &lt; "&amp;RTData[[#This Row],[Old1YT]]</f>
        <v>2.67 &lt; 4.32/2.59</v>
      </c>
    </row>
    <row r="82" spans="1:33" ht="22" customHeight="1" x14ac:dyDescent="0.3">
      <c r="A82" s="40" t="str" cm="1">
        <f t="array" aca="1" ref="A82" ca="1">_xlfn.SINGLE(RTData[suffix])&amp;_FV(RTData[[#This Row],[Company Name]],"Ticker symbol",TRUE)</f>
        <v>LUV</v>
      </c>
      <c r="B82" s="40">
        <f ca="1">D99</f>
        <v>0.86065926499698775</v>
      </c>
      <c r="C82" t="e" vm="63">
        <v>#VALUE!</v>
      </c>
      <c r="D82" s="17" t="str" cm="1">
        <f t="array" aca="1" ref="D82" ca="1">_FV(RTData[[#This Row],[Company Name]],"Currency")</f>
        <v>USD</v>
      </c>
      <c r="E82" s="18" cm="1">
        <f t="array" aca="1" ref="E82" ca="1">_FV(RTData[[#This Row],[Company Name]],"Last trade time",TRUE)</f>
        <v>45953.933973332816</v>
      </c>
      <c r="F82" s="19" cm="1">
        <f t="array" aca="1" ref="F82" ca="1">_FV(RTData[[#This Row],[Company Name]],"Previous close",TRUE)</f>
        <v>33.76</v>
      </c>
      <c r="G82" s="19" cm="1">
        <f t="array" aca="1" ref="G82" ca="1">_FV(RTData[[#This Row],[Company Name]],"Open")</f>
        <v>32.82</v>
      </c>
      <c r="H82" s="19" cm="1">
        <f t="array" aca="1" ref="H82" ca="1">_FV(RTData[[#This Row],[Company Name]],"Price")</f>
        <v>31.65</v>
      </c>
      <c r="I82" s="19" cm="1">
        <f t="array" aca="1" ref="I82" ca="1">_FV(RTData[[#This Row],[Company Name]],"Low")</f>
        <v>31.02</v>
      </c>
      <c r="J82" s="19" cm="1">
        <f t="array" aca="1" ref="J82" ca="1">_FV(RTData[[#This Row],[Company Name]],"High")</f>
        <v>33.15</v>
      </c>
      <c r="K82" s="20" cm="1">
        <f t="array" aca="1" ref="K82" ca="1">IFERROR(_FV(RTData[[#This Row],[Company Name]],"P/E",TRUE),99)</f>
        <v>50.455800000000004</v>
      </c>
      <c r="L82" s="21" cm="1">
        <f t="array" aca="1" ref="L82" ca="1">_FV(RTData[[#This Row],[Company Name]],"Change")</f>
        <v>-2.11</v>
      </c>
      <c r="M82" s="22" cm="1">
        <f t="array" aca="1" ref="M82" ca="1">_FV(RTData[[#This Row],[Company Name]],"Change (%)",TRUE)</f>
        <v>-6.25E-2</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27780447</v>
      </c>
      <c r="Q82" s="23" cm="1">
        <f t="array" aca="1" ref="Q82" ca="1">_FV(RTData[[#This Row],[Company Name]],"Volume average",TRUE)</f>
        <v>9447684</v>
      </c>
      <c r="R82" s="19" cm="1">
        <f t="array" aca="1" ref="R82" ca="1">_FV(RTData[[#This Row],[Company Name]],"Beta")</f>
        <v>1.2293000000000001</v>
      </c>
      <c r="T82" t="s">
        <v>26</v>
      </c>
      <c r="U82" t="str" cm="1">
        <f t="array" aca="1" ref="U82" ca="1">_FV(RTData[[#This Row],[Company Name]],"Exchange abbreviation",TRUE)</f>
        <v>XNYS</v>
      </c>
      <c r="V82" s="24">
        <f ca="1">IFERROR(RTData[[#This Row],[Volume]]/RTData[[#This Row],[Volume average]],1)</f>
        <v>2.9404504850077542</v>
      </c>
      <c r="W82" s="24"/>
      <c r="X82" s="108">
        <f ca="1">_xlfn.XLOOKUP(RTData[[#This Row],[Ticker symbol]],[2]Sheet2!$B$2:$B$95,[2]Sheet2!$E$2:$E$95)</f>
        <v>33.06</v>
      </c>
      <c r="Y82" s="101">
        <f>_xlfn.LET(_xlpm.date,[2]Sheet2!F81,IF(_xlpm.date=0,"",_xlpm.date))</f>
        <v>45903</v>
      </c>
      <c r="Z82" s="101" t="str">
        <f>_xlfn.LET(_xlpm.date,[2]Sheet2!G81,IF(_xlpm.date=0,"",_xlpm.date))</f>
        <v>Oct 22, 2025</v>
      </c>
      <c r="AA82" s="102">
        <f>[2]Sheet2!$H81</f>
        <v>2.3E-2</v>
      </c>
      <c r="AB82" s="103">
        <v>1E-4</v>
      </c>
      <c r="AC82" s="104">
        <v>3.0000000000000001E-3</v>
      </c>
      <c r="AD82" s="90">
        <v>28.04</v>
      </c>
      <c r="AE82" s="105">
        <f ca="1">_xlfn.LET(_xlpm.New1YT,RTData[[#This Row],[1YT]],        _xlpm.Old1YT,IF(ISNUMBER(RTData[[#This Row],[Old1YT]]),RTData[[#This Row],[Old1YT]],VALUE(LEFT(RTData[[#This Row],[Old1YT]],FIND("/",RTData[[#This Row],[Old1YT]],1)-1))),       IF(OR(RTData[[#This Row],[1YT]]=0,_xlpm.Old1YT=0),0,(_xlpm.New1YT-_xlpm.Old1YT)/_xlpm.Old1YT))</f>
        <v>0.17902995720399442</v>
      </c>
      <c r="AF82" s="105" t="str">
        <f ca="1">TEXT(RTData[[#This Row],[1YT]],"#,#0.00")&amp;" &lt; "&amp;RTData[[#This Row],[Old1YT]]</f>
        <v>33.06 &lt; 28.04</v>
      </c>
    </row>
    <row r="83" spans="1:33" ht="22" customHeight="1" x14ac:dyDescent="0.3">
      <c r="A83" s="40" t="str" cm="1">
        <f t="array" aca="1" ref="A83" ca="1">_xlfn.SINGLE(RTData[suffix])&amp;_FV(RTData[[#This Row],[Company Name]],"Ticker symbol",TRUE)</f>
        <v>MA</v>
      </c>
      <c r="B83" s="40">
        <f ca="1">D99</f>
        <v>0.86065926499698775</v>
      </c>
      <c r="C83" t="e" vm="64">
        <v>#VALUE!</v>
      </c>
      <c r="D83" s="17" t="str" cm="1">
        <f t="array" aca="1" ref="D83" ca="1">_FV(RTData[[#This Row],[Company Name]],"Currency")</f>
        <v>USD</v>
      </c>
      <c r="E83" s="18" cm="1">
        <f t="array" aca="1" ref="E83" ca="1">_FV(RTData[[#This Row],[Company Name]],"Last trade time",TRUE)</f>
        <v>45953.93350540469</v>
      </c>
      <c r="F83" s="19" cm="1">
        <f t="array" aca="1" ref="F83" ca="1">_FV(RTData[[#This Row],[Company Name]],"Previous close",TRUE)</f>
        <v>571.36</v>
      </c>
      <c r="G83" s="19" cm="1">
        <f t="array" aca="1" ref="G83" ca="1">_FV(RTData[[#This Row],[Company Name]],"Open")</f>
        <v>574.36</v>
      </c>
      <c r="H83" s="19" cm="1">
        <f t="array" aca="1" ref="H83" ca="1">_FV(RTData[[#This Row],[Company Name]],"Price")</f>
        <v>573.85</v>
      </c>
      <c r="I83" s="19" cm="1">
        <f t="array" aca="1" ref="I83" ca="1">_FV(RTData[[#This Row],[Company Name]],"Low")</f>
        <v>571.66999999999996</v>
      </c>
      <c r="J83" s="19" cm="1">
        <f t="array" aca="1" ref="J83" ca="1">_FV(RTData[[#This Row],[Company Name]],"High")</f>
        <v>576.99</v>
      </c>
      <c r="K83" s="20" cm="1">
        <f t="array" aca="1" ref="K83" ca="1">IFERROR(_FV(RTData[[#This Row],[Company Name]],"P/E",TRUE),99)</f>
        <v>38.5319</v>
      </c>
      <c r="L83" s="21" cm="1">
        <f t="array" aca="1" ref="L83" ca="1">_FV(RTData[[#This Row],[Company Name]],"Change")</f>
        <v>2.4900000000000002</v>
      </c>
      <c r="M83" s="22" cm="1">
        <f t="array" aca="1" ref="M83" ca="1">_FV(RTData[[#This Row],[Company Name]],"Change (%)",TRUE)</f>
        <v>4.3579999999999999E-3</v>
      </c>
      <c r="N83" s="19" cm="1">
        <f t="array" aca="1" ref="N83" ca="1">_FV(RTData[[#This Row],[Company Name]],"52 week low",TRUE)</f>
        <v>465.59</v>
      </c>
      <c r="O83" s="19" cm="1">
        <f t="array" aca="1" ref="O83" ca="1">_FV(RTData[[#This Row],[Company Name]],"52 week high",TRUE)</f>
        <v>601.77</v>
      </c>
      <c r="P83" s="23" cm="1">
        <f t="array" aca="1" ref="P83" ca="1">_FV(RTData[[#This Row],[Company Name]],"Volume")</f>
        <v>2187494</v>
      </c>
      <c r="Q83" s="23" cm="1">
        <f t="array" aca="1" ref="Q83" ca="1">_FV(RTData[[#This Row],[Company Name]],"Volume average",TRUE)</f>
        <v>2835338</v>
      </c>
      <c r="R83" s="19" cm="1">
        <f t="array" aca="1" ref="R83" ca="1">_FV(RTData[[#This Row],[Company Name]],"Beta")</f>
        <v>0.92759999999999998</v>
      </c>
      <c r="T83" t="s">
        <v>26</v>
      </c>
      <c r="U83" t="str" cm="1">
        <f t="array" aca="1" ref="U83" ca="1">_FV(RTData[[#This Row],[Company Name]],"Exchange abbreviation",TRUE)</f>
        <v>XNYS</v>
      </c>
      <c r="V83" s="24">
        <f ca="1">IFERROR(RTData[[#This Row],[Volume]]/RTData[[#This Row],[Volume average]],1)</f>
        <v>0.77151083927207265</v>
      </c>
      <c r="W83" s="24"/>
      <c r="X83" s="108">
        <f ca="1">_xlfn.XLOOKUP(RTData[[#This Row],[Ticker symbol]],[2]Sheet2!$B$2:$B$95,[2]Sheet2!$E$2:$E$95)</f>
        <v>648.43029999999999</v>
      </c>
      <c r="Y83" s="101">
        <f>_xlfn.LET(_xlpm.date,[2]Sheet2!F82,IF(_xlpm.date=0,"",_xlpm.date))</f>
        <v>45939</v>
      </c>
      <c r="Z83" s="101" t="str">
        <f>_xlfn.LET(_xlpm.date,[2]Sheet2!G82,IF(_xlpm.date=0,"",_xlpm.date))</f>
        <v>Oct 30, 2025</v>
      </c>
      <c r="AA83" s="102">
        <f>[2]Sheet2!$H82</f>
        <v>5.4999999999999997E-3</v>
      </c>
      <c r="AB83" s="103">
        <v>1E-4</v>
      </c>
      <c r="AC83" s="104">
        <v>3.0000000000000001E-3</v>
      </c>
      <c r="AD83" s="90">
        <v>549.30999999999995</v>
      </c>
      <c r="AE83" s="105">
        <f ca="1">_xlfn.LET(_xlpm.New1YT,RTData[[#This Row],[1YT]],        _xlpm.Old1YT,IF(ISNUMBER(RTData[[#This Row],[Old1YT]]),RTData[[#This Row],[Old1YT]],VALUE(LEFT(RTData[[#This Row],[Old1YT]],FIND("/",RTData[[#This Row],[Old1YT]],1)-1))),       IF(OR(RTData[[#This Row],[1YT]]=0,_xlpm.Old1YT=0),0,(_xlpm.New1YT-_xlpm.Old1YT)/_xlpm.Old1YT))</f>
        <v>0.18044510385756687</v>
      </c>
      <c r="AF83" s="105" t="str">
        <f ca="1">TEXT(RTData[[#This Row],[1YT]],"#,#0.00")&amp;" &lt; "&amp;RTData[[#This Row],[Old1YT]]</f>
        <v>648.43 &lt; 549.31</v>
      </c>
    </row>
    <row r="84" spans="1:33" ht="22" customHeight="1" x14ac:dyDescent="0.3">
      <c r="A84" s="40" t="str" cm="1">
        <f t="array" aca="1" ref="A84" ca="1">_xlfn.SINGLE(RTData[suffix])&amp;_FV(RTData[[#This Row],[Company Name]],"Ticker symbol",TRUE)</f>
        <v>NVAX</v>
      </c>
      <c r="B84" s="40">
        <f ca="1">D99</f>
        <v>0.86065926499698775</v>
      </c>
      <c r="C84" t="e" vm="65">
        <v>#VALUE!</v>
      </c>
      <c r="D84" s="17" t="str" cm="1">
        <f t="array" aca="1" ref="D84" ca="1">_FV(RTData[[#This Row],[Company Name]],"Currency")</f>
        <v>USD</v>
      </c>
      <c r="E84" s="18" cm="1">
        <f t="array" aca="1" ref="E84" ca="1">_FV(RTData[[#This Row],[Company Name]],"Last trade time",TRUE)</f>
        <v>45953.92983783516</v>
      </c>
      <c r="F84" s="19" cm="1">
        <f t="array" aca="1" ref="F84" ca="1">_FV(RTData[[#This Row],[Company Name]],"Previous close",TRUE)</f>
        <v>8.4600000000000009</v>
      </c>
      <c r="G84" s="19" cm="1">
        <f t="array" aca="1" ref="G84" ca="1">_FV(RTData[[#This Row],[Company Name]],"Open")</f>
        <v>8.4749999999999996</v>
      </c>
      <c r="H84" s="19" cm="1">
        <f t="array" aca="1" ref="H84" ca="1">_FV(RTData[[#This Row],[Company Name]],"Price")</f>
        <v>8.36</v>
      </c>
      <c r="I84" s="19" cm="1">
        <f t="array" aca="1" ref="I84" ca="1">_FV(RTData[[#This Row],[Company Name]],"Low")</f>
        <v>8.24</v>
      </c>
      <c r="J84" s="19" cm="1">
        <f t="array" aca="1" ref="J84" ca="1">_FV(RTData[[#This Row],[Company Name]],"High")</f>
        <v>8.52</v>
      </c>
      <c r="K84" s="20" cm="1">
        <f t="array" aca="1" ref="K84" ca="1">IFERROR(_FV(RTData[[#This Row],[Company Name]],"P/E",TRUE),99)</f>
        <v>3.6987999999999999</v>
      </c>
      <c r="L84" s="21" cm="1">
        <f t="array" aca="1" ref="L84" ca="1">_FV(RTData[[#This Row],[Company Name]],"Change")</f>
        <v>-0.1</v>
      </c>
      <c r="M84" s="22" cm="1">
        <f t="array" aca="1" ref="M84" ca="1">_FV(RTData[[#This Row],[Company Name]],"Change (%)",TRUE)</f>
        <v>-1.1819999999999999E-2</v>
      </c>
      <c r="N84" s="19" cm="1">
        <f t="array" aca="1" ref="N84" ca="1">_FV(RTData[[#This Row],[Company Name]],"52 week low",TRUE)</f>
        <v>5.01</v>
      </c>
      <c r="O84" s="19" cm="1">
        <f t="array" aca="1" ref="O84" ca="1">_FV(RTData[[#This Row],[Company Name]],"52 week high",TRUE)</f>
        <v>11.55</v>
      </c>
      <c r="P84" s="23" cm="1">
        <f t="array" aca="1" ref="P84" ca="1">_FV(RTData[[#This Row],[Company Name]],"Volume")</f>
        <v>3017124</v>
      </c>
      <c r="Q84" s="23" cm="1">
        <f t="array" aca="1" ref="Q84" ca="1">_FV(RTData[[#This Row],[Company Name]],"Volume average",TRUE)</f>
        <v>4608282</v>
      </c>
      <c r="R84" s="19" cm="1">
        <f t="array" aca="1" ref="R84" ca="1">_FV(RTData[[#This Row],[Company Name]],"Beta")</f>
        <v>2.6934999999999998</v>
      </c>
      <c r="T84" t="s">
        <v>26</v>
      </c>
      <c r="U84" t="str" cm="1">
        <f t="array" aca="1" ref="U84" ca="1">_FV(RTData[[#This Row],[Company Name]],"Exchange abbreviation",TRUE)</f>
        <v>XNAS</v>
      </c>
      <c r="V84" s="24">
        <f ca="1">IFERROR(RTData[[#This Row],[Volume]]/RTData[[#This Row],[Volume average]],1)</f>
        <v>0.65471774513799286</v>
      </c>
      <c r="W84" s="24"/>
      <c r="X84" s="108">
        <f ca="1">_xlfn.XLOOKUP(RTData[[#This Row],[Ticker symbol]],[2]Sheet2!$B$2:$B$95,[2]Sheet2!$E$2:$E$95)</f>
        <v>12.5</v>
      </c>
      <c r="Y84" s="101" t="str">
        <f>_xlfn.LET(_xlpm.date,[2]Sheet2!F83,IF(_xlpm.date=0,"",_xlpm.date))</f>
        <v/>
      </c>
      <c r="Z84" s="101" t="str">
        <f>_xlfn.LET(_xlpm.date,[2]Sheet2!G83,IF(_xlpm.date=0,"",_xlpm.date))</f>
        <v>Aug 6, 2025</v>
      </c>
      <c r="AA84" s="102">
        <f>[2]Sheet2!$H83</f>
        <v>0</v>
      </c>
      <c r="AB84" s="103">
        <v>1E-4</v>
      </c>
      <c r="AC84" s="104">
        <v>3.0000000000000001E-3</v>
      </c>
      <c r="AD84" s="90" t="s">
        <v>47</v>
      </c>
      <c r="AE84" s="105">
        <f ca="1">_xlfn.LET(_xlpm.New1YT,RTData[[#This Row],[1YT]],        _xlpm.Old1YT,IF(ISNUMBER(RTData[[#This Row],[Old1YT]]),RTData[[#This Row],[Old1YT]],VALUE(LEFT(RTData[[#This Row],[Old1YT]],FIND("/",RTData[[#This Row],[Old1YT]],1)-1))),       IF(OR(RTData[[#This Row],[1YT]]=0,_xlpm.Old1YT=0),0,(_xlpm.New1YT-_xlpm.Old1YT)/_xlpm.Old1YT))</f>
        <v>-0.14792092706203136</v>
      </c>
      <c r="AF84" s="105" t="str">
        <f ca="1">TEXT(RTData[[#This Row],[1YT]],"#,#0.00")&amp;" &lt; "&amp;RTData[[#This Row],[Old1YT]]</f>
        <v>12.50 &lt; 14.67/16.14/20.8</v>
      </c>
    </row>
    <row r="85" spans="1:33" ht="22" customHeight="1" x14ac:dyDescent="0.3">
      <c r="A85" s="40" t="str" cm="1">
        <f t="array" aca="1" ref="A85" ca="1">_xlfn.SINGLE(RTData[suffix])&amp;_FV(RTData[[#This Row],[Company Name]],"Ticker symbol",TRUE)</f>
        <v>NVS</v>
      </c>
      <c r="B85" s="40">
        <f ca="1">D99</f>
        <v>0.86065926499698775</v>
      </c>
      <c r="C85" t="e" vm="66">
        <v>#VALUE!</v>
      </c>
      <c r="D85" s="17" t="str" cm="1">
        <f t="array" aca="1" ref="D85" ca="1">_FV(RTData[[#This Row],[Company Name]],"Currency")</f>
        <v>USD</v>
      </c>
      <c r="E85" s="18" cm="1">
        <f t="array" aca="1" ref="E85" ca="1">_FV(RTData[[#This Row],[Company Name]],"Last trade time",TRUE)</f>
        <v>45953.931957534376</v>
      </c>
      <c r="F85" s="19" cm="1">
        <f t="array" aca="1" ref="F85" ca="1">_FV(RTData[[#This Row],[Company Name]],"Previous close",TRUE)</f>
        <v>131.43</v>
      </c>
      <c r="G85" s="19" cm="1">
        <f t="array" aca="1" ref="G85" ca="1">_FV(RTData[[#This Row],[Company Name]],"Open")</f>
        <v>130.82</v>
      </c>
      <c r="H85" s="19" cm="1">
        <f t="array" aca="1" ref="H85" ca="1">_FV(RTData[[#This Row],[Company Name]],"Price")</f>
        <v>131.68</v>
      </c>
      <c r="I85" s="19" cm="1">
        <f t="array" aca="1" ref="I85" ca="1">_FV(RTData[[#This Row],[Company Name]],"Low")</f>
        <v>130.62</v>
      </c>
      <c r="J85" s="19" cm="1">
        <f t="array" aca="1" ref="J85" ca="1">_FV(RTData[[#This Row],[Company Name]],"High")</f>
        <v>131.68</v>
      </c>
      <c r="K85" s="20" cm="1">
        <f t="array" aca="1" ref="K85" ca="1">IFERROR(_FV(RTData[[#This Row],[Company Name]],"P/E",TRUE),99)</f>
        <v>19.193899999999999</v>
      </c>
      <c r="L85" s="21" cm="1">
        <f t="array" aca="1" ref="L85" ca="1">_FV(RTData[[#This Row],[Company Name]],"Change")</f>
        <v>0.25</v>
      </c>
      <c r="M85" s="22" cm="1">
        <f t="array" aca="1" ref="M85" ca="1">_FV(RTData[[#This Row],[Company Name]],"Change (%)",TRUE)</f>
        <v>1.902E-3</v>
      </c>
      <c r="N85" s="19" cm="1">
        <f t="array" aca="1" ref="N85" ca="1">_FV(RTData[[#This Row],[Company Name]],"52 week low",TRUE)</f>
        <v>96.061999999999998</v>
      </c>
      <c r="O85" s="19" cm="1">
        <f t="array" aca="1" ref="O85" ca="1">_FV(RTData[[#This Row],[Company Name]],"52 week high",TRUE)</f>
        <v>133.55000000000001</v>
      </c>
      <c r="P85" s="23" cm="1">
        <f t="array" aca="1" ref="P85" ca="1">_FV(RTData[[#This Row],[Company Name]],"Volume")</f>
        <v>1670261</v>
      </c>
      <c r="Q85" s="23" cm="1">
        <f t="array" aca="1" ref="Q85" ca="1">_FV(RTData[[#This Row],[Company Name]],"Volume average",TRUE)</f>
        <v>1496073</v>
      </c>
      <c r="R85" s="19" cm="1">
        <f t="array" aca="1" ref="R85" ca="1">_FV(RTData[[#This Row],[Company Name]],"Beta")</f>
        <v>0.60289999999999999</v>
      </c>
      <c r="T85" t="s">
        <v>26</v>
      </c>
      <c r="U85" t="str" cm="1">
        <f t="array" aca="1" ref="U85" ca="1">_FV(RTData[[#This Row],[Company Name]],"Exchange abbreviation",TRUE)</f>
        <v>XNYS</v>
      </c>
      <c r="V85" s="24">
        <f ca="1">IFERROR(RTData[[#This Row],[Volume]]/RTData[[#This Row],[Volume average]],1)</f>
        <v>1.1164301474593821</v>
      </c>
      <c r="W85" s="24"/>
      <c r="X85" s="108">
        <f ca="1">_xlfn.XLOOKUP(RTData[[#This Row],[Ticker symbol]],[2]Sheet2!$B$2:$B$95,[2]Sheet2!$E$2:$E$95)</f>
        <v>122.054</v>
      </c>
      <c r="Y85" s="101">
        <f>_xlfn.LET(_xlpm.date,[2]Sheet2!F84,IF(_xlpm.date=0,"",_xlpm.date))</f>
        <v>45728</v>
      </c>
      <c r="Z85" s="101" t="str">
        <f>_xlfn.LET(_xlpm.date,[2]Sheet2!G84,IF(_xlpm.date=0,"",_xlpm.date))</f>
        <v>Oct 28, 2025</v>
      </c>
      <c r="AA85" s="102">
        <f>[2]Sheet2!$H84</f>
        <v>3.0700000000000002E-2</v>
      </c>
      <c r="AB85" s="103">
        <v>1E-4</v>
      </c>
      <c r="AC85" s="104">
        <v>3.0000000000000001E-3</v>
      </c>
      <c r="AD85" s="90">
        <v>115.66</v>
      </c>
      <c r="AE85" s="105">
        <f ca="1">_xlfn.LET(_xlpm.New1YT,RTData[[#This Row],[1YT]],        _xlpm.Old1YT,IF(ISNUMBER(RTData[[#This Row],[Old1YT]]),RTData[[#This Row],[Old1YT]],VALUE(LEFT(RTData[[#This Row],[Old1YT]],FIND("/",RTData[[#This Row],[Old1YT]],1)-1))),       IF(OR(RTData[[#This Row],[1YT]]=0,_xlpm.Old1YT=0),0,(_xlpm.New1YT-_xlpm.Old1YT)/_xlpm.Old1YT))</f>
        <v>5.5282725229119881E-2</v>
      </c>
      <c r="AF85" s="105" t="str">
        <f ca="1">TEXT(RTData[[#This Row],[1YT]],"#,#0.00")&amp;" &lt; "&amp;RTData[[#This Row],[Old1YT]]</f>
        <v>122.05 &lt; 115.66</v>
      </c>
    </row>
    <row r="86" spans="1:33" x14ac:dyDescent="0.3">
      <c r="A86" s="40" t="str" cm="1">
        <f t="array" aca="1" ref="A86" ca="1">_xlfn.SINGLE(RTData[suffix])&amp;_FV(RTData[[#This Row],[Company Name]],"Ticker symbol",TRUE)</f>
        <v>ORA</v>
      </c>
      <c r="B86" s="40">
        <v>1</v>
      </c>
      <c r="C86" t="e" vm="56">
        <v>#VALUE!</v>
      </c>
      <c r="D86" s="17" t="str" cm="1">
        <f t="array" aca="1" ref="D86" ca="1">_FV(RTData[[#This Row],[Company Name]],"Currency")</f>
        <v>EUR</v>
      </c>
      <c r="E86" s="18" cm="1">
        <f t="array" aca="1" ref="E86" ca="1">_FV(RTData[[#This Row],[Company Name]],"Last trade time",TRUE)</f>
        <v>45953.666666666664</v>
      </c>
      <c r="F86" s="28" cm="1">
        <f t="array" aca="1" ref="F86" ca="1">_FV(RTData[[#This Row],[Company Name]],"Previous close",TRUE)</f>
        <v>14.07</v>
      </c>
      <c r="G86" s="28" cm="1">
        <f t="array" aca="1" ref="G86" ca="1">_FV(RTData[[#This Row],[Company Name]],"Open")</f>
        <v>14.1</v>
      </c>
      <c r="H86" s="28" cm="1">
        <f t="array" aca="1" ref="H86" ca="1">_FV(RTData[[#This Row],[Company Name]],"Price")</f>
        <v>14.15</v>
      </c>
      <c r="I86" s="28" cm="1">
        <f t="array" aca="1" ref="I86" ca="1">_FV(RTData[[#This Row],[Company Name]],"Low")</f>
        <v>13.994999999999999</v>
      </c>
      <c r="J86" s="28" cm="1">
        <f t="array" aca="1" ref="J86" ca="1">_FV(RTData[[#This Row],[Company Name]],"High")</f>
        <v>14.29</v>
      </c>
      <c r="K86" s="20" cm="1">
        <f t="array" aca="1" ref="K86" ca="1">IFERROR(_FV(RTData[[#This Row],[Company Name]],"P/E",TRUE),99)</f>
        <v>44.440899999999999</v>
      </c>
      <c r="L86" s="21" cm="1">
        <f t="array" aca="1" ref="L86" ca="1">_FV(RTData[[#This Row],[Company Name]],"Change")</f>
        <v>0.08</v>
      </c>
      <c r="M86" s="22" cm="1">
        <f t="array" aca="1" ref="M86" ca="1">_FV(RTData[[#This Row],[Company Name]],"Change (%)",TRUE)</f>
        <v>5.6860000000000001E-3</v>
      </c>
      <c r="N86" s="28" cm="1">
        <f t="array" aca="1" ref="N86" ca="1">_FV(RTData[[#This Row],[Company Name]],"52 week low",TRUE)</f>
        <v>9.3699999999999992</v>
      </c>
      <c r="O86" s="28" cm="1">
        <f t="array" aca="1" ref="O86" ca="1">_FV(RTData[[#This Row],[Company Name]],"52 week high",TRUE)</f>
        <v>14.56</v>
      </c>
      <c r="P86" s="23" cm="1">
        <f t="array" aca="1" ref="P86" ca="1">_FV(RTData[[#This Row],[Company Name]],"Volume")</f>
        <v>4437686</v>
      </c>
      <c r="Q86" s="23" cm="1">
        <f t="array" aca="1" ref="Q86" ca="1">_FV(RTData[[#This Row],[Company Name]],"Volume average",TRUE)</f>
        <v>4007920</v>
      </c>
      <c r="R86" s="19" cm="1">
        <f t="array" aca="1" ref="R86" ca="1">_FV(RTData[[#This Row],[Company Name]],"Beta")</f>
        <v>0.30930000000000002</v>
      </c>
      <c r="T86" t="s">
        <v>26</v>
      </c>
      <c r="U86" t="str" cm="1">
        <f t="array" aca="1" ref="U86" ca="1">_FV(RTData[[#This Row],[Company Name]],"Exchange abbreviation",TRUE)</f>
        <v>XPAR</v>
      </c>
      <c r="V86" s="24">
        <f ca="1">IFERROR(RTData[[#This Row],[Volume]]/RTData[[#This Row],[Volume average]],1)</f>
        <v>1.1072291862113017</v>
      </c>
      <c r="W86" s="24"/>
      <c r="X86" s="108">
        <f ca="1">_xlfn.XLOOKUP(RTData[[#This Row],[Ticker symbol]],[2]Sheet2!$B$2:$B$95,[2]Sheet2!$E$2:$E$95)</f>
        <v>15.28889</v>
      </c>
      <c r="Y86" s="101">
        <f>_xlfn.LET(_xlpm.date,[2]Sheet2!F85,IF(_xlpm.date=0,"",_xlpm.date))</f>
        <v>45993</v>
      </c>
      <c r="Z86" s="101" t="str">
        <f>_xlfn.LET(_xlpm.date,[2]Sheet2!G85,IF(_xlpm.date=0,"",_xlpm.date))</f>
        <v/>
      </c>
      <c r="AA86" s="102">
        <f>[2]Sheet2!$H85</f>
        <v>5.5199999999999999E-2</v>
      </c>
      <c r="AB86" s="103"/>
      <c r="AC86" s="104">
        <v>3.0000000000000001E-3</v>
      </c>
      <c r="AD86" s="90" t="s">
        <v>59</v>
      </c>
      <c r="AE86" s="105">
        <f ca="1">_xlfn.LET(_xlpm.New1YT,RTData[[#This Row],[1YT]],        _xlpm.Old1YT,IF(ISNUMBER(RTData[[#This Row],[Old1YT]]),RTData[[#This Row],[Old1YT]],VALUE(LEFT(RTData[[#This Row],[Old1YT]],FIND("/",RTData[[#This Row],[Old1YT]],1)-1))),       IF(OR(RTData[[#This Row],[1YT]]=0,_xlpm.Old1YT=0),0,(_xlpm.New1YT-_xlpm.Old1YT)/_xlpm.Old1YT))</f>
        <v>3.0943358057990575E-2</v>
      </c>
      <c r="AF86" s="105" t="str">
        <f ca="1">TEXT(RTData[[#This Row],[1YT]],"#,#0.00")&amp;" &lt; "&amp;RTData[[#This Row],[Old1YT]]</f>
        <v>15.29 &lt; 14.83/14/12.94</v>
      </c>
    </row>
    <row r="87" spans="1:33" ht="22" customHeight="1" x14ac:dyDescent="0.3">
      <c r="A87" s="40" t="str" cm="1">
        <f t="array" aca="1" ref="A87" ca="1">_xlfn.SINGLE(RTData[suffix])&amp;_FV(RTData[[#This Row],[Company Name]],"Ticker symbol",TRUE)</f>
        <v>OXY</v>
      </c>
      <c r="B87" s="40">
        <f ca="1">D99</f>
        <v>0.86065926499698775</v>
      </c>
      <c r="C87" t="e" vm="67">
        <v>#VALUE!</v>
      </c>
      <c r="D87" s="17" t="str" cm="1">
        <f t="array" aca="1" ref="D87" ca="1">_FV(RTData[[#This Row],[Company Name]],"Currency")</f>
        <v>USD</v>
      </c>
      <c r="E87" s="18" cm="1">
        <f t="array" aca="1" ref="E87" ca="1">_FV(RTData[[#This Row],[Company Name]],"Last trade time",TRUE)</f>
        <v>45953.934693807816</v>
      </c>
      <c r="F87" s="19" cm="1">
        <f t="array" aca="1" ref="F87" ca="1">_FV(RTData[[#This Row],[Company Name]],"Previous close",TRUE)</f>
        <v>41.73</v>
      </c>
      <c r="G87" s="19" cm="1">
        <f t="array" aca="1" ref="G87" ca="1">_FV(RTData[[#This Row],[Company Name]],"Open")</f>
        <v>43.14</v>
      </c>
      <c r="H87" s="19" cm="1">
        <f t="array" aca="1" ref="H87" ca="1">_FV(RTData[[#This Row],[Company Name]],"Price")</f>
        <v>42.88</v>
      </c>
      <c r="I87" s="19" cm="1">
        <f t="array" aca="1" ref="I87" ca="1">_FV(RTData[[#This Row],[Company Name]],"Low")</f>
        <v>42.72</v>
      </c>
      <c r="J87" s="19" cm="1">
        <f t="array" aca="1" ref="J87" ca="1">_FV(RTData[[#This Row],[Company Name]],"High")</f>
        <v>43.347900000000003</v>
      </c>
      <c r="K87" s="20" cm="1">
        <f t="array" aca="1" ref="K87" ca="1">IFERROR(_FV(RTData[[#This Row],[Company Name]],"P/E",TRUE),99)</f>
        <v>24.5809</v>
      </c>
      <c r="L87" s="21" cm="1">
        <f t="array" aca="1" ref="L87" ca="1">_FV(RTData[[#This Row],[Company Name]],"Change")</f>
        <v>1.1499999999999999</v>
      </c>
      <c r="M87" s="22" cm="1">
        <f t="array" aca="1" ref="M87" ca="1">_FV(RTData[[#This Row],[Company Name]],"Change (%)",TRUE)</f>
        <v>2.7557999999999999E-2</v>
      </c>
      <c r="N87" s="19" cm="1">
        <f t="array" aca="1" ref="N87" ca="1">_FV(RTData[[#This Row],[Company Name]],"52 week low",TRUE)</f>
        <v>34.784999999999997</v>
      </c>
      <c r="O87" s="19" cm="1">
        <f t="array" aca="1" ref="O87" ca="1">_FV(RTData[[#This Row],[Company Name]],"52 week high",TRUE)</f>
        <v>53.2</v>
      </c>
      <c r="P87" s="23" cm="1">
        <f t="array" aca="1" ref="P87" ca="1">_FV(RTData[[#This Row],[Company Name]],"Volume")</f>
        <v>13798489</v>
      </c>
      <c r="Q87" s="23" cm="1">
        <f t="array" aca="1" ref="Q87" ca="1">_FV(RTData[[#This Row],[Company Name]],"Volume average",TRUE)</f>
        <v>12250310</v>
      </c>
      <c r="R87" s="19" cm="1">
        <f t="array" aca="1" ref="R87" ca="1">_FV(RTData[[#This Row],[Company Name]],"Beta")</f>
        <v>0.93079999999999996</v>
      </c>
      <c r="T87" t="s">
        <v>26</v>
      </c>
      <c r="U87" t="str" cm="1">
        <f t="array" aca="1" ref="U87" ca="1">_FV(RTData[[#This Row],[Company Name]],"Exchange abbreviation",TRUE)</f>
        <v>XNYS</v>
      </c>
      <c r="V87" s="24">
        <f ca="1">IFERROR(RTData[[#This Row],[Volume]]/RTData[[#This Row],[Volume average]],1)</f>
        <v>1.126378761027272</v>
      </c>
      <c r="W87" s="24"/>
      <c r="X87" s="108">
        <f ca="1">_xlfn.XLOOKUP(RTData[[#This Row],[Ticker symbol]],[2]Sheet2!$B$2:$B$95,[2]Sheet2!$E$2:$E$95)</f>
        <v>51.545450000000002</v>
      </c>
      <c r="Y87" s="101">
        <f>_xlfn.LET(_xlpm.date,[2]Sheet2!F86,IF(_xlpm.date=0,"",_xlpm.date))</f>
        <v>45910</v>
      </c>
      <c r="Z87" s="101" t="str">
        <f>_xlfn.LET(_xlpm.date,[2]Sheet2!G86,IF(_xlpm.date=0,"",_xlpm.date))</f>
        <v>Aug 6, 2025</v>
      </c>
      <c r="AA87" s="102">
        <f>[2]Sheet2!$H86</f>
        <v>2.2800000000000001E-2</v>
      </c>
      <c r="AB87" s="103">
        <v>1E-4</v>
      </c>
      <c r="AC87" s="104">
        <v>3.0000000000000001E-3</v>
      </c>
      <c r="AD87" s="90">
        <v>71.72</v>
      </c>
      <c r="AE87" s="105">
        <f ca="1">_xlfn.LET(_xlpm.New1YT,RTData[[#This Row],[1YT]],        _xlpm.Old1YT,IF(ISNUMBER(RTData[[#This Row],[Old1YT]]),RTData[[#This Row],[Old1YT]],VALUE(LEFT(RTData[[#This Row],[Old1YT]],FIND("/",RTData[[#This Row],[Old1YT]],1)-1))),       IF(OR(RTData[[#This Row],[1YT]]=0,_xlpm.Old1YT=0),0,(_xlpm.New1YT-_xlpm.Old1YT)/_xlpm.Old1YT))</f>
        <v>-0.28129601226993861</v>
      </c>
      <c r="AF87" s="105" t="str">
        <f ca="1">TEXT(RTData[[#This Row],[1YT]],"#,#0.00")&amp;" &lt; "&amp;RTData[[#This Row],[Old1YT]]</f>
        <v>51.55 &lt; 71.72</v>
      </c>
    </row>
    <row r="88" spans="1:33" ht="22" customHeight="1" x14ac:dyDescent="0.3">
      <c r="A88" s="40" t="str" cm="1">
        <f t="array" aca="1" ref="A88" ca="1">_xlfn.SINGLE(RTData[suffix])&amp;_FV(RTData[[#This Row],[Company Name]],"Ticker symbol",TRUE)</f>
        <v>PFE</v>
      </c>
      <c r="B88" s="40">
        <f ca="1">D99</f>
        <v>0.86065926499698775</v>
      </c>
      <c r="C88" t="e" vm="68">
        <v>#VALUE!</v>
      </c>
      <c r="D88" s="17" t="str" cm="1">
        <f t="array" aca="1" ref="D88" ca="1">_FV(RTData[[#This Row],[Company Name]],"Currency")</f>
        <v>USD</v>
      </c>
      <c r="E88" s="18" cm="1">
        <f t="array" aca="1" ref="E88" ca="1">_FV(RTData[[#This Row],[Company Name]],"Last trade time",TRUE)</f>
        <v>45953.93516236094</v>
      </c>
      <c r="F88" s="19" cm="1">
        <f t="array" aca="1" ref="F88" ca="1">_FV(RTData[[#This Row],[Company Name]],"Previous close",TRUE)</f>
        <v>24.72</v>
      </c>
      <c r="G88" s="19" cm="1">
        <f t="array" aca="1" ref="G88" ca="1">_FV(RTData[[#This Row],[Company Name]],"Open")</f>
        <v>24.76</v>
      </c>
      <c r="H88" s="19" cm="1">
        <f t="array" aca="1" ref="H88" ca="1">_FV(RTData[[#This Row],[Company Name]],"Price")</f>
        <v>24.684999999999999</v>
      </c>
      <c r="I88" s="19" cm="1">
        <f t="array" aca="1" ref="I88" ca="1">_FV(RTData[[#This Row],[Company Name]],"Low")</f>
        <v>24.51</v>
      </c>
      <c r="J88" s="19" cm="1">
        <f t="array" aca="1" ref="J88" ca="1">_FV(RTData[[#This Row],[Company Name]],"High")</f>
        <v>24.78</v>
      </c>
      <c r="K88" s="20" cm="1">
        <f t="array" aca="1" ref="K88" ca="1">IFERROR(_FV(RTData[[#This Row],[Company Name]],"P/E",TRUE),99)</f>
        <v>17.900700000000001</v>
      </c>
      <c r="L88" s="21" cm="1">
        <f t="array" aca="1" ref="L88" ca="1">_FV(RTData[[#This Row],[Company Name]],"Change")</f>
        <v>-3.5000000000000003E-2</v>
      </c>
      <c r="M88" s="22" cm="1">
        <f t="array" aca="1" ref="M88" ca="1">_FV(RTData[[#This Row],[Company Name]],"Change (%)",TRUE)</f>
        <v>-1.4159999999999999E-3</v>
      </c>
      <c r="N88" s="19" cm="1">
        <f t="array" aca="1" ref="N88" ca="1">_FV(RTData[[#This Row],[Company Name]],"52 week low",TRUE)</f>
        <v>20.914999999999999</v>
      </c>
      <c r="O88" s="19" cm="1">
        <f t="array" aca="1" ref="O88" ca="1">_FV(RTData[[#This Row],[Company Name]],"52 week high",TRUE)</f>
        <v>29.17</v>
      </c>
      <c r="P88" s="23" cm="1">
        <f t="array" aca="1" ref="P88" ca="1">_FV(RTData[[#This Row],[Company Name]],"Volume")</f>
        <v>34193259</v>
      </c>
      <c r="Q88" s="23" cm="1">
        <f t="array" aca="1" ref="Q88" ca="1">_FV(RTData[[#This Row],[Company Name]],"Volume average",TRUE)</f>
        <v>58778589</v>
      </c>
      <c r="R88" s="19" cm="1">
        <f t="array" aca="1" ref="R88" ca="1">_FV(RTData[[#This Row],[Company Name]],"Beta")</f>
        <v>0.50880000000000003</v>
      </c>
      <c r="T88" t="s">
        <v>26</v>
      </c>
      <c r="U88" t="str" cm="1">
        <f t="array" aca="1" ref="U88" ca="1">_FV(RTData[[#This Row],[Company Name]],"Exchange abbreviation",TRUE)</f>
        <v>XNYS</v>
      </c>
      <c r="V88" s="24">
        <f ca="1">IFERROR(RTData[[#This Row],[Volume]]/RTData[[#This Row],[Volume average]],1)</f>
        <v>0.58172983703300529</v>
      </c>
      <c r="W88" s="24"/>
      <c r="X88" s="108">
        <f ca="1">_xlfn.XLOOKUP(RTData[[#This Row],[Ticker symbol]],[2]Sheet2!$B$2:$B$95,[2]Sheet2!$E$2:$E$95)</f>
        <v>28.80864</v>
      </c>
      <c r="Y88" s="101">
        <f>_xlfn.LET(_xlpm.date,[2]Sheet2!F87,IF(_xlpm.date=0,"",_xlpm.date))</f>
        <v>45968</v>
      </c>
      <c r="Z88" s="101" t="str">
        <f>_xlfn.LET(_xlpm.date,[2]Sheet2!G87,IF(_xlpm.date=0,"",_xlpm.date))</f>
        <v>Nov 4, 2025</v>
      </c>
      <c r="AA88" s="102">
        <f>[2]Sheet2!$H87</f>
        <v>6.9400000000000003E-2</v>
      </c>
      <c r="AB88" s="103">
        <v>1E-4</v>
      </c>
      <c r="AC88" s="104">
        <v>3.0000000000000001E-3</v>
      </c>
      <c r="AD88" s="90">
        <v>33.15</v>
      </c>
      <c r="AE88" s="105">
        <f ca="1">_xlfn.LET(_xlpm.New1YT,RTData[[#This Row],[1YT]],        _xlpm.Old1YT,IF(ISNUMBER(RTData[[#This Row],[Old1YT]]),RTData[[#This Row],[Old1YT]],VALUE(LEFT(RTData[[#This Row],[Old1YT]],FIND("/",RTData[[#This Row],[Old1YT]],1)-1))),       IF(OR(RTData[[#This Row],[1YT]]=0,_xlpm.Old1YT=0),0,(_xlpm.New1YT-_xlpm.Old1YT)/_xlpm.Old1YT))</f>
        <v>-0.13096108597285064</v>
      </c>
      <c r="AF88" s="105" t="str">
        <f ca="1">TEXT(RTData[[#This Row],[1YT]],"#,#0.00")&amp;" &lt; "&amp;RTData[[#This Row],[Old1YT]]</f>
        <v>28.81 &lt; 33.15</v>
      </c>
    </row>
    <row r="89" spans="1:33" ht="22" customHeight="1" x14ac:dyDescent="0.3">
      <c r="A89" s="40" t="str" cm="1">
        <f t="array" aca="1" ref="A89" ca="1">_xlfn.SINGLE(RTData[suffix])&amp;_FV(RTData[[#This Row],[Company Name]],"Ticker symbol",TRUE)</f>
        <v>RIG</v>
      </c>
      <c r="B89" s="40">
        <f ca="1">D99</f>
        <v>0.86065926499698775</v>
      </c>
      <c r="C89" t="e" vm="69">
        <v>#VALUE!</v>
      </c>
      <c r="D89" s="17" t="str" cm="1">
        <f t="array" aca="1" ref="D89" ca="1">_FV(RTData[[#This Row],[Company Name]],"Currency")</f>
        <v>USD</v>
      </c>
      <c r="E89" s="18" cm="1">
        <f t="array" aca="1" ref="E89" ca="1">_FV(RTData[[#This Row],[Company Name]],"Last trade time",TRUE)</f>
        <v>45953.934805474222</v>
      </c>
      <c r="F89" s="19" cm="1">
        <f t="array" aca="1" ref="F89" ca="1">_FV(RTData[[#This Row],[Company Name]],"Previous close",TRUE)</f>
        <v>3.42</v>
      </c>
      <c r="G89" s="19" cm="1">
        <f t="array" aca="1" ref="G89" ca="1">_FV(RTData[[#This Row],[Company Name]],"Open")</f>
        <v>3.53</v>
      </c>
      <c r="H89" s="19" cm="1">
        <f t="array" aca="1" ref="H89" ca="1">_FV(RTData[[#This Row],[Company Name]],"Price")</f>
        <v>3.8849999999999998</v>
      </c>
      <c r="I89" s="19" cm="1">
        <f t="array" aca="1" ref="I89" ca="1">_FV(RTData[[#This Row],[Company Name]],"Low")</f>
        <v>3.4950000000000001</v>
      </c>
      <c r="J89" s="19" cm="1">
        <f t="array" aca="1" ref="J89" ca="1">_FV(RTData[[#This Row],[Company Name]],"High")</f>
        <v>3.9550000000000001</v>
      </c>
      <c r="K89" s="20" cm="1">
        <f t="array" ref="K89">IFERROR(_FV(RTData[[#This Row],[Company Name]],"P/E",TRUE),99)</f>
        <v>99</v>
      </c>
      <c r="L89" s="21" cm="1">
        <f t="array" aca="1" ref="L89" ca="1">_FV(RTData[[#This Row],[Company Name]],"Change")</f>
        <v>0.46500000000000002</v>
      </c>
      <c r="M89" s="22" cm="1">
        <f t="array" aca="1" ref="M89" ca="1">_FV(RTData[[#This Row],[Company Name]],"Change (%)",TRUE)</f>
        <v>0.135965</v>
      </c>
      <c r="N89" s="19" cm="1">
        <f t="array" aca="1" ref="N89" ca="1">_FV(RTData[[#This Row],[Company Name]],"52 week low",TRUE)</f>
        <v>1.97</v>
      </c>
      <c r="O89" s="19" cm="1">
        <f t="array" aca="1" ref="O89" ca="1">_FV(RTData[[#This Row],[Company Name]],"52 week high",TRUE)</f>
        <v>4.74</v>
      </c>
      <c r="P89" s="23" cm="1">
        <f t="array" aca="1" ref="P89" ca="1">_FV(RTData[[#This Row],[Company Name]],"Volume")</f>
        <v>132116292</v>
      </c>
      <c r="Q89" s="23" cm="1">
        <f t="array" aca="1" ref="Q89" ca="1">_FV(RTData[[#This Row],[Company Name]],"Volume average",TRUE)</f>
        <v>57737837</v>
      </c>
      <c r="R89" s="19" cm="1">
        <f t="array" aca="1" ref="R89" ca="1">_FV(RTData[[#This Row],[Company Name]],"Beta")</f>
        <v>2.6358000000000001</v>
      </c>
      <c r="T89" t="s">
        <v>26</v>
      </c>
      <c r="U89" t="str" cm="1">
        <f t="array" aca="1" ref="U89" ca="1">_FV(RTData[[#This Row],[Company Name]],"Exchange abbreviation",TRUE)</f>
        <v>XNYS</v>
      </c>
      <c r="V89" s="24">
        <f ca="1">IFERROR(RTData[[#This Row],[Volume]]/RTData[[#This Row],[Volume average]],1)</f>
        <v>2.2882099306906838</v>
      </c>
      <c r="W89" s="24"/>
      <c r="X89" s="108">
        <f ca="1">_xlfn.XLOOKUP(RTData[[#This Row],[Ticker symbol]],[2]Sheet2!$B$2:$B$95,[2]Sheet2!$E$2:$E$95)</f>
        <v>3.8769200000000001</v>
      </c>
      <c r="Y89" s="101">
        <f>_xlfn.LET(_xlpm.date,[2]Sheet2!F88,IF(_xlpm.date=0,"",_xlpm.date))</f>
        <v>42237</v>
      </c>
      <c r="Z89" s="101" t="str">
        <f>_xlfn.LET(_xlpm.date,[2]Sheet2!G88,IF(_xlpm.date=0,"",_xlpm.date))</f>
        <v>Nov 3, 2025</v>
      </c>
      <c r="AA89" s="102">
        <f>[2]Sheet2!$H88</f>
        <v>0</v>
      </c>
      <c r="AB89" s="103">
        <v>1E-4</v>
      </c>
      <c r="AC89" s="104">
        <v>3.0000000000000001E-3</v>
      </c>
      <c r="AD89" s="90" t="s">
        <v>72</v>
      </c>
      <c r="AE89" s="105">
        <f ca="1">_xlfn.LET(_xlpm.New1YT,RTData[[#This Row],[1YT]],        _xlpm.Old1YT,IF(ISNUMBER(RTData[[#This Row],[Old1YT]]),RTData[[#This Row],[Old1YT]],VALUE(LEFT(RTData[[#This Row],[Old1YT]],FIND("/",RTData[[#This Row],[Old1YT]],1)-1))),       IF(OR(RTData[[#This Row],[1YT]]=0,_xlpm.Old1YT=0),0,(_xlpm.New1YT-_xlpm.Old1YT)/_xlpm.Old1YT))</f>
        <v>-4.9774509803921549E-2</v>
      </c>
      <c r="AF89" s="105" t="str">
        <f ca="1">TEXT(RTData[[#This Row],[1YT]],"#,#0.00")&amp;" &lt; "&amp;RTData[[#This Row],[Old1YT]]</f>
        <v>3.88 &lt; 4.08/5.31</v>
      </c>
    </row>
    <row r="90" spans="1:33" x14ac:dyDescent="0.3">
      <c r="A90" s="40" t="str" cm="1">
        <f t="array" aca="1" ref="A90" ca="1">_xlfn.SINGLE(RTData[suffix])&amp;_FV(RTData[[#This Row],[Company Name]],"Ticker symbol",TRUE)</f>
        <v>RRC</v>
      </c>
      <c r="B90" s="40">
        <f ca="1">D99</f>
        <v>0.86065926499698775</v>
      </c>
      <c r="C90" t="e" vm="70">
        <v>#VALUE!</v>
      </c>
      <c r="D90" s="17" t="str" cm="1">
        <f t="array" aca="1" ref="D90" ca="1">_FV(RTData[[#This Row],[Company Name]],"Currency")</f>
        <v>USD</v>
      </c>
      <c r="E90" s="18" cm="1">
        <f t="array" aca="1" ref="E90" ca="1">_FV(RTData[[#This Row],[Company Name]],"Last trade time",TRUE)</f>
        <v>45953.883699385937</v>
      </c>
      <c r="F90" s="19" cm="1">
        <f t="array" aca="1" ref="F90" ca="1">_FV(RTData[[#This Row],[Company Name]],"Previous close",TRUE)</f>
        <v>36.25</v>
      </c>
      <c r="G90" s="19" cm="1">
        <f t="array" aca="1" ref="G90" ca="1">_FV(RTData[[#This Row],[Company Name]],"Open")</f>
        <v>37.25</v>
      </c>
      <c r="H90" s="19" cm="1">
        <f t="array" aca="1" ref="H90" ca="1">_FV(RTData[[#This Row],[Company Name]],"Price")</f>
        <v>37.5</v>
      </c>
      <c r="I90" s="19" cm="1">
        <f t="array" aca="1" ref="I90" ca="1">_FV(RTData[[#This Row],[Company Name]],"Low")</f>
        <v>36.335000000000001</v>
      </c>
      <c r="J90" s="19" cm="1">
        <f t="array" aca="1" ref="J90" ca="1">_FV(RTData[[#This Row],[Company Name]],"High")</f>
        <v>37.61</v>
      </c>
      <c r="K90" s="20" cm="1">
        <f t="array" aca="1" ref="K90" ca="1">IFERROR(_FV(RTData[[#This Row],[Company Name]],"P/E",TRUE),99)</f>
        <v>33.629300000000001</v>
      </c>
      <c r="L90" s="21" cm="1">
        <f t="array" aca="1" ref="L90" ca="1">_FV(RTData[[#This Row],[Company Name]],"Change")</f>
        <v>1.25</v>
      </c>
      <c r="M90" s="22" cm="1">
        <f t="array" aca="1" ref="M90" ca="1">_FV(RTData[[#This Row],[Company Name]],"Change (%)",TRUE)</f>
        <v>3.4483E-2</v>
      </c>
      <c r="N90" s="19" cm="1">
        <f t="array" aca="1" ref="N90" ca="1">_FV(RTData[[#This Row],[Company Name]],"52 week low",TRUE)</f>
        <v>29.48</v>
      </c>
      <c r="O90" s="19" cm="1">
        <f t="array" aca="1" ref="O90" ca="1">_FV(RTData[[#This Row],[Company Name]],"52 week high",TRUE)</f>
        <v>43.5</v>
      </c>
      <c r="P90" s="23" cm="1">
        <f t="array" aca="1" ref="P90" ca="1">_FV(RTData[[#This Row],[Company Name]],"Volume")</f>
        <v>4242003</v>
      </c>
      <c r="Q90" s="23" cm="1">
        <f t="array" aca="1" ref="Q90" ca="1">_FV(RTData[[#This Row],[Company Name]],"Volume average",TRUE)</f>
        <v>3056937</v>
      </c>
      <c r="R90" s="19" cm="1">
        <f t="array" aca="1" ref="R90" ca="1">_FV(RTData[[#This Row],[Company Name]],"Beta")</f>
        <v>0.50870000000000004</v>
      </c>
      <c r="T90" t="s">
        <v>26</v>
      </c>
      <c r="U90" t="str" cm="1">
        <f t="array" aca="1" ref="U90" ca="1">_FV(RTData[[#This Row],[Company Name]],"Exchange abbreviation",TRUE)</f>
        <v>XNYS</v>
      </c>
      <c r="V90" s="24">
        <f ca="1">IFERROR(RTData[[#This Row],[Volume]]/RTData[[#This Row],[Volume average]],1)</f>
        <v>1.387664515166652</v>
      </c>
      <c r="W90" s="24"/>
      <c r="X90" s="108">
        <f ca="1">_xlfn.XLOOKUP(RTData[[#This Row],[Ticker symbol]],[2]Sheet2!$B$2:$B$95,[2]Sheet2!$E$2:$E$95)</f>
        <v>42.25</v>
      </c>
      <c r="Y90" s="101">
        <f>_xlfn.LET(_xlpm.date,[2]Sheet2!F89,IF(_xlpm.date=0,"",_xlpm.date))</f>
        <v>45912</v>
      </c>
      <c r="Z90" s="101" t="str">
        <f>_xlfn.LET(_xlpm.date,[2]Sheet2!G89,IF(_xlpm.date=0,"",_xlpm.date))</f>
        <v>Oct 28, 2025</v>
      </c>
      <c r="AA90" s="102">
        <f>[2]Sheet2!$H89</f>
        <v>9.9000000000000008E-3</v>
      </c>
      <c r="AB90" s="103">
        <v>1E-4</v>
      </c>
      <c r="AC90" s="104">
        <v>3.0000000000000001E-3</v>
      </c>
      <c r="AD90" s="90" t="s">
        <v>60</v>
      </c>
      <c r="AE90" s="105">
        <f ca="1">_xlfn.LET(_xlpm.New1YT,RTData[[#This Row],[1YT]],        _xlpm.Old1YT,IF(ISNUMBER(RTData[[#This Row],[Old1YT]]),RTData[[#This Row],[Old1YT]],VALUE(LEFT(RTData[[#This Row],[Old1YT]],FIND("/",RTData[[#This Row],[Old1YT]],1)-1))),       IF(OR(RTData[[#This Row],[1YT]]=0,_xlpm.Old1YT=0),0,(_xlpm.New1YT-_xlpm.Old1YT)/_xlpm.Old1YT))</f>
        <v>2.793051433020299E-2</v>
      </c>
      <c r="AF90" s="105" t="str">
        <f ca="1">TEXT(RTData[[#This Row],[1YT]],"#,#0.00")&amp;" &lt; "&amp;RTData[[#This Row],[Old1YT]]</f>
        <v>42.25 &lt; 41.102/38.77</v>
      </c>
    </row>
    <row r="91" spans="1:33" ht="22" customHeight="1" x14ac:dyDescent="0.3">
      <c r="A91" s="40" t="str" cm="1">
        <f t="array" aca="1" ref="A91" ca="1">_xlfn.SINGLE(RTData[suffix])&amp;_FV(RTData[[#This Row],[Company Name]],"Ticker symbol",TRUE)</f>
        <v>XYZ</v>
      </c>
      <c r="B91" s="40">
        <f ca="1">D99</f>
        <v>0.86065926499698775</v>
      </c>
      <c r="C91" t="e" vm="71">
        <v>#VALUE!</v>
      </c>
      <c r="D91" s="17" t="str" cm="1">
        <f t="array" aca="1" ref="D91" ca="1">_FV(RTData[[#This Row],[Company Name]],"Currency")</f>
        <v>USD</v>
      </c>
      <c r="E91" s="18" cm="1">
        <f t="array" aca="1" ref="E91" ca="1">_FV(RTData[[#This Row],[Company Name]],"Last trade time",TRUE)</f>
        <v>45953.933583911719</v>
      </c>
      <c r="F91" s="19" cm="1">
        <f t="array" aca="1" ref="F91" ca="1">_FV(RTData[[#This Row],[Company Name]],"Previous close",TRUE)</f>
        <v>75.92</v>
      </c>
      <c r="G91" s="19" cm="1">
        <f t="array" aca="1" ref="G91" ca="1">_FV(RTData[[#This Row],[Company Name]],"Open")</f>
        <v>76.13</v>
      </c>
      <c r="H91" s="19" cm="1">
        <f t="array" aca="1" ref="H91" ca="1">_FV(RTData[[#This Row],[Company Name]],"Price")</f>
        <v>78.55</v>
      </c>
      <c r="I91" s="19" cm="1">
        <f t="array" aca="1" ref="I91" ca="1">_FV(RTData[[#This Row],[Company Name]],"Low")</f>
        <v>75.760000000000005</v>
      </c>
      <c r="J91" s="19" cm="1">
        <f t="array" aca="1" ref="J91" ca="1">_FV(RTData[[#This Row],[Company Name]],"High")</f>
        <v>79.290000000000006</v>
      </c>
      <c r="K91" s="20" cm="1">
        <f t="array" aca="1" ref="K91" ca="1">IFERROR(_FV(RTData[[#This Row],[Company Name]],"P/E",TRUE),99)</f>
        <v>46.386000000000003</v>
      </c>
      <c r="L91" s="21" cm="1">
        <f t="array" aca="1" ref="L91" ca="1">_FV(RTData[[#This Row],[Company Name]],"Change")</f>
        <v>2.63</v>
      </c>
      <c r="M91" s="22" cm="1">
        <f t="array" aca="1" ref="M91" ca="1">_FV(RTData[[#This Row],[Company Name]],"Change (%)",TRUE)</f>
        <v>3.4641999999999999E-2</v>
      </c>
      <c r="N91" s="19" cm="1">
        <f t="array" aca="1" ref="N91" ca="1">_FV(RTData[[#This Row],[Company Name]],"52 week low",TRUE)</f>
        <v>44.27</v>
      </c>
      <c r="O91" s="19" cm="1">
        <f t="array" aca="1" ref="O91" ca="1">_FV(RTData[[#This Row],[Company Name]],"52 week high",TRUE)</f>
        <v>99.26</v>
      </c>
      <c r="P91" s="23" cm="1">
        <f t="array" aca="1" ref="P91" ca="1">_FV(RTData[[#This Row],[Company Name]],"Volume")</f>
        <v>4688610</v>
      </c>
      <c r="Q91" s="23" cm="1">
        <f t="array" aca="1" ref="Q91" ca="1">_FV(RTData[[#This Row],[Company Name]],"Volume average",TRUE)</f>
        <v>6051166</v>
      </c>
      <c r="R91" s="19" cm="1">
        <f t="array" aca="1" ref="R91" ca="1">_FV(RTData[[#This Row],[Company Name]],"Beta")</f>
        <v>2.7307000000000001</v>
      </c>
      <c r="T91" t="s">
        <v>26</v>
      </c>
      <c r="U91" t="str" cm="1">
        <f t="array" aca="1" ref="U91" ca="1">_FV(RTData[[#This Row],[Company Name]],"Exchange abbreviation",TRUE)</f>
        <v>XNYS</v>
      </c>
      <c r="V91" s="24">
        <f ca="1">IFERROR(RTData[[#This Row],[Volume]]/RTData[[#This Row],[Volume average]],1)</f>
        <v>0.77482752910761332</v>
      </c>
      <c r="W91" s="24"/>
      <c r="X91" s="108">
        <f ca="1">_xlfn.XLOOKUP(RTData[[#This Row],[Ticker symbol]],[2]Sheet2!$B$2:$B$95,[2]Sheet2!$E$2:$E$95)</f>
        <v>88.005560000000003</v>
      </c>
      <c r="Y91" s="101" t="str">
        <f>_xlfn.LET(_xlpm.date,[2]Sheet2!F90,IF(_xlpm.date=0,"",_xlpm.date))</f>
        <v/>
      </c>
      <c r="Z91" s="101" t="str">
        <f>_xlfn.LET(_xlpm.date,[2]Sheet2!G90,IF(_xlpm.date=0,"",_xlpm.date))</f>
        <v>Nov 6, 2025</v>
      </c>
      <c r="AA91" s="102">
        <f>[2]Sheet2!$H90</f>
        <v>0</v>
      </c>
      <c r="AB91" s="103">
        <v>1E-4</v>
      </c>
      <c r="AC91" s="104">
        <v>3.0000000000000001E-3</v>
      </c>
      <c r="AD91" s="90" t="s">
        <v>73</v>
      </c>
      <c r="AE91" s="105">
        <f ca="1">_xlfn.LET(_xlpm.New1YT,RTData[[#This Row],[1YT]],        _xlpm.Old1YT,IF(ISNUMBER(RTData[[#This Row],[Old1YT]]),RTData[[#This Row],[Old1YT]],VALUE(LEFT(RTData[[#This Row],[Old1YT]],FIND("/",RTData[[#This Row],[Old1YT]],1)-1))),       IF(OR(RTData[[#This Row],[1YT]]=0,_xlpm.Old1YT=0),0,(_xlpm.New1YT-_xlpm.Old1YT)/_xlpm.Old1YT))</f>
        <v>0.16332531394580299</v>
      </c>
      <c r="AF91" s="105" t="str">
        <f ca="1">TEXT(RTData[[#This Row],[1YT]],"#,#0.00")&amp;" &lt; "&amp;RTData[[#This Row],[Old1YT]]</f>
        <v>88.01 &lt; 75.65/69.81/87.12</v>
      </c>
    </row>
    <row r="92" spans="1:33" ht="22" customHeight="1" x14ac:dyDescent="0.3">
      <c r="A92" s="40" t="str" cm="1">
        <f t="array" aca="1" ref="A92" ca="1">_xlfn.SINGLE(RTData[suffix])&amp;_FV(RTData[[#This Row],[Company Name]],"Ticker symbol",TRUE)</f>
        <v>THC</v>
      </c>
      <c r="B92" s="40">
        <f ca="1">D99</f>
        <v>0.86065926499698775</v>
      </c>
      <c r="C92" t="e" vm="72">
        <v>#VALUE!</v>
      </c>
      <c r="D92" s="17" t="str" cm="1">
        <f t="array" aca="1" ref="D92" ca="1">_FV(RTData[[#This Row],[Company Name]],"Currency")</f>
        <v>USD</v>
      </c>
      <c r="E92" s="18" cm="1">
        <f t="array" aca="1" ref="E92" ca="1">_FV(RTData[[#This Row],[Company Name]],"Last trade time",TRUE)</f>
        <v>45953.919867082812</v>
      </c>
      <c r="F92" s="19" cm="1">
        <f t="array" aca="1" ref="F92" ca="1">_FV(RTData[[#This Row],[Company Name]],"Previous close",TRUE)</f>
        <v>205.12</v>
      </c>
      <c r="G92" s="19" cm="1">
        <f t="array" aca="1" ref="G92" ca="1">_FV(RTData[[#This Row],[Company Name]],"Open")</f>
        <v>204.27</v>
      </c>
      <c r="H92" s="19" cm="1">
        <f t="array" aca="1" ref="H92" ca="1">_FV(RTData[[#This Row],[Company Name]],"Price")</f>
        <v>206.91</v>
      </c>
      <c r="I92" s="19" cm="1">
        <f t="array" aca="1" ref="I92" ca="1">_FV(RTData[[#This Row],[Company Name]],"Low")</f>
        <v>204.14</v>
      </c>
      <c r="J92" s="19" cm="1">
        <f t="array" aca="1" ref="J92" ca="1">_FV(RTData[[#This Row],[Company Name]],"High")</f>
        <v>208.25</v>
      </c>
      <c r="K92" s="20" cm="1">
        <f t="array" aca="1" ref="K92" ca="1">IFERROR(_FV(RTData[[#This Row],[Company Name]],"P/E",TRUE),99)</f>
        <v>13.6805</v>
      </c>
      <c r="L92" s="21" cm="1">
        <f t="array" aca="1" ref="L92" ca="1">_FV(RTData[[#This Row],[Company Name]],"Change")</f>
        <v>1.79</v>
      </c>
      <c r="M92" s="22" cm="1">
        <f t="array" aca="1" ref="M92" ca="1">_FV(RTData[[#This Row],[Company Name]],"Change (%)",TRUE)</f>
        <v>8.7270000000000004E-3</v>
      </c>
      <c r="N92" s="19" cm="1">
        <f t="array" aca="1" ref="N92" ca="1">_FV(RTData[[#This Row],[Company Name]],"52 week low",TRUE)</f>
        <v>109.82389999999999</v>
      </c>
      <c r="O92" s="19" cm="1">
        <f t="array" aca="1" ref="O92" ca="1">_FV(RTData[[#This Row],[Company Name]],"52 week high",TRUE)</f>
        <v>208.25</v>
      </c>
      <c r="P92" s="23" cm="1">
        <f t="array" aca="1" ref="P92" ca="1">_FV(RTData[[#This Row],[Company Name]],"Volume")</f>
        <v>1217632</v>
      </c>
      <c r="Q92" s="23" cm="1">
        <f t="array" aca="1" ref="Q92" ca="1">_FV(RTData[[#This Row],[Company Name]],"Volume average",TRUE)</f>
        <v>984540</v>
      </c>
      <c r="R92" s="19" cm="1">
        <f t="array" aca="1" ref="R92" ca="1">_FV(RTData[[#This Row],[Company Name]],"Beta")</f>
        <v>1.5318000000000001</v>
      </c>
      <c r="T92" t="s">
        <v>26</v>
      </c>
      <c r="U92" t="str" cm="1">
        <f t="array" aca="1" ref="U92" ca="1">_FV(RTData[[#This Row],[Company Name]],"Exchange abbreviation",TRUE)</f>
        <v>XNYS</v>
      </c>
      <c r="V92" s="24">
        <f ca="1">IFERROR(RTData[[#This Row],[Volume]]/RTData[[#This Row],[Volume average]],1)</f>
        <v>1.2367521888394579</v>
      </c>
      <c r="W92" s="24"/>
      <c r="X92" s="108">
        <f ca="1">_xlfn.XLOOKUP(RTData[[#This Row],[Ticker symbol]],[2]Sheet2!$B$2:$B$95,[2]Sheet2!$E$2:$E$95)</f>
        <v>204.90475000000001</v>
      </c>
      <c r="Y92" s="101">
        <f>_xlfn.LET(_xlpm.date,[2]Sheet2!F91,IF(_xlpm.date=0,"",_xlpm.date))</f>
        <v>36598</v>
      </c>
      <c r="Z92" s="101" t="str">
        <f>_xlfn.LET(_xlpm.date,[2]Sheet2!G91,IF(_xlpm.date=0,"",_xlpm.date))</f>
        <v>Oct 28, 2025</v>
      </c>
      <c r="AA92" s="102">
        <f>[2]Sheet2!$H91</f>
        <v>0</v>
      </c>
      <c r="AB92" s="103">
        <v>1E-4</v>
      </c>
      <c r="AC92" s="104">
        <v>3.0000000000000001E-3</v>
      </c>
      <c r="AD92" s="90">
        <v>177.21</v>
      </c>
      <c r="AE92" s="105">
        <f ca="1">_xlfn.LET(_xlpm.New1YT,RTData[[#This Row],[1YT]],        _xlpm.Old1YT,IF(ISNUMBER(RTData[[#This Row],[Old1YT]]),RTData[[#This Row],[Old1YT]],VALUE(LEFT(RTData[[#This Row],[Old1YT]],FIND("/",RTData[[#This Row],[Old1YT]],1)-1))),       IF(OR(RTData[[#This Row],[1YT]]=0,_xlpm.Old1YT=0),0,(_xlpm.New1YT-_xlpm.Old1YT)/_xlpm.Old1YT))</f>
        <v>0.15628209468991591</v>
      </c>
      <c r="AF92" s="105" t="str">
        <f ca="1">TEXT(RTData[[#This Row],[1YT]],"#,#0.00")&amp;" &lt; "&amp;RTData[[#This Row],[Old1YT]]</f>
        <v>204.90 &lt; 177.21</v>
      </c>
    </row>
    <row r="93" spans="1:33" ht="22" customHeight="1" x14ac:dyDescent="0.3">
      <c r="A93" s="40" t="str" cm="1">
        <f t="array" aca="1" ref="A93" ca="1">_xlfn.SINGLE(RTData[suffix])&amp;_FV(RTData[[#This Row],[Company Name]],"Ticker symbol",TRUE)</f>
        <v>X</v>
      </c>
      <c r="B93" s="40">
        <f ca="1">D99</f>
        <v>0.86065926499698775</v>
      </c>
      <c r="C93" t="e" vm="73">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8">
        <f ca="1">_xlfn.XLOOKUP(RTData[[#This Row],[Ticker symbol]],[2]Sheet2!$B$2:$B$95,[2]Sheet2!$E$2:$E$95)</f>
        <v>0</v>
      </c>
      <c r="Y93" s="101" t="str">
        <f>_xlfn.LET(_xlpm.date,[2]Sheet2!F92,IF(_xlpm.date=0,"",_xlpm.date))</f>
        <v/>
      </c>
      <c r="Z93" s="101" t="str">
        <f>_xlfn.LET(_xlpm.date,[2]Sheet2!G92,IF(_xlpm.date=0,"",_xlpm.date))</f>
        <v/>
      </c>
      <c r="AA93" s="102">
        <f>[2]Sheet2!$H92</f>
        <v>0</v>
      </c>
      <c r="AB93" s="103">
        <v>1E-4</v>
      </c>
      <c r="AC93" s="104">
        <v>3.0000000000000001E-3</v>
      </c>
      <c r="AD93" s="90">
        <v>39.130000000000003</v>
      </c>
      <c r="AE93" s="105">
        <f ca="1">_xlfn.LET(_xlpm.New1YT,RTData[[#This Row],[1YT]],        _xlpm.Old1YT,IF(ISNUMBER(RTData[[#This Row],[Old1YT]]),RTData[[#This Row],[Old1YT]],VALUE(LEFT(RTData[[#This Row],[Old1YT]],FIND("/",RTData[[#This Row],[Old1YT]],1)-1))),       IF(OR(RTData[[#This Row],[1YT]]=0,_xlpm.Old1YT=0),0,(_xlpm.New1YT-_xlpm.Old1YT)/_xlpm.Old1YT))</f>
        <v>0</v>
      </c>
      <c r="AF93" s="105" t="str">
        <f ca="1">TEXT(RTData[[#This Row],[1YT]],"#,#0.00")&amp;" &lt; "&amp;RTData[[#This Row],[Old1YT]]</f>
        <v>0.00 &lt; 39.13</v>
      </c>
    </row>
    <row r="94" spans="1:33" x14ac:dyDescent="0.3">
      <c r="A94" s="40" t="str" cm="1">
        <f t="array" aca="1" ref="A94" ca="1">_xlfn.SINGLE(RTData[suffix])&amp;_FV(RTData[[#This Row],[Company Name]],"Ticker symbol",TRUE)</f>
        <v>LOCK</v>
      </c>
      <c r="B94" s="56">
        <v>1</v>
      </c>
      <c r="C94" t="e" vm="74">
        <v>#VALUE!</v>
      </c>
      <c r="D94" s="17" t="str" cm="1">
        <f t="array" aca="1" ref="D94" ca="1">_FV(RTData[[#This Row],[Company Name]],"Currency")</f>
        <v>USD</v>
      </c>
      <c r="E94" s="18" cm="1">
        <f t="array" aca="1" ref="E94" ca="1">_FV(RTData[[#This Row],[Company Name]],"Last trade time",TRUE)</f>
        <v>45953.687523148146</v>
      </c>
      <c r="F94" s="28" cm="1">
        <f t="array" aca="1" ref="F94" ca="1">_FV(RTData[[#This Row],[Company Name]],"Previous close",TRUE)</f>
        <v>10.353999999999999</v>
      </c>
      <c r="G94" s="28" cm="1">
        <f t="array" aca="1" ref="G94" ca="1">_FV(RTData[[#This Row],[Company Name]],"Open")</f>
        <v>10.384</v>
      </c>
      <c r="H94" s="28" cm="1">
        <f t="array" aca="1" ref="H94" ca="1">_FV(RTData[[#This Row],[Company Name]],"Price")</f>
        <v>10.384</v>
      </c>
      <c r="I94" s="28" cm="1">
        <f t="array" aca="1" ref="I94" ca="1">_FV(RTData[[#This Row],[Company Name]],"Low")</f>
        <v>10.384</v>
      </c>
      <c r="J94" s="28" cm="1">
        <f t="array" aca="1" ref="J94" ca="1">_FV(RTData[[#This Row],[Company Name]],"High")</f>
        <v>10.384</v>
      </c>
      <c r="K94" s="20" cm="1">
        <f t="array" ref="K94">IFERROR(_FV(RTData[[#This Row],[Company Name]],"P/E",TRUE),99)</f>
        <v>99</v>
      </c>
      <c r="L94" s="21" cm="1">
        <f t="array" aca="1" ref="L94" ca="1">_FV(RTData[[#This Row],[Company Name]],"Change")</f>
        <v>0.03</v>
      </c>
      <c r="M94" s="22" cm="1">
        <f t="array" aca="1" ref="M94" ca="1">_FV(RTData[[#This Row],[Company Name]],"Change (%)",TRUE)</f>
        <v>2.8970000000000003E-3</v>
      </c>
      <c r="N94" s="19" cm="1">
        <f t="array" aca="1" ref="N94" ca="1">_FV(RTData[[#This Row],[Company Name]],"52 week low",TRUE)</f>
        <v>7.4260000000000002</v>
      </c>
      <c r="O94" s="19" cm="1">
        <f t="array" aca="1" ref="O94" ca="1">_FV(RTData[[#This Row],[Company Name]],"52 week high",TRUE)</f>
        <v>10.56</v>
      </c>
      <c r="P94" s="23" cm="1">
        <f t="array" aca="1" ref="P94" ca="1">_FV(RTData[[#This Row],[Company Name]],"Volume")</f>
        <v>38</v>
      </c>
      <c r="Q94" s="23" t="e" cm="1" vm="75">
        <f t="array" ref="Q94">_FV(RTData[[#This Row],[Company Name]],"Volume average",TRUE)</f>
        <v>#VALUE!</v>
      </c>
      <c r="R94" s="19" cm="1">
        <f t="array" aca="1" ref="R94" ca="1">_FV(RTData[[#This Row],[Company Name]],"Beta")</f>
        <v>0.58640000000000003</v>
      </c>
      <c r="T94" t="s">
        <v>26</v>
      </c>
      <c r="U94" t="str" cm="1">
        <f t="array" aca="1" ref="U94" ca="1">_FV(RTData[[#This Row],[Company Name]],"Exchange abbreviation",TRUE)</f>
        <v>XSWX</v>
      </c>
      <c r="V94" s="24">
        <f ca="1">IFERROR(RTData[[#This Row],[Volume]]/RTData[[#This Row],[Volume average]],1)</f>
        <v>1</v>
      </c>
      <c r="W94" s="24"/>
      <c r="X94" s="108">
        <f ca="1">_xlfn.XLOOKUP(RTData[[#This Row],[Ticker symbol]],[2]Sheet2!$B$2:$B$95,[2]Sheet2!$E$2:$E$95)</f>
        <v>0</v>
      </c>
      <c r="Y94" s="101" t="str">
        <f>_xlfn.LET(_xlpm.date,[2]Sheet2!F93,IF(_xlpm.date=0,"",_xlpm.date))</f>
        <v/>
      </c>
      <c r="Z94" s="101" t="str">
        <f>_xlfn.LET(_xlpm.date,[2]Sheet2!G93,IF(_xlpm.date=0,"",_xlpm.date))</f>
        <v/>
      </c>
      <c r="AA94" s="102">
        <f>[2]Sheet2!H93</f>
        <v>0</v>
      </c>
      <c r="AB94" s="103">
        <f>[2]Sheet2!I93</f>
        <v>0</v>
      </c>
      <c r="AC94" s="104">
        <f>[2]Sheet2!J93</f>
        <v>0</v>
      </c>
      <c r="AD94" s="90">
        <v>10.58</v>
      </c>
      <c r="AE94" s="105">
        <f ca="1">_xlfn.LET(_xlpm.New1YT,RTData[[#This Row],[1YT]],        _xlpm.Old1YT,IF(ISNUMBER(RTData[[#This Row],[Old1YT]]),RTData[[#This Row],[Old1YT]],VALUE(LEFT(RTData[[#This Row],[Old1YT]],FIND("/",RTData[[#This Row],[Old1YT]],1)-1))),       IF(OR(RTData[[#This Row],[1YT]]=0,_xlpm.Old1YT=0),0,(_xlpm.New1YT-_xlpm.Old1YT)/_xlpm.Old1YT))</f>
        <v>0</v>
      </c>
      <c r="AF94" s="105" t="str">
        <f ca="1">TEXT(RTData[[#This Row],[1YT]],"#,#0.00")&amp;" &lt; "&amp;RTData[[#This Row],[Old1YT]]</f>
        <v>0.00 &lt; 10.58</v>
      </c>
      <c r="AG94" s="51"/>
    </row>
    <row r="95" spans="1:33" ht="22" customHeight="1" x14ac:dyDescent="0.3">
      <c r="A95" s="40" t="str" cm="1">
        <f t="array" aca="1" ref="A95" ca="1">_xlfn.SINGLE(RTData[suffix])&amp;_FV(RTData[[#This Row],[Company Name]],"Ticker symbol",TRUE)</f>
        <v>JBASML</v>
      </c>
      <c r="B95" s="56">
        <v>1</v>
      </c>
      <c r="C95" t="e" vm="6">
        <v>#VALUE!</v>
      </c>
      <c r="D95" s="17" t="str" cm="1">
        <f t="array" aca="1" ref="D95" ca="1">_FV(RTData[[#This Row],[Company Name]],"Currency")</f>
        <v>EUR</v>
      </c>
      <c r="E95" s="18" cm="1">
        <f t="array" aca="1" ref="E95" ca="1">_FV(RTData[[#This Row],[Company Name]],"Last trade time",TRUE)</f>
        <v>45953.666666666664</v>
      </c>
      <c r="F95" s="28" cm="1">
        <f t="array" aca="1" ref="F95" ca="1">_FV(RTData[[#This Row],[Company Name]],"Previous close",TRUE)</f>
        <v>870.1</v>
      </c>
      <c r="G95" s="28" cm="1">
        <f t="array" aca="1" ref="G95" ca="1">_FV(RTData[[#This Row],[Company Name]],"Open")</f>
        <v>872</v>
      </c>
      <c r="H95" s="28" cm="1">
        <f t="array" aca="1" ref="H95" ca="1">_FV(RTData[[#This Row],[Company Name]],"Price")</f>
        <v>887.7</v>
      </c>
      <c r="I95" s="28" cm="1">
        <f t="array" aca="1" ref="I95" ca="1">_FV(RTData[[#This Row],[Company Name]],"Low")</f>
        <v>854.1</v>
      </c>
      <c r="J95" s="28" cm="1">
        <f t="array" aca="1" ref="J95" ca="1">_FV(RTData[[#This Row],[Company Name]],"High")</f>
        <v>891.2</v>
      </c>
      <c r="K95" s="20" cm="1">
        <f t="array" aca="1" ref="K95" ca="1">IFERROR(_FV(RTData[[#This Row],[Company Name]],"P/E",TRUE),99)</f>
        <v>33.408700000000003</v>
      </c>
      <c r="L95" s="21" cm="1">
        <f t="array" aca="1" ref="L95" ca="1">_FV(RTData[[#This Row],[Company Name]],"Change")</f>
        <v>17.600000000000001</v>
      </c>
      <c r="M95" s="22" cm="1">
        <f t="array" aca="1" ref="M95" ca="1">_FV(RTData[[#This Row],[Company Name]],"Change (%)",TRUE)</f>
        <v>2.0228000000000003E-2</v>
      </c>
      <c r="N95" s="28" cm="1">
        <f t="array" aca="1" ref="N95" ca="1">_FV(RTData[[#This Row],[Company Name]],"52 week low",TRUE)</f>
        <v>508.4</v>
      </c>
      <c r="O95" s="28" cm="1">
        <f t="array" aca="1" ref="O95" ca="1">_FV(RTData[[#This Row],[Company Name]],"52 week high",TRUE)</f>
        <v>905.1</v>
      </c>
      <c r="P95" s="23" cm="1">
        <f t="array" aca="1" ref="P95" ca="1">_FV(RTData[[#This Row],[Company Name]],"Volume")</f>
        <v>746164</v>
      </c>
      <c r="Q95" s="23" cm="1">
        <f t="array" aca="1" ref="Q95" ca="1">_FV(RTData[[#This Row],[Company Name]],"Volume average",TRUE)</f>
        <v>794970</v>
      </c>
      <c r="R95" s="19" cm="1">
        <f t="array" aca="1" ref="R95" ca="1">_FV(RTData[[#This Row],[Company Name]],"Beta")</f>
        <v>1.9639</v>
      </c>
      <c r="S95" t="s">
        <v>21</v>
      </c>
      <c r="T95" t="s">
        <v>22</v>
      </c>
      <c r="U95" t="str" cm="1">
        <f t="array" aca="1" ref="U95" ca="1">_FV(RTData[[#This Row],[Company Name]],"Exchange abbreviation",TRUE)</f>
        <v>XAMS</v>
      </c>
      <c r="V95" s="24">
        <f ca="1">IFERROR(RTData[[#This Row],[Volume]]/RTData[[#This Row],[Volume average]],1)</f>
        <v>0.93860648829515581</v>
      </c>
      <c r="W95" s="24"/>
      <c r="X95" s="108">
        <f ca="1">_xlfn.XLOOKUP(RTData[[#This Row],[Ticker symbol]],[2]Sheet2!$B$2:$B$95,[2]Sheet2!$E$2:$E$95)</f>
        <v>873.90326000000005</v>
      </c>
      <c r="Y95" s="101">
        <f>_xlfn.LET(_xlpm.date,[2]Sheet2!F94,IF(_xlpm.date=0,"",_xlpm.date))</f>
        <v>45866</v>
      </c>
      <c r="Z95" s="101" t="str">
        <f>_xlfn.LET(_xlpm.date,[2]Sheet2!G94,IF(_xlpm.date=0,"",_xlpm.date))</f>
        <v/>
      </c>
      <c r="AA95" s="102">
        <f>[2]Sheet2!H94</f>
        <v>8.0000000000000002E-3</v>
      </c>
      <c r="AB95" s="103">
        <f>[2]Sheet2!I94</f>
        <v>0</v>
      </c>
      <c r="AC95" s="104">
        <f>[2]Sheet2!J94</f>
        <v>0</v>
      </c>
      <c r="AD95" s="90">
        <v>847.58</v>
      </c>
      <c r="AE95" s="105">
        <f ca="1">_xlfn.LET(_xlpm.New1YT,RTData[[#This Row],[1YT]],        _xlpm.Old1YT,IF(ISNUMBER(RTData[[#This Row],[Old1YT]]),RTData[[#This Row],[Old1YT]],VALUE(LEFT(RTData[[#This Row],[Old1YT]],FIND("/",RTData[[#This Row],[Old1YT]],1)-1))),       IF(OR(RTData[[#This Row],[1YT]]=0,_xlpm.Old1YT=0),0,(_xlpm.New1YT-_xlpm.Old1YT)/_xlpm.Old1YT))</f>
        <v>3.1056962174661983E-2</v>
      </c>
      <c r="AF95" s="105" t="str">
        <f ca="1">TEXT(RTData[[#This Row],[1YT]],"#,#0.00")&amp;" &lt; "&amp;RTData[[#This Row],[Old1YT]]</f>
        <v>873.90 &lt; 847.58</v>
      </c>
    </row>
    <row r="96" spans="1:33" x14ac:dyDescent="0.3">
      <c r="A96" s="40" t="str" cm="1">
        <f t="array" aca="1" ref="A96" ca="1">_xlfn.SINGLE(RTData[suffix])&amp;_FV(RTData[[#This Row],[Company Name]],"Ticker symbol",TRUE)</f>
        <v>JBEOAN</v>
      </c>
      <c r="B96" s="55">
        <v>1</v>
      </c>
      <c r="C96" t="e" vm="20">
        <v>#VALUE!</v>
      </c>
      <c r="D96" s="17" t="str" cm="1">
        <f t="array" aca="1" ref="D96" ca="1">_FV(RTData[[#This Row],[Company Name]],"Currency")</f>
        <v>EUR</v>
      </c>
      <c r="E96" s="18" cm="1">
        <f t="array" aca="1" ref="E96" ca="1">_FV(RTData[[#This Row],[Company Name]],"Last trade time",TRUE)</f>
        <v>45953.836805555555</v>
      </c>
      <c r="F96" s="19" cm="1">
        <f t="array" aca="1" ref="F96" ca="1">_FV(RTData[[#This Row],[Company Name]],"Previous close",TRUE)</f>
        <v>16.100000000000001</v>
      </c>
      <c r="G96" s="19" cm="1">
        <f t="array" aca="1" ref="G96" ca="1">_FV(RTData[[#This Row],[Company Name]],"Open")</f>
        <v>16.13</v>
      </c>
      <c r="H96" s="19" cm="1">
        <f t="array" aca="1" ref="H96" ca="1">_FV(RTData[[#This Row],[Company Name]],"Price")</f>
        <v>15.98</v>
      </c>
      <c r="I96" s="19" cm="1">
        <f t="array" aca="1" ref="I96" ca="1">_FV(RTData[[#This Row],[Company Name]],"Low")</f>
        <v>15.97</v>
      </c>
      <c r="J96" s="19" cm="1">
        <f t="array" aca="1" ref="J96" ca="1">_FV(RTData[[#This Row],[Company Name]],"High")</f>
        <v>16.13</v>
      </c>
      <c r="K96" s="20" cm="1">
        <f t="array" aca="1" ref="K96" ca="1">IFERROR(_FV(RTData[[#This Row],[Company Name]],"P/E",TRUE),99)</f>
        <v>13.2066</v>
      </c>
      <c r="L96" s="21" cm="1">
        <f t="array" aca="1" ref="L96" ca="1">_FV(RTData[[#This Row],[Company Name]],"Change")</f>
        <v>-0.12</v>
      </c>
      <c r="M96" s="22" cm="1">
        <f t="array" aca="1" ref="M96" ca="1">_FV(RTData[[#This Row],[Company Name]],"Change (%)",TRUE)</f>
        <v>-7.4529999999999996E-3</v>
      </c>
      <c r="N96" s="28" cm="1">
        <f t="array" aca="1" ref="N96" ca="1">_FV(RTData[[#This Row],[Company Name]],"52 week low",TRUE)</f>
        <v>7.3</v>
      </c>
      <c r="O96" s="28" cm="1">
        <f t="array" aca="1" ref="O96" ca="1">_FV(RTData[[#This Row],[Company Name]],"52 week high",TRUE)</f>
        <v>16.515000000000001</v>
      </c>
      <c r="P96" s="23" cm="1">
        <f t="array" aca="1" ref="P96" ca="1">_FV(RTData[[#This Row],[Company Name]],"Volume")</f>
        <v>6458</v>
      </c>
      <c r="Q96" s="23" cm="1">
        <f t="array" aca="1" ref="Q96" ca="1">_FV(RTData[[#This Row],[Company Name]],"Volume average",TRUE)</f>
        <v>3081430</v>
      </c>
      <c r="R96" s="19" cm="1">
        <f t="array" aca="1" ref="R96" ca="1">_FV(RTData[[#This Row],[Company Name]],"Beta")</f>
        <v>0.72070000000000001</v>
      </c>
      <c r="S96" t="s">
        <v>21</v>
      </c>
      <c r="T96" t="s">
        <v>22</v>
      </c>
      <c r="U96" t="str" cm="1">
        <f t="array" aca="1" ref="U96" ca="1">_FV(RTData[[#This Row],[Company Name]],"Exchange abbreviation",TRUE)</f>
        <v>XFRA</v>
      </c>
      <c r="V96" s="107">
        <f ca="1">IFERROR(RTData[[#This Row],[Volume]]/RTData[[#This Row],[Volume average]],1)</f>
        <v>2.0957802059433446E-3</v>
      </c>
      <c r="W96" s="107"/>
      <c r="X96" s="108">
        <f ca="1">_xlfn.XLOOKUP(RTData[[#This Row],[Ticker symbol]],[2]Sheet2!$B$2:$B$95,[2]Sheet2!$E$2:$E$95)</f>
        <v>16.882349999999999</v>
      </c>
      <c r="Y96" s="101">
        <f>_xlfn.LET(_xlpm.date,[2]Sheet2!F95,IF(_xlpm.date=0,"",_xlpm.date))</f>
        <v>45793</v>
      </c>
      <c r="Z96" s="101" t="str">
        <f>_xlfn.LET(_xlpm.date,[2]Sheet2!G95,IF(_xlpm.date=0,"",_xlpm.date))</f>
        <v/>
      </c>
      <c r="AA96" s="102">
        <f>[2]Sheet2!H95</f>
        <v>3.4200000000000001E-2</v>
      </c>
      <c r="AB96" s="103">
        <f>[2]Sheet2!I95</f>
        <v>0</v>
      </c>
      <c r="AC96" s="104">
        <f>[2]Sheet2!J95</f>
        <v>0</v>
      </c>
      <c r="AD96" s="108">
        <v>16.3</v>
      </c>
      <c r="AE96" s="105">
        <f ca="1">_xlfn.LET(_xlpm.New1YT,RTData[[#This Row],[1YT]],        _xlpm.Old1YT,IF(ISNUMBER(RTData[[#This Row],[Old1YT]]),RTData[[#This Row],[Old1YT]],VALUE(LEFT(RTData[[#This Row],[Old1YT]],FIND("/",RTData[[#This Row],[Old1YT]],1)-1))),       IF(OR(RTData[[#This Row],[1YT]]=0,_xlpm.Old1YT=0),0,(_xlpm.New1YT-_xlpm.Old1YT)/_xlpm.Old1YT))</f>
        <v>3.572699386503056E-2</v>
      </c>
      <c r="AF96" s="105" t="str">
        <f ca="1">TEXT(RTData[[#This Row],[1YT]],"#,#0.00")&amp;" &lt; "&amp;RTData[[#This Row],[Old1YT]]</f>
        <v>16.88 &lt; 16.3</v>
      </c>
    </row>
    <row r="97" spans="1:31" x14ac:dyDescent="0.3">
      <c r="A97" s="41" t="s">
        <v>27</v>
      </c>
      <c r="B97" s="41"/>
      <c r="C97" s="42"/>
      <c r="D97" s="25"/>
      <c r="J97" s="43"/>
      <c r="K97"/>
      <c r="L97" s="21">
        <f ca="1">SUBTOTAL(101,RTData[Change])</f>
        <v>0.93321808510638327</v>
      </c>
      <c r="M97" s="44">
        <f ca="1">SUBTOTAL(104,RTData[Change%])</f>
        <v>0.135965</v>
      </c>
      <c r="O97"/>
      <c r="P97" s="23">
        <f ca="1">SUBTOTAL(104,RTData[Volume])</f>
        <v>479244632</v>
      </c>
      <c r="Q97" s="23" t="e" vm="76">
        <f ca="1">SUBTOTAL(101,RTData[Volume average])</f>
        <v>#VALUE!</v>
      </c>
      <c r="R97"/>
      <c r="V97" s="97"/>
      <c r="W97"/>
      <c r="X97" s="74"/>
      <c r="Y97" s="70"/>
      <c r="Z97" s="70"/>
      <c r="AE97" s="106"/>
    </row>
    <row r="98" spans="1:31" x14ac:dyDescent="0.3">
      <c r="A98" s="41" t="s">
        <v>28</v>
      </c>
      <c r="B98" s="42" t="s">
        <v>29</v>
      </c>
      <c r="C98" s="59" t="s">
        <v>30</v>
      </c>
      <c r="D98" s="60" t="s">
        <v>32</v>
      </c>
      <c r="L98"/>
      <c r="M98" s="23"/>
      <c r="O98"/>
      <c r="P98" s="45"/>
      <c r="R98" s="45"/>
      <c r="V98" s="75"/>
      <c r="W98" s="71"/>
      <c r="X98" s="47"/>
    </row>
    <row r="99" spans="1:31" x14ac:dyDescent="0.3">
      <c r="A99" t="e" vm="77">
        <v>#VALUE!</v>
      </c>
      <c r="B99" s="48" cm="1">
        <f t="array" aca="1" ref="B99" ca="1">_FV(A99,"Price")</f>
        <v>1.1618999999999999</v>
      </c>
      <c r="C99" s="49" cm="1">
        <f t="array" aca="1" ref="C99" ca="1">_FV(A99,"52 week high",TRUE)</f>
        <v>1.1918</v>
      </c>
      <c r="D99" s="19">
        <f ca="1">1/RTExR[[#This Row],[RT]]</f>
        <v>0.86065926499698775</v>
      </c>
      <c r="P99" s="50"/>
      <c r="R99"/>
      <c r="W99" s="71"/>
      <c r="X99" s="47"/>
    </row>
    <row r="100" spans="1:31" x14ac:dyDescent="0.3">
      <c r="A100" t="e" vm="78">
        <v>#VALUE!</v>
      </c>
      <c r="B100" s="48" cm="1">
        <f t="array" aca="1" ref="B100" ca="1">_FV(A100,"Price")</f>
        <v>0.9234</v>
      </c>
      <c r="C100" s="52" cm="1">
        <f t="array" aca="1" ref="C100" ca="1">_FV(A100,"52 week high",TRUE)</f>
        <v>0.96609999999999996</v>
      </c>
      <c r="D100" s="19">
        <f ca="1">1/RTExR[[#This Row],[RT]]</f>
        <v>1.0829542993285683</v>
      </c>
      <c r="P100" s="50"/>
      <c r="R100"/>
    </row>
    <row r="101" spans="1:31" x14ac:dyDescent="0.3">
      <c r="A101" t="e" vm="79">
        <v>#VALUE!</v>
      </c>
      <c r="B101" s="48" cm="1">
        <f t="array" aca="1" ref="B101" ca="1">_FV(A101,"Price")</f>
        <v>0.87139999999999995</v>
      </c>
      <c r="C101" s="53" cm="1">
        <f t="array" aca="1" ref="C101" ca="1">_FV(A101,"52 week high",TRUE)</f>
        <v>0.87629999999999997</v>
      </c>
      <c r="D101" s="19">
        <f ca="1">1/RTExR[[#This Row],[RT]]</f>
        <v>1.1475786091347258</v>
      </c>
      <c r="P101" s="50"/>
      <c r="R101"/>
    </row>
    <row r="102" spans="1:31" x14ac:dyDescent="0.3">
      <c r="A102" t="e" vm="80">
        <v>#VALUE!</v>
      </c>
      <c r="B102" s="48" cm="1">
        <f t="array" aca="1" ref="B102" ca="1">_FV(A102,"Price")</f>
        <v>1.7828999999999999</v>
      </c>
      <c r="C102" s="49" cm="1">
        <f t="array" aca="1" ref="C102" ca="1">_FV(A102,"52 week high",TRUE)</f>
        <v>1.8554999999999999</v>
      </c>
      <c r="D102" s="19">
        <f ca="1">1/RTExR[[#This Row],[RT]]</f>
        <v>0.56088395311010153</v>
      </c>
      <c r="P102" s="50"/>
      <c r="R102"/>
    </row>
    <row r="103" spans="1:31" x14ac:dyDescent="0.3">
      <c r="A103" t="e" vm="81">
        <v>#VALUE!</v>
      </c>
      <c r="B103" s="48" cm="1">
        <f t="array" aca="1" ref="B103" ca="1">_FV(A103,"Price")</f>
        <v>1.6249</v>
      </c>
      <c r="C103" s="49" cm="1">
        <f t="array" aca="1" ref="C103" ca="1">_FV(A103,"52 week high",TRUE)</f>
        <v>1.6468</v>
      </c>
      <c r="D103" s="19">
        <f ca="1">1/RTExR[[#This Row],[RT]]</f>
        <v>0.61542248753769457</v>
      </c>
      <c r="P103" s="50"/>
      <c r="R103"/>
    </row>
    <row r="104" spans="1:31" x14ac:dyDescent="0.3">
      <c r="A104" t="e" vm="82">
        <v>#VALUE!</v>
      </c>
      <c r="B104" s="48" cm="1">
        <f t="array" aca="1" ref="B104" ca="1">_FV(A104,"Price")</f>
        <v>152.53</v>
      </c>
      <c r="C104" s="54" cm="1">
        <f t="array" aca="1" ref="C104" ca="1">_FV(A104,"52 week high",TRUE)</f>
        <v>158.87</v>
      </c>
      <c r="D104" s="19">
        <f ca="1">1/RTExR[[#This Row],[RT]]</f>
        <v>6.5560873270831968E-3</v>
      </c>
      <c r="J104"/>
      <c r="P104" s="50"/>
      <c r="R104"/>
    </row>
    <row r="105" spans="1:31" x14ac:dyDescent="0.3">
      <c r="A105" t="e" vm="83">
        <v>#VALUE!</v>
      </c>
      <c r="B105" s="48" cm="1">
        <f t="array" aca="1" ref="B105" ca="1">_FV(A105,"Price")</f>
        <v>0.79469999999999996</v>
      </c>
      <c r="C105" s="52" cm="1">
        <f t="array" aca="1" ref="C105" ca="1">_FV(A105,"52 week high",TRUE)</f>
        <v>0.92</v>
      </c>
      <c r="D105" s="19">
        <f ca="1">1/RTExR[[#This Row],[RT]]</f>
        <v>1.2583364791745313</v>
      </c>
    </row>
    <row r="106" spans="1:31" x14ac:dyDescent="0.3">
      <c r="A106" t="e" vm="84">
        <v>#VALUE!</v>
      </c>
      <c r="B106" s="48" cm="1">
        <f t="array" aca="1" ref="B106" ca="1">_FV(A106,"Price")</f>
        <v>0.75</v>
      </c>
      <c r="C106" s="53" cm="1">
        <f t="array" aca="1" ref="C106" ca="1">_FV(A106,"52 week high",TRUE)</f>
        <v>0.82650000000000001</v>
      </c>
      <c r="D106" s="19">
        <f ca="1">1/RTExR[[#This Row],[RT]]</f>
        <v>1.3333333333333333</v>
      </c>
    </row>
    <row r="107" spans="1:31" x14ac:dyDescent="0.3">
      <c r="C107" s="95" t="s">
        <v>39</v>
      </c>
      <c r="E107" s="99" t="s">
        <v>6</v>
      </c>
      <c r="F107" s="99" t="s">
        <v>43</v>
      </c>
    </row>
    <row r="108" spans="1:31" x14ac:dyDescent="0.3">
      <c r="A108" s="16"/>
      <c r="B108"/>
      <c r="C108" s="45" t="e" vm="37">
        <v>#VALUE!</v>
      </c>
      <c r="D108" s="98" t="s">
        <v>42</v>
      </c>
      <c r="E108" s="19" cm="1">
        <f t="array" aca="1" ref="E108" ca="1">_FV(C109,"Open")</f>
        <v>46519.13</v>
      </c>
      <c r="F108" s="19" cm="1">
        <f t="array" aca="1" ref="F108" ca="1">_FV(C109,"Price")</f>
        <v>46734.61</v>
      </c>
      <c r="X108" s="19"/>
      <c r="Y108" s="19"/>
      <c r="Z108" s="19"/>
    </row>
    <row r="109" spans="1:31" x14ac:dyDescent="0.3">
      <c r="C109" t="e" vm="85">
        <v>#VALUE!</v>
      </c>
      <c r="D109" s="19" cm="1">
        <f t="array" aca="1" ref="D109" ca="1">_FV(C109,"Previous close",TRUE)</f>
        <v>46590.41</v>
      </c>
      <c r="E109" s="19" cm="1">
        <f t="array" aca="1" ref="E109" ca="1">_FV(C110,"Open")</f>
        <v>57.74</v>
      </c>
      <c r="F109" s="19" cm="1">
        <f t="array" aca="1" ref="F109" ca="1">_FV(C110,"Price")</f>
        <v>57.895000000000003</v>
      </c>
    </row>
    <row r="110" spans="1:31" x14ac:dyDescent="0.3">
      <c r="C110" s="45" t="e" vm="86">
        <v>#VALUE!</v>
      </c>
      <c r="D110" s="19" cm="1">
        <f t="array" aca="1" ref="D110" ca="1">_FV(C110,"Previous close",TRUE)</f>
        <v>57.53</v>
      </c>
    </row>
    <row r="111" spans="1:31" x14ac:dyDescent="0.3">
      <c r="C111" s="45" t="s">
        <v>44</v>
      </c>
      <c r="D111" t="e" cm="1" vm="87">
        <f t="array" ref="D111">_FV(C111,"Instrument type",TRUE)</f>
        <v>#VALUE!</v>
      </c>
      <c r="E111" s="19" cm="1">
        <f t="array" aca="1" ref="E111" ca="1">_FV(C112,"Open")</f>
        <v>26</v>
      </c>
      <c r="F111" s="19" cm="1">
        <f t="array" aca="1" ref="F111" ca="1">_FV(C112,"Price")</f>
        <v>26.21</v>
      </c>
    </row>
    <row r="112" spans="1:31" x14ac:dyDescent="0.3">
      <c r="C112" s="45" t="e" vm="17">
        <v>#VALUE!</v>
      </c>
      <c r="D112" s="19" cm="1">
        <f t="array" aca="1" ref="D112" ca="1">_FV(C112,"Previous close",TRUE)</f>
        <v>30.12</v>
      </c>
    </row>
    <row r="113" spans="1:4" x14ac:dyDescent="0.3">
      <c r="A113" s="45"/>
      <c r="C113" s="45" t="s">
        <v>45</v>
      </c>
    </row>
    <row r="114" spans="1:4" x14ac:dyDescent="0.3">
      <c r="D114" s="45"/>
    </row>
    <row r="115" spans="1:4" x14ac:dyDescent="0.3">
      <c r="A115" s="113" t="e" vm="1">
        <v>#VALUE!</v>
      </c>
      <c r="C115" s="95" t="e" vm="1">
        <v>#VALUE!</v>
      </c>
    </row>
    <row r="116" spans="1:4" x14ac:dyDescent="0.3">
      <c r="A116" s="113" t="e" vm="2">
        <v>#VALUE!</v>
      </c>
      <c r="C116" s="45" t="e" vm="2">
        <v>#VALUE!</v>
      </c>
    </row>
    <row r="117" spans="1:4" x14ac:dyDescent="0.3">
      <c r="A117" s="113" t="e" vm="3">
        <v>#VALUE!</v>
      </c>
      <c r="C117" s="45" t="e" vm="3">
        <v>#VALUE!</v>
      </c>
    </row>
    <row r="118" spans="1:4" x14ac:dyDescent="0.3">
      <c r="A118" s="113" t="e" vm="4">
        <v>#VALUE!</v>
      </c>
      <c r="C118" s="45" t="e" vm="4">
        <v>#VALUE!</v>
      </c>
    </row>
    <row r="119" spans="1:4" x14ac:dyDescent="0.3">
      <c r="A119" s="113" t="e" vm="5">
        <v>#VALUE!</v>
      </c>
      <c r="C119" s="45" t="e" vm="5">
        <v>#VALUE!</v>
      </c>
    </row>
    <row r="120" spans="1:4" x14ac:dyDescent="0.3">
      <c r="A120" s="113" t="e" vm="88">
        <v>#VALUE!</v>
      </c>
      <c r="C120" s="45" t="e" vm="88">
        <v>#VALUE!</v>
      </c>
    </row>
    <row r="121" spans="1:4" x14ac:dyDescent="0.3">
      <c r="A121" s="113" t="e" vm="9">
        <v>#VALUE!</v>
      </c>
      <c r="C121" s="45" t="e" vm="9">
        <v>#VALUE!</v>
      </c>
    </row>
    <row r="122" spans="1:4" x14ac:dyDescent="0.3">
      <c r="A122" s="113" t="e" vm="10">
        <v>#VALUE!</v>
      </c>
      <c r="C122" s="45" t="e" vm="10">
        <v>#VALUE!</v>
      </c>
    </row>
    <row r="123" spans="1:4" x14ac:dyDescent="0.3">
      <c r="A123" s="113" t="e" vm="11">
        <v>#VALUE!</v>
      </c>
      <c r="C123" s="45" t="e" vm="11">
        <v>#VALUE!</v>
      </c>
    </row>
    <row r="124" spans="1:4" x14ac:dyDescent="0.3">
      <c r="A124" s="113" t="e" vm="12">
        <v>#VALUE!</v>
      </c>
      <c r="C124" s="45" t="e" vm="12">
        <v>#VALUE!</v>
      </c>
    </row>
    <row r="125" spans="1:4" x14ac:dyDescent="0.3">
      <c r="A125" s="113" t="e" vm="13">
        <v>#VALUE!</v>
      </c>
      <c r="C125" s="45" t="e" vm="13">
        <v>#VALUE!</v>
      </c>
    </row>
    <row r="126" spans="1:4" x14ac:dyDescent="0.3">
      <c r="A126" s="113" t="e" vm="14">
        <v>#VALUE!</v>
      </c>
      <c r="C126" s="45" t="e" vm="14">
        <v>#VALUE!</v>
      </c>
    </row>
    <row r="127" spans="1:4" x14ac:dyDescent="0.3">
      <c r="A127" s="113" t="e" vm="15">
        <v>#VALUE!</v>
      </c>
      <c r="C127" s="45" t="e" vm="15">
        <v>#VALUE!</v>
      </c>
    </row>
    <row r="128" spans="1:4" x14ac:dyDescent="0.3">
      <c r="A128" s="113" t="e" vm="16">
        <v>#VALUE!</v>
      </c>
      <c r="C128" s="45" t="e" vm="16">
        <v>#VALUE!</v>
      </c>
    </row>
    <row r="129" spans="1:3" x14ac:dyDescent="0.3">
      <c r="A129" s="113" t="e" vm="89">
        <v>#VALUE!</v>
      </c>
      <c r="C129" s="45" t="e" vm="89">
        <v>#VALUE!</v>
      </c>
    </row>
    <row r="130" spans="1:3" x14ac:dyDescent="0.3">
      <c r="A130" s="113" t="e" vm="18">
        <v>#VALUE!</v>
      </c>
      <c r="C130" s="45" t="e" vm="18">
        <v>#VALUE!</v>
      </c>
    </row>
    <row r="131" spans="1:3" x14ac:dyDescent="0.3">
      <c r="A131" s="113" t="e" vm="19">
        <v>#VALUE!</v>
      </c>
      <c r="C131" s="45" t="e" vm="19">
        <v>#VALUE!</v>
      </c>
    </row>
    <row r="132" spans="1:3" x14ac:dyDescent="0.3">
      <c r="A132" s="113" t="e" vm="20">
        <v>#VALUE!</v>
      </c>
      <c r="C132" s="45" t="e" vm="20">
        <v>#VALUE!</v>
      </c>
    </row>
    <row r="133" spans="1:3" x14ac:dyDescent="0.3">
      <c r="A133" s="113" t="e" vm="21">
        <v>#VALUE!</v>
      </c>
      <c r="C133" s="45" t="e" vm="21">
        <v>#VALUE!</v>
      </c>
    </row>
    <row r="134" spans="1:3" x14ac:dyDescent="0.3">
      <c r="A134" s="113" t="e" vm="22">
        <v>#VALUE!</v>
      </c>
      <c r="C134" s="45" t="e" vm="22">
        <v>#VALUE!</v>
      </c>
    </row>
    <row r="135" spans="1:3" x14ac:dyDescent="0.3">
      <c r="A135" s="113" t="e" vm="23">
        <v>#VALUE!</v>
      </c>
      <c r="C135" s="45" t="e" vm="23">
        <v>#VALUE!</v>
      </c>
    </row>
    <row r="136" spans="1:3" x14ac:dyDescent="0.3">
      <c r="A136" s="113" t="e" vm="24">
        <v>#VALUE!</v>
      </c>
      <c r="C136" s="45" t="e" vm="24">
        <v>#VALUE!</v>
      </c>
    </row>
    <row r="137" spans="1:3" x14ac:dyDescent="0.3">
      <c r="A137" s="113" t="e" vm="90">
        <v>#VALUE!</v>
      </c>
      <c r="C137" s="45" t="e" vm="90">
        <v>#VALUE!</v>
      </c>
    </row>
    <row r="138" spans="1:3" x14ac:dyDescent="0.3">
      <c r="A138" s="113" t="e" vm="26">
        <v>#VALUE!</v>
      </c>
      <c r="C138" s="45" t="e" vm="26">
        <v>#VALUE!</v>
      </c>
    </row>
    <row r="139" spans="1:3" x14ac:dyDescent="0.3">
      <c r="A139" s="113" t="e" vm="27">
        <v>#VALUE!</v>
      </c>
      <c r="C139" s="45" t="e" vm="27">
        <v>#VALUE!</v>
      </c>
    </row>
    <row r="140" spans="1:3" x14ac:dyDescent="0.3">
      <c r="A140" s="113" t="e" vm="28">
        <v>#VALUE!</v>
      </c>
      <c r="C140" s="45" t="e" vm="28">
        <v>#VALUE!</v>
      </c>
    </row>
    <row r="141" spans="1:3" x14ac:dyDescent="0.3">
      <c r="A141" s="113" t="e" vm="29">
        <v>#VALUE!</v>
      </c>
      <c r="C141" s="45" t="e" vm="29">
        <v>#VALUE!</v>
      </c>
    </row>
    <row r="142" spans="1:3" x14ac:dyDescent="0.3">
      <c r="A142" s="113" t="e" vm="30">
        <v>#VALUE!</v>
      </c>
      <c r="C142" s="45" t="e" vm="30">
        <v>#VALUE!</v>
      </c>
    </row>
    <row r="143" spans="1:3" x14ac:dyDescent="0.3">
      <c r="A143" s="113" t="e" vm="31">
        <v>#VALUE!</v>
      </c>
      <c r="C143" s="45" t="e" vm="31">
        <v>#VALUE!</v>
      </c>
    </row>
    <row r="144" spans="1:3" x14ac:dyDescent="0.3">
      <c r="A144" s="113" t="e" vm="32">
        <v>#VALUE!</v>
      </c>
      <c r="C144" s="45" t="e" vm="32">
        <v>#VALUE!</v>
      </c>
    </row>
    <row r="145" spans="1:3" x14ac:dyDescent="0.3">
      <c r="A145" s="113" t="e" vm="33">
        <v>#VALUE!</v>
      </c>
      <c r="C145" s="45" t="e" vm="33">
        <v>#VALUE!</v>
      </c>
    </row>
    <row r="146" spans="1:3" x14ac:dyDescent="0.3">
      <c r="A146" s="113" t="e" vm="91">
        <v>#VALUE!</v>
      </c>
      <c r="C146" s="45" t="e" vm="91">
        <v>#VALUE!</v>
      </c>
    </row>
    <row r="147" spans="1:3" x14ac:dyDescent="0.3">
      <c r="A147" s="113" t="e" vm="35">
        <v>#VALUE!</v>
      </c>
      <c r="C147" s="45" t="e" vm="35">
        <v>#VALUE!</v>
      </c>
    </row>
    <row r="148" spans="1:3" x14ac:dyDescent="0.3">
      <c r="A148" s="113" t="e" vm="36">
        <v>#VALUE!</v>
      </c>
      <c r="C148" s="45" t="e" vm="36">
        <v>#VALUE!</v>
      </c>
    </row>
    <row r="149" spans="1:3" x14ac:dyDescent="0.3">
      <c r="A149" s="113" t="e" vm="37">
        <v>#VALUE!</v>
      </c>
      <c r="C149" s="45" t="e" vm="37">
        <v>#VALUE!</v>
      </c>
    </row>
    <row r="150" spans="1:3" x14ac:dyDescent="0.3">
      <c r="A150" s="113" t="e" vm="38">
        <v>#VALUE!</v>
      </c>
      <c r="C150" s="45" t="e" vm="38">
        <v>#VALUE!</v>
      </c>
    </row>
    <row r="151" spans="1:3" x14ac:dyDescent="0.3">
      <c r="A151" s="113" t="e" vm="39">
        <v>#VALUE!</v>
      </c>
      <c r="C151" s="45" t="e" vm="39">
        <v>#VALUE!</v>
      </c>
    </row>
    <row r="152" spans="1:3" x14ac:dyDescent="0.3">
      <c r="A152" s="113" t="e" vm="40">
        <v>#VALUE!</v>
      </c>
      <c r="C152" s="45" t="e" vm="40">
        <v>#VALUE!</v>
      </c>
    </row>
    <row r="153" spans="1:3" x14ac:dyDescent="0.3">
      <c r="A153" s="113" t="e" vm="41">
        <v>#VALUE!</v>
      </c>
      <c r="C153" s="45" t="e" vm="41">
        <v>#VALUE!</v>
      </c>
    </row>
    <row r="154" spans="1:3" x14ac:dyDescent="0.3">
      <c r="A154" s="113" t="e" vm="42">
        <v>#VALUE!</v>
      </c>
      <c r="C154" s="45" t="e" vm="42">
        <v>#VALUE!</v>
      </c>
    </row>
    <row r="155" spans="1:3" x14ac:dyDescent="0.3">
      <c r="A155" s="113" t="e" vm="43">
        <v>#VALUE!</v>
      </c>
      <c r="C155" s="45" t="e" vm="43">
        <v>#VALUE!</v>
      </c>
    </row>
    <row r="156" spans="1:3" x14ac:dyDescent="0.3">
      <c r="A156" s="113" t="e" vm="44">
        <v>#VALUE!</v>
      </c>
      <c r="C156" s="45" t="e" vm="44">
        <v>#VALUE!</v>
      </c>
    </row>
    <row r="157" spans="1:3" x14ac:dyDescent="0.3">
      <c r="A157" s="113" t="e" vm="45">
        <v>#VALUE!</v>
      </c>
      <c r="C157" s="45" t="e" vm="45">
        <v>#VALUE!</v>
      </c>
    </row>
    <row r="158" spans="1:3" x14ac:dyDescent="0.3">
      <c r="A158" s="113" t="e" vm="46">
        <v>#VALUE!</v>
      </c>
      <c r="C158" s="45" t="e" vm="46">
        <v>#VALUE!</v>
      </c>
    </row>
    <row r="159" spans="1:3" x14ac:dyDescent="0.3">
      <c r="A159" s="113" t="e" vm="47">
        <v>#VALUE!</v>
      </c>
      <c r="C159" s="45" t="e" vm="47">
        <v>#VALUE!</v>
      </c>
    </row>
    <row r="160" spans="1:3" x14ac:dyDescent="0.3">
      <c r="A160" s="113" t="e" vm="7">
        <v>#VALUE!</v>
      </c>
      <c r="C160" s="45" t="e" vm="7">
        <v>#VALUE!</v>
      </c>
    </row>
    <row r="161" spans="1:3" x14ac:dyDescent="0.3">
      <c r="A161" s="113" t="e" vm="48">
        <v>#VALUE!</v>
      </c>
      <c r="C161" s="45" t="e" vm="48">
        <v>#VALUE!</v>
      </c>
    </row>
    <row r="162" spans="1:3" x14ac:dyDescent="0.3">
      <c r="A162" s="113" t="e" vm="49">
        <v>#VALUE!</v>
      </c>
      <c r="C162" s="45" t="e" vm="49">
        <v>#VALUE!</v>
      </c>
    </row>
    <row r="163" spans="1:3" x14ac:dyDescent="0.3">
      <c r="A163" s="113" t="e" vm="50">
        <v>#VALUE!</v>
      </c>
      <c r="C163" s="45" t="e" vm="50">
        <v>#VALUE!</v>
      </c>
    </row>
    <row r="164" spans="1:3" x14ac:dyDescent="0.3">
      <c r="A164" s="113" t="e" vm="51">
        <v>#VALUE!</v>
      </c>
      <c r="C164" s="45" t="e" vm="51">
        <v>#VALUE!</v>
      </c>
    </row>
    <row r="165" spans="1:3" x14ac:dyDescent="0.3">
      <c r="A165" s="113" t="e" vm="52">
        <v>#VALUE!</v>
      </c>
      <c r="C165" s="45" t="e" vm="52">
        <v>#VALUE!</v>
      </c>
    </row>
    <row r="166" spans="1:3" x14ac:dyDescent="0.3">
      <c r="A166" s="113" t="e" vm="53">
        <v>#VALUE!</v>
      </c>
      <c r="C166" s="45" t="e" vm="53">
        <v>#VALUE!</v>
      </c>
    </row>
    <row r="167" spans="1:3" x14ac:dyDescent="0.3">
      <c r="A167" s="113" t="e" vm="5">
        <v>#VALUE!</v>
      </c>
      <c r="C167" s="45" t="e" vm="5">
        <v>#VALUE!</v>
      </c>
    </row>
    <row r="168" spans="1:3" x14ac:dyDescent="0.3">
      <c r="A168" s="113" t="e" vm="15">
        <v>#VALUE!</v>
      </c>
      <c r="C168" s="45" t="e" vm="15">
        <v>#VALUE!</v>
      </c>
    </row>
    <row r="169" spans="1:3" x14ac:dyDescent="0.3">
      <c r="A169" s="113" t="e" vm="89">
        <v>#VALUE!</v>
      </c>
      <c r="C169" s="45" t="e" vm="89">
        <v>#VALUE!</v>
      </c>
    </row>
    <row r="170" spans="1:3" x14ac:dyDescent="0.3">
      <c r="A170" s="113" t="e" vm="20">
        <v>#VALUE!</v>
      </c>
      <c r="C170" s="45" t="e" vm="20">
        <v>#VALUE!</v>
      </c>
    </row>
    <row r="171" spans="1:3" x14ac:dyDescent="0.3">
      <c r="A171" s="113" t="e" vm="92">
        <v>#VALUE!</v>
      </c>
      <c r="C171" s="45" t="e" vm="92">
        <v>#VALUE!</v>
      </c>
    </row>
    <row r="172" spans="1:3" x14ac:dyDescent="0.3">
      <c r="A172" s="113" t="e" vm="21">
        <v>#VALUE!</v>
      </c>
      <c r="C172" s="45" t="e" vm="21">
        <v>#VALUE!</v>
      </c>
    </row>
    <row r="173" spans="1:3" x14ac:dyDescent="0.3">
      <c r="A173" s="113" t="e" vm="55">
        <v>#VALUE!</v>
      </c>
      <c r="C173" s="45" t="e" vm="55">
        <v>#VALUE!</v>
      </c>
    </row>
    <row r="174" spans="1:3" x14ac:dyDescent="0.3">
      <c r="A174" s="113" t="e" vm="93">
        <v>#VALUE!</v>
      </c>
      <c r="C174" s="45" t="e" vm="93">
        <v>#VALUE!</v>
      </c>
    </row>
    <row r="175" spans="1:3" x14ac:dyDescent="0.3">
      <c r="A175" s="113" t="e" vm="40">
        <v>#VALUE!</v>
      </c>
      <c r="C175" s="45" t="e" vm="40">
        <v>#VALUE!</v>
      </c>
    </row>
    <row r="176" spans="1:3" x14ac:dyDescent="0.3">
      <c r="A176" s="113" t="e" vm="41">
        <v>#VALUE!</v>
      </c>
      <c r="C176" s="45" t="e" vm="41">
        <v>#VALUE!</v>
      </c>
    </row>
    <row r="177" spans="1:3" x14ac:dyDescent="0.3">
      <c r="A177" s="113" t="e" vm="46">
        <v>#VALUE!</v>
      </c>
      <c r="C177" s="45" t="e" vm="46">
        <v>#VALUE!</v>
      </c>
    </row>
    <row r="178" spans="1:3" x14ac:dyDescent="0.3">
      <c r="A178" s="113" t="e" vm="1">
        <v>#VALUE!</v>
      </c>
      <c r="C178" s="45" t="e" vm="1">
        <v>#VALUE!</v>
      </c>
    </row>
    <row r="179" spans="1:3" x14ac:dyDescent="0.3">
      <c r="A179" s="113" t="e" vm="4">
        <v>#VALUE!</v>
      </c>
      <c r="C179" s="45" t="e" vm="4">
        <v>#VALUE!</v>
      </c>
    </row>
    <row r="180" spans="1:3" x14ac:dyDescent="0.3">
      <c r="A180" s="113" t="e" vm="88">
        <v>#VALUE!</v>
      </c>
      <c r="C180" s="45" t="e" vm="88">
        <v>#VALUE!</v>
      </c>
    </row>
    <row r="181" spans="1:3" x14ac:dyDescent="0.3">
      <c r="A181" s="113" t="e" vm="15">
        <v>#VALUE!</v>
      </c>
      <c r="C181" s="45" t="e" vm="15">
        <v>#VALUE!</v>
      </c>
    </row>
    <row r="182" spans="1:3" x14ac:dyDescent="0.3">
      <c r="A182" s="113" t="e" vm="16">
        <v>#VALUE!</v>
      </c>
      <c r="C182" s="45" t="e" vm="16">
        <v>#VALUE!</v>
      </c>
    </row>
    <row r="183" spans="1:3" x14ac:dyDescent="0.3">
      <c r="A183" s="113" t="e" vm="22">
        <v>#VALUE!</v>
      </c>
      <c r="C183" s="45" t="e" vm="22">
        <v>#VALUE!</v>
      </c>
    </row>
    <row r="184" spans="1:3" x14ac:dyDescent="0.3">
      <c r="A184" s="113" t="e" vm="25">
        <v>#VALUE!</v>
      </c>
      <c r="C184" s="45" t="e" vm="25">
        <v>#VALUE!</v>
      </c>
    </row>
    <row r="185" spans="1:3" x14ac:dyDescent="0.3">
      <c r="A185" s="113" t="e" vm="29">
        <v>#VALUE!</v>
      </c>
      <c r="C185" s="45" t="e" vm="29">
        <v>#VALUE!</v>
      </c>
    </row>
    <row r="186" spans="1:3" x14ac:dyDescent="0.3">
      <c r="A186" s="113" t="e" vm="57">
        <v>#VALUE!</v>
      </c>
      <c r="C186" s="45" t="e" vm="57">
        <v>#VALUE!</v>
      </c>
    </row>
    <row r="187" spans="1:3" x14ac:dyDescent="0.3">
      <c r="A187" s="113" t="e" vm="92">
        <v>#VALUE!</v>
      </c>
      <c r="C187" s="45" t="e" vm="92">
        <v>#VALUE!</v>
      </c>
    </row>
    <row r="188" spans="1:3" x14ac:dyDescent="0.3">
      <c r="A188" s="113" t="e" vm="58">
        <v>#VALUE!</v>
      </c>
      <c r="C188" s="45" t="e" vm="58">
        <v>#VALUE!</v>
      </c>
    </row>
    <row r="189" spans="1:3" x14ac:dyDescent="0.3">
      <c r="A189" s="113" t="e" vm="59">
        <v>#VALUE!</v>
      </c>
      <c r="C189" s="45" t="e" vm="59">
        <v>#VALUE!</v>
      </c>
    </row>
    <row r="190" spans="1:3" x14ac:dyDescent="0.3">
      <c r="A190" s="113" t="e" vm="55">
        <v>#VALUE!</v>
      </c>
      <c r="C190" s="45" t="e" vm="55">
        <v>#VALUE!</v>
      </c>
    </row>
    <row r="191" spans="1:3" x14ac:dyDescent="0.3">
      <c r="A191" s="113" t="e" vm="60">
        <v>#VALUE!</v>
      </c>
      <c r="C191" s="45" t="e" vm="60">
        <v>#VALUE!</v>
      </c>
    </row>
    <row r="192" spans="1:3" x14ac:dyDescent="0.3">
      <c r="A192" s="113" t="e" vm="61">
        <v>#VALUE!</v>
      </c>
      <c r="C192" s="45" t="e" vm="61">
        <v>#VALUE!</v>
      </c>
    </row>
    <row r="193" spans="1:3" x14ac:dyDescent="0.3">
      <c r="A193" s="113" t="e" vm="62">
        <v>#VALUE!</v>
      </c>
      <c r="C193" s="45" t="e" vm="62">
        <v>#VALUE!</v>
      </c>
    </row>
    <row r="194" spans="1:3" x14ac:dyDescent="0.3">
      <c r="A194" s="113" t="e" vm="63">
        <v>#VALUE!</v>
      </c>
      <c r="C194" s="45" t="e" vm="63">
        <v>#VALUE!</v>
      </c>
    </row>
    <row r="195" spans="1:3" x14ac:dyDescent="0.3">
      <c r="A195" s="113" t="e" vm="64">
        <v>#VALUE!</v>
      </c>
      <c r="C195" s="45" t="e" vm="64">
        <v>#VALUE!</v>
      </c>
    </row>
    <row r="196" spans="1:3" x14ac:dyDescent="0.3">
      <c r="A196" s="113" t="e" vm="65">
        <v>#VALUE!</v>
      </c>
      <c r="C196" s="45" t="e" vm="65">
        <v>#VALUE!</v>
      </c>
    </row>
    <row r="197" spans="1:3" x14ac:dyDescent="0.3">
      <c r="A197" s="113" t="e" vm="66">
        <v>#VALUE!</v>
      </c>
      <c r="C197" s="45" t="e" vm="66">
        <v>#VALUE!</v>
      </c>
    </row>
    <row r="198" spans="1:3" x14ac:dyDescent="0.3">
      <c r="A198" s="113" t="e" vm="93">
        <v>#VALUE!</v>
      </c>
      <c r="C198" s="45" t="e" vm="93">
        <v>#VALUE!</v>
      </c>
    </row>
    <row r="199" spans="1:3" x14ac:dyDescent="0.3">
      <c r="A199" s="113" t="e" vm="67">
        <v>#VALUE!</v>
      </c>
      <c r="C199" s="45" t="e" vm="67">
        <v>#VALUE!</v>
      </c>
    </row>
    <row r="200" spans="1:3" x14ac:dyDescent="0.3">
      <c r="A200" s="113" t="e" vm="68">
        <v>#VALUE!</v>
      </c>
      <c r="C200" s="45" t="e" vm="68">
        <v>#VALUE!</v>
      </c>
    </row>
    <row r="201" spans="1:3" x14ac:dyDescent="0.3">
      <c r="A201" s="113" t="e" vm="69">
        <v>#VALUE!</v>
      </c>
      <c r="C201" s="45" t="e" vm="69">
        <v>#VALUE!</v>
      </c>
    </row>
    <row r="202" spans="1:3" x14ac:dyDescent="0.3">
      <c r="A202" s="113" t="e" vm="70">
        <v>#VALUE!</v>
      </c>
      <c r="C202" s="45" t="e" vm="70">
        <v>#VALUE!</v>
      </c>
    </row>
    <row r="203" spans="1:3" x14ac:dyDescent="0.3">
      <c r="A203" s="113" t="e" vm="71">
        <v>#VALUE!</v>
      </c>
      <c r="C203" s="45" t="e" vm="71">
        <v>#VALUE!</v>
      </c>
    </row>
    <row r="204" spans="1:3" x14ac:dyDescent="0.3">
      <c r="A204" s="113" t="e" vm="72">
        <v>#VALUE!</v>
      </c>
      <c r="C204" s="45" t="e" vm="72">
        <v>#VALUE!</v>
      </c>
    </row>
    <row r="205" spans="1:3" x14ac:dyDescent="0.3">
      <c r="A205" s="113" t="e" vm="73">
        <v>#VALUE!</v>
      </c>
      <c r="C205" s="45" t="e" vm="73">
        <v>#VALUE!</v>
      </c>
    </row>
    <row r="206" spans="1:3" x14ac:dyDescent="0.3">
      <c r="A206" s="113" t="e" vm="74">
        <v>#VALUE!</v>
      </c>
      <c r="C206" s="45" t="e" vm="74">
        <v>#VALUE!</v>
      </c>
    </row>
    <row r="207" spans="1:3" x14ac:dyDescent="0.3">
      <c r="A207" s="113" t="e" vm="88">
        <v>#VALUE!</v>
      </c>
      <c r="C207" s="45" t="e" vm="88">
        <v>#VALUE!</v>
      </c>
    </row>
    <row r="208" spans="1:3" x14ac:dyDescent="0.3">
      <c r="A208" s="113" t="e" vm="20">
        <v>#VALUE!</v>
      </c>
      <c r="C208" s="45" t="e" vm="20">
        <v>#VALUE!</v>
      </c>
    </row>
    <row r="210" spans="3:3" x14ac:dyDescent="0.3">
      <c r="C210" s="45" t="e" vm="6">
        <v>#VALUE!</v>
      </c>
    </row>
  </sheetData>
  <phoneticPr fontId="19" type="noConversion"/>
  <conditionalFormatting sqref="AA3:AA96">
    <cfRule type="cellIs" dxfId="47" priority="1" operator="greaterThan">
      <formula>0.04</formula>
    </cfRule>
  </conditionalFormatting>
  <pageMargins left="0.7" right="0.7" top="0.75" bottom="0.75" header="0.3" footer="0.3"/>
  <pageSetup paperSize="9" orientation="portrait" horizontalDpi="0" verticalDpi="0"/>
  <ignoredErrors>
    <ignoredError sqref="A11:A48 A4:A8 A49:A93" emptyCellReference="1"/>
    <ignoredError sqref="B3:B4 B11:B48 B6:B8 B49:B93" calculatedColumn="1"/>
    <ignoredError xmlns:x16r3="http://schemas.microsoft.com/office/spreadsheetml/2018/08/main" sqref="G7" x16r3:misleadingFormat="1"/>
  </ignoredErrors>
  <legacy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ExtEntry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2025-10-23T22:27:16Z</dcterms:modified>
  <cp:category/>
</cp:coreProperties>
</file>